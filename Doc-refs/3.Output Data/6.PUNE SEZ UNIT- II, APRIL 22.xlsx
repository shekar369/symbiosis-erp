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628"/>
  <workbookPr defaultThemeVersion="124226"/>
  <mc:AlternateContent xmlns:mc="http://schemas.openxmlformats.org/markup-compatibility/2006">
    <mc:Choice Requires="x15">
      <x15ac:absPath xmlns:x15ac="http://schemas.microsoft.com/office/spreadsheetml/2010/11/ac" url="C:\Users\admin\Desktop\burgeon complted april 22\6BURGEON-PUNE SEZ UNIT-II-APRIL 22\"/>
    </mc:Choice>
  </mc:AlternateContent>
  <xr:revisionPtr revIDLastSave="0" documentId="13_ncr:1_{2AFCAE76-FC49-461B-A0B5-D455F94C655A}" xr6:coauthVersionLast="46" xr6:coauthVersionMax="46" xr10:uidLastSave="{00000000-0000-0000-0000-000000000000}"/>
  <bookViews>
    <workbookView xWindow="-120" yWindow="-120" windowWidth="15600" windowHeight="11160" tabRatio="774" firstSheet="4" activeTab="4" xr2:uid="{00000000-000D-0000-FFFF-FFFF00000000}"/>
  </bookViews>
  <sheets>
    <sheet name="APRIL2 PUNE SEZ UNIT-2 WM Reg" sheetId="28" r:id="rId1"/>
    <sheet name="0422Master" sheetId="1" r:id="rId2"/>
    <sheet name="04-22Eq Remu" sheetId="13" r:id="rId3"/>
    <sheet name="MH_Must Roll" sheetId="29" r:id="rId4"/>
    <sheet name="F M Lev Reg" sheetId="27" r:id="rId5"/>
    <sheet name="MH_Reg of Wgs" sheetId="30" r:id="rId6"/>
    <sheet name="Empt Cards" sheetId="10" r:id="rId7"/>
    <sheet name="wage sllips" sheetId="4" r:id="rId8"/>
    <sheet name="04-22Bonus" sheetId="12" r:id="rId9"/>
    <sheet name="Ser Cert" sheetId="21" r:id="rId10"/>
    <sheet name="Deductions" sheetId="5" r:id="rId11"/>
    <sheet name="Fines" sheetId="7" r:id="rId12"/>
    <sheet name="Advances" sheetId="6" r:id="rId13"/>
    <sheet name="Overtime" sheetId="8" r:id="rId14"/>
    <sheet name="Accident" sheetId="9" r:id="rId15"/>
    <sheet name="ESI cards Reg" sheetId="16" r:id="rId16"/>
    <sheet name="Form-I" sheetId="19" r:id="rId17"/>
    <sheet name="Form-2" sheetId="20" r:id="rId18"/>
    <sheet name="Form 11" sheetId="17" r:id="rId19"/>
    <sheet name="Form-F" sheetId="18" r:id="rId20"/>
    <sheet name="Sheet1" sheetId="31" r:id="rId21"/>
  </sheets>
  <externalReferences>
    <externalReference r:id="rId22"/>
    <externalReference r:id="rId23"/>
  </externalReferences>
  <definedNames>
    <definedName name="_xlnm.Print_Area" localSheetId="4">'F M Lev Reg'!#REF!</definedName>
  </definedNames>
  <calcPr calcId="191029"/>
</workbook>
</file>

<file path=xl/calcChain.xml><?xml version="1.0" encoding="utf-8"?>
<calcChain xmlns="http://schemas.openxmlformats.org/spreadsheetml/2006/main">
  <c r="I887" i="4" l="1"/>
  <c r="F887" i="4"/>
  <c r="H1008" i="10"/>
  <c r="J1010" i="10"/>
  <c r="Z27" i="30"/>
  <c r="AB9" i="30"/>
  <c r="AB10" i="30"/>
  <c r="AB11" i="30"/>
  <c r="AB12" i="30"/>
  <c r="AB13" i="30"/>
  <c r="AB14" i="30"/>
  <c r="AB15" i="30"/>
  <c r="AB16" i="30"/>
  <c r="AB17" i="30"/>
  <c r="AB18" i="30"/>
  <c r="AB19" i="30"/>
  <c r="AB20" i="30"/>
  <c r="AB21" i="30"/>
  <c r="AB22" i="30"/>
  <c r="AB23" i="30"/>
  <c r="AB24" i="30"/>
  <c r="AB25" i="30"/>
  <c r="AB26" i="30"/>
  <c r="AB27" i="30"/>
  <c r="AB8" i="30"/>
  <c r="AA27" i="30"/>
  <c r="AA9" i="30"/>
  <c r="AA10" i="30"/>
  <c r="AA11" i="30"/>
  <c r="AA12" i="30"/>
  <c r="AA13" i="30"/>
  <c r="AA14" i="30"/>
  <c r="AA15" i="30"/>
  <c r="AA16" i="30"/>
  <c r="AA17" i="30"/>
  <c r="AA18" i="30"/>
  <c r="AA19" i="30"/>
  <c r="AA20" i="30"/>
  <c r="AA21" i="30"/>
  <c r="AA22" i="30"/>
  <c r="AA23" i="30"/>
  <c r="AA24" i="30"/>
  <c r="AA25" i="30"/>
  <c r="AA26" i="30"/>
  <c r="AA8" i="30"/>
  <c r="B11" i="12"/>
  <c r="C11" i="12"/>
  <c r="E11" i="12"/>
  <c r="O11" i="12"/>
  <c r="P11" i="12"/>
  <c r="Q11" i="12"/>
  <c r="B12" i="12"/>
  <c r="C12" i="12"/>
  <c r="E12" i="12"/>
  <c r="O12" i="12"/>
  <c r="P12" i="12"/>
  <c r="Q12" i="12"/>
  <c r="B13" i="12"/>
  <c r="C13" i="12"/>
  <c r="E13" i="12"/>
  <c r="O13" i="12"/>
  <c r="P13" i="12"/>
  <c r="Q13" i="12"/>
  <c r="B14" i="12"/>
  <c r="C14" i="12"/>
  <c r="E14" i="12"/>
  <c r="O14" i="12"/>
  <c r="P14" i="12"/>
  <c r="Q14" i="12"/>
  <c r="B15" i="12"/>
  <c r="C15" i="12"/>
  <c r="E15" i="12"/>
  <c r="O15" i="12"/>
  <c r="P15" i="12"/>
  <c r="Q15" i="12"/>
  <c r="B16" i="12"/>
  <c r="C16" i="12"/>
  <c r="E16" i="12"/>
  <c r="O16" i="12"/>
  <c r="P16" i="12"/>
  <c r="Q16" i="12"/>
  <c r="B17" i="12"/>
  <c r="C17" i="12"/>
  <c r="E17" i="12"/>
  <c r="O17" i="12"/>
  <c r="P17" i="12"/>
  <c r="Q17" i="12"/>
  <c r="B18" i="12"/>
  <c r="C18" i="12"/>
  <c r="E18" i="12"/>
  <c r="O18" i="12"/>
  <c r="P18" i="12"/>
  <c r="Q18" i="12"/>
  <c r="B19" i="12"/>
  <c r="C19" i="12"/>
  <c r="E19" i="12"/>
  <c r="O19" i="12"/>
  <c r="P19" i="12"/>
  <c r="Q19" i="12"/>
  <c r="B20" i="12"/>
  <c r="C20" i="12"/>
  <c r="E20" i="12"/>
  <c r="O20" i="12"/>
  <c r="P20" i="12"/>
  <c r="Q20" i="12"/>
  <c r="B21" i="12"/>
  <c r="C21" i="12"/>
  <c r="E21" i="12"/>
  <c r="O21" i="12"/>
  <c r="P21" i="12"/>
  <c r="Q21" i="12"/>
  <c r="B22" i="12"/>
  <c r="C22" i="12"/>
  <c r="E22" i="12"/>
  <c r="O22" i="12"/>
  <c r="P22" i="12"/>
  <c r="Q22" i="12"/>
  <c r="B23" i="12"/>
  <c r="C23" i="12"/>
  <c r="E23" i="12"/>
  <c r="O23" i="12"/>
  <c r="P23" i="12"/>
  <c r="Q23" i="12"/>
  <c r="B24" i="12"/>
  <c r="C24" i="12"/>
  <c r="E24" i="12"/>
  <c r="O24" i="12"/>
  <c r="P24" i="12"/>
  <c r="Q24" i="12"/>
  <c r="B25" i="12"/>
  <c r="C25" i="12"/>
  <c r="E25" i="12"/>
  <c r="O25" i="12"/>
  <c r="P25" i="12"/>
  <c r="Q25" i="12"/>
  <c r="B26" i="12"/>
  <c r="C26" i="12"/>
  <c r="E26" i="12"/>
  <c r="O26" i="12"/>
  <c r="P26" i="12"/>
  <c r="Q26" i="12"/>
  <c r="B27" i="12"/>
  <c r="C27" i="12"/>
  <c r="E27" i="12"/>
  <c r="O27" i="12"/>
  <c r="P27" i="12"/>
  <c r="Q27" i="12"/>
  <c r="B28" i="12"/>
  <c r="C28" i="12"/>
  <c r="E28" i="12"/>
  <c r="O28" i="12"/>
  <c r="P28" i="12"/>
  <c r="Q28" i="12"/>
  <c r="B29" i="12"/>
  <c r="C29" i="12"/>
  <c r="E29" i="12"/>
  <c r="O29" i="12"/>
  <c r="P29" i="12"/>
  <c r="Q29" i="12"/>
  <c r="M28" i="30"/>
  <c r="C9" i="30"/>
  <c r="D9" i="30"/>
  <c r="S9" i="30"/>
  <c r="C10" i="30"/>
  <c r="D10" i="30"/>
  <c r="S10" i="30"/>
  <c r="C11" i="30"/>
  <c r="D11" i="30"/>
  <c r="S11" i="30"/>
  <c r="C12" i="30"/>
  <c r="D12" i="30"/>
  <c r="S12" i="30"/>
  <c r="C13" i="30"/>
  <c r="D13" i="30"/>
  <c r="S13" i="30"/>
  <c r="C14" i="30"/>
  <c r="D14" i="30"/>
  <c r="S14" i="30"/>
  <c r="C15" i="30"/>
  <c r="D15" i="30"/>
  <c r="S15" i="30"/>
  <c r="C16" i="30"/>
  <c r="D16" i="30"/>
  <c r="S16" i="30"/>
  <c r="C17" i="30"/>
  <c r="D17" i="30"/>
  <c r="S17" i="30"/>
  <c r="C18" i="30"/>
  <c r="D18" i="30"/>
  <c r="S18" i="30"/>
  <c r="C19" i="30"/>
  <c r="D19" i="30"/>
  <c r="S19" i="30"/>
  <c r="C20" i="30"/>
  <c r="D20" i="30"/>
  <c r="S20" i="30"/>
  <c r="C21" i="30"/>
  <c r="D21" i="30"/>
  <c r="S21" i="30"/>
  <c r="C22" i="30"/>
  <c r="D22" i="30"/>
  <c r="S22" i="30"/>
  <c r="C23" i="30"/>
  <c r="D23" i="30"/>
  <c r="S23" i="30"/>
  <c r="C24" i="30"/>
  <c r="D24" i="30"/>
  <c r="S24" i="30"/>
  <c r="C25" i="30"/>
  <c r="D25" i="30"/>
  <c r="S25" i="30"/>
  <c r="C26" i="30"/>
  <c r="D26" i="30"/>
  <c r="S26" i="30"/>
  <c r="C27" i="30"/>
  <c r="D27" i="30"/>
  <c r="S27" i="30"/>
  <c r="C8" i="30"/>
  <c r="D8" i="30"/>
  <c r="S8" i="30"/>
  <c r="Z8" i="30"/>
  <c r="Z9" i="30"/>
  <c r="Z10" i="30"/>
  <c r="Z11" i="30"/>
  <c r="Z12" i="30"/>
  <c r="Z13" i="30"/>
  <c r="Z14" i="30"/>
  <c r="Z15" i="30"/>
  <c r="Z16" i="30"/>
  <c r="Z17" i="30"/>
  <c r="Z18" i="30"/>
  <c r="Z19" i="30"/>
  <c r="Z20" i="30"/>
  <c r="Z21" i="30"/>
  <c r="Z22" i="30"/>
  <c r="Z23" i="30"/>
  <c r="Z24" i="30"/>
  <c r="Z25" i="30"/>
  <c r="Z26" i="30"/>
  <c r="S28" i="30" l="1"/>
  <c r="B9" i="29"/>
  <c r="C9" i="29"/>
  <c r="D9" i="29"/>
  <c r="E9" i="29"/>
  <c r="F9" i="29"/>
  <c r="B10" i="29"/>
  <c r="C10" i="29"/>
  <c r="D10" i="29"/>
  <c r="E10" i="29"/>
  <c r="F10" i="29"/>
  <c r="B11" i="29"/>
  <c r="C11" i="29"/>
  <c r="D11" i="29"/>
  <c r="E11" i="29"/>
  <c r="F11" i="29"/>
  <c r="B12" i="29"/>
  <c r="C12" i="29"/>
  <c r="D12" i="29"/>
  <c r="E12" i="29"/>
  <c r="F12" i="29"/>
  <c r="B13" i="29"/>
  <c r="C13" i="29"/>
  <c r="D13" i="29"/>
  <c r="E13" i="29"/>
  <c r="F13" i="29"/>
  <c r="B14" i="29"/>
  <c r="C14" i="29"/>
  <c r="D14" i="29"/>
  <c r="E14" i="29"/>
  <c r="F14" i="29"/>
  <c r="B15" i="29"/>
  <c r="C15" i="29"/>
  <c r="D15" i="29"/>
  <c r="E15" i="29"/>
  <c r="F15" i="29"/>
  <c r="B16" i="29"/>
  <c r="C16" i="29"/>
  <c r="D16" i="29"/>
  <c r="E16" i="29"/>
  <c r="F16" i="29"/>
  <c r="B17" i="29"/>
  <c r="C17" i="29"/>
  <c r="D17" i="29"/>
  <c r="E17" i="29"/>
  <c r="F17" i="29"/>
  <c r="B18" i="29"/>
  <c r="C18" i="29"/>
  <c r="D18" i="29"/>
  <c r="E18" i="29"/>
  <c r="F18" i="29"/>
  <c r="B19" i="29"/>
  <c r="C19" i="29"/>
  <c r="D19" i="29"/>
  <c r="E19" i="29"/>
  <c r="F19" i="29"/>
  <c r="B20" i="29"/>
  <c r="C20" i="29"/>
  <c r="D20" i="29"/>
  <c r="E20" i="29"/>
  <c r="F20" i="29"/>
  <c r="B21" i="29"/>
  <c r="C21" i="29"/>
  <c r="D21" i="29"/>
  <c r="E21" i="29"/>
  <c r="F21" i="29"/>
  <c r="B22" i="29"/>
  <c r="C22" i="29"/>
  <c r="D22" i="29"/>
  <c r="E22" i="29"/>
  <c r="F22" i="29"/>
  <c r="B23" i="29"/>
  <c r="C23" i="29"/>
  <c r="D23" i="29"/>
  <c r="E23" i="29"/>
  <c r="F23" i="29"/>
  <c r="B24" i="29"/>
  <c r="C24" i="29"/>
  <c r="D24" i="29"/>
  <c r="E24" i="29"/>
  <c r="F24" i="29"/>
  <c r="B25" i="29"/>
  <c r="C25" i="29"/>
  <c r="D25" i="29"/>
  <c r="E25" i="29"/>
  <c r="F25" i="29"/>
  <c r="B26" i="29"/>
  <c r="C26" i="29"/>
  <c r="D26" i="29"/>
  <c r="E26" i="29"/>
  <c r="F26" i="29"/>
  <c r="B27" i="29"/>
  <c r="C27" i="29"/>
  <c r="D27" i="29"/>
  <c r="E27" i="29"/>
  <c r="F27" i="29"/>
  <c r="AO20" i="1"/>
  <c r="AP20" i="1"/>
  <c r="Q12" i="30" s="1"/>
  <c r="AQ20" i="1"/>
  <c r="O12" i="30" s="1"/>
  <c r="AR20" i="1"/>
  <c r="P12" i="30" s="1"/>
  <c r="AO21" i="1"/>
  <c r="AP21" i="1"/>
  <c r="Q13" i="30" s="1"/>
  <c r="AQ21" i="1"/>
  <c r="O13" i="30" s="1"/>
  <c r="AR21" i="1"/>
  <c r="P13" i="30" s="1"/>
  <c r="AO22" i="1"/>
  <c r="AP22" i="1"/>
  <c r="Q14" i="30" s="1"/>
  <c r="AQ22" i="1"/>
  <c r="O14" i="30" s="1"/>
  <c r="AR22" i="1"/>
  <c r="P14" i="30" s="1"/>
  <c r="AO23" i="1"/>
  <c r="AP23" i="1"/>
  <c r="Q15" i="30" s="1"/>
  <c r="AQ23" i="1"/>
  <c r="O15" i="30" s="1"/>
  <c r="AR23" i="1"/>
  <c r="P15" i="30" s="1"/>
  <c r="AO24" i="1"/>
  <c r="AP24" i="1"/>
  <c r="Q16" i="30" s="1"/>
  <c r="AQ24" i="1"/>
  <c r="O16" i="30" s="1"/>
  <c r="AR24" i="1"/>
  <c r="P16" i="30" s="1"/>
  <c r="AO25" i="1"/>
  <c r="AP25" i="1"/>
  <c r="Q17" i="30" s="1"/>
  <c r="AQ25" i="1"/>
  <c r="O17" i="30" s="1"/>
  <c r="AR25" i="1"/>
  <c r="P17" i="30" s="1"/>
  <c r="AO26" i="1"/>
  <c r="AP26" i="1"/>
  <c r="Q18" i="30" s="1"/>
  <c r="AQ26" i="1"/>
  <c r="O18" i="30" s="1"/>
  <c r="AR26" i="1"/>
  <c r="P18" i="30" s="1"/>
  <c r="AO27" i="1"/>
  <c r="AP27" i="1"/>
  <c r="Q19" i="30" s="1"/>
  <c r="AQ27" i="1"/>
  <c r="O19" i="30" s="1"/>
  <c r="AR27" i="1"/>
  <c r="P19" i="30" s="1"/>
  <c r="AO28" i="1"/>
  <c r="AP28" i="1"/>
  <c r="Q20" i="30" s="1"/>
  <c r="AQ28" i="1"/>
  <c r="O20" i="30" s="1"/>
  <c r="AR28" i="1"/>
  <c r="P20" i="30" s="1"/>
  <c r="AO29" i="1"/>
  <c r="AP29" i="1"/>
  <c r="Q21" i="30" s="1"/>
  <c r="AQ29" i="1"/>
  <c r="O21" i="30" s="1"/>
  <c r="AR29" i="1"/>
  <c r="P21" i="30" s="1"/>
  <c r="AO30" i="1"/>
  <c r="AP30" i="1"/>
  <c r="Q22" i="30" s="1"/>
  <c r="AQ30" i="1"/>
  <c r="O22" i="30" s="1"/>
  <c r="AR30" i="1"/>
  <c r="P22" i="30" s="1"/>
  <c r="AO31" i="1"/>
  <c r="AP31" i="1"/>
  <c r="Q23" i="30" s="1"/>
  <c r="AQ31" i="1"/>
  <c r="O23" i="30" s="1"/>
  <c r="AR31" i="1"/>
  <c r="P23" i="30" s="1"/>
  <c r="AO32" i="1"/>
  <c r="AP32" i="1"/>
  <c r="Q24" i="30" s="1"/>
  <c r="AQ32" i="1"/>
  <c r="O24" i="30" s="1"/>
  <c r="AR32" i="1"/>
  <c r="P24" i="30" s="1"/>
  <c r="AO33" i="1"/>
  <c r="AP33" i="1"/>
  <c r="Q25" i="30" s="1"/>
  <c r="AQ33" i="1"/>
  <c r="O25" i="30" s="1"/>
  <c r="AR33" i="1"/>
  <c r="P25" i="30" s="1"/>
  <c r="AO34" i="1"/>
  <c r="AP34" i="1"/>
  <c r="Q26" i="30" s="1"/>
  <c r="AQ34" i="1"/>
  <c r="O26" i="30" s="1"/>
  <c r="AR34" i="1"/>
  <c r="P26" i="30" s="1"/>
  <c r="AO35" i="1"/>
  <c r="AP35" i="1"/>
  <c r="Q27" i="30" s="1"/>
  <c r="AQ35" i="1"/>
  <c r="O27" i="30" s="1"/>
  <c r="AR35" i="1"/>
  <c r="P27" i="30" s="1"/>
  <c r="AO16" i="1"/>
  <c r="R8" i="30" s="1"/>
  <c r="AP16" i="1"/>
  <c r="Q8" i="30" s="1"/>
  <c r="AQ16" i="1"/>
  <c r="O8" i="30" s="1"/>
  <c r="AR16" i="1"/>
  <c r="P8" i="30" s="1"/>
  <c r="AO17" i="1"/>
  <c r="AP17" i="1"/>
  <c r="Q9" i="30" s="1"/>
  <c r="AQ17" i="1"/>
  <c r="O9" i="30" s="1"/>
  <c r="AR17" i="1"/>
  <c r="P9" i="30" s="1"/>
  <c r="AO18" i="1"/>
  <c r="AP18" i="1"/>
  <c r="Q10" i="30" s="1"/>
  <c r="AQ18" i="1"/>
  <c r="O10" i="30" s="1"/>
  <c r="AR18" i="1"/>
  <c r="P10" i="30" s="1"/>
  <c r="AR19" i="1"/>
  <c r="P11" i="30" s="1"/>
  <c r="AQ19" i="1"/>
  <c r="O11" i="30" s="1"/>
  <c r="AP19" i="1"/>
  <c r="Q11" i="30" s="1"/>
  <c r="AO19" i="1"/>
  <c r="AL17" i="1"/>
  <c r="AL18" i="1"/>
  <c r="AL19" i="1"/>
  <c r="AL20" i="1"/>
  <c r="AL21" i="1"/>
  <c r="AL22" i="1"/>
  <c r="AL23" i="1"/>
  <c r="AL24" i="1"/>
  <c r="AL25" i="1"/>
  <c r="AL26" i="1"/>
  <c r="AL27" i="1"/>
  <c r="AL28" i="1"/>
  <c r="AL29" i="1"/>
  <c r="AL30" i="1"/>
  <c r="AL31" i="1"/>
  <c r="AL32" i="1"/>
  <c r="AL33" i="1"/>
  <c r="AL34" i="1"/>
  <c r="AL35" i="1"/>
  <c r="AL16" i="1"/>
  <c r="AI17" i="1"/>
  <c r="AJ17" i="1"/>
  <c r="AK17" i="1"/>
  <c r="AI18" i="1"/>
  <c r="AJ18" i="1"/>
  <c r="AK18" i="1"/>
  <c r="AI19" i="1"/>
  <c r="AJ19" i="1"/>
  <c r="AK19" i="1"/>
  <c r="AI20" i="1"/>
  <c r="AJ20" i="1"/>
  <c r="AK20" i="1"/>
  <c r="AI21" i="1"/>
  <c r="AJ21" i="1"/>
  <c r="AK21" i="1"/>
  <c r="AI22" i="1"/>
  <c r="AJ22" i="1"/>
  <c r="AK22" i="1"/>
  <c r="AI23" i="1"/>
  <c r="AJ23" i="1"/>
  <c r="AK23" i="1"/>
  <c r="AI24" i="1"/>
  <c r="AJ24" i="1"/>
  <c r="AK24" i="1"/>
  <c r="AI25" i="1"/>
  <c r="AJ25" i="1"/>
  <c r="AK25" i="1"/>
  <c r="AI26" i="1"/>
  <c r="AJ26" i="1"/>
  <c r="AK26" i="1"/>
  <c r="AI27" i="1"/>
  <c r="AJ27" i="1"/>
  <c r="AK27" i="1"/>
  <c r="AI28" i="1"/>
  <c r="AJ28" i="1"/>
  <c r="AK28" i="1"/>
  <c r="AI29" i="1"/>
  <c r="AJ29" i="1"/>
  <c r="AK29" i="1"/>
  <c r="AI30" i="1"/>
  <c r="AJ30" i="1"/>
  <c r="AK30" i="1"/>
  <c r="AI31" i="1"/>
  <c r="AJ31" i="1"/>
  <c r="AK31" i="1"/>
  <c r="AI32" i="1"/>
  <c r="AJ32" i="1"/>
  <c r="AJ36" i="1" s="1"/>
  <c r="AK32" i="1"/>
  <c r="AK36" i="1" s="1"/>
  <c r="AI33" i="1"/>
  <c r="AJ33" i="1"/>
  <c r="AK33" i="1"/>
  <c r="AI34" i="1"/>
  <c r="AJ34" i="1"/>
  <c r="AK34" i="1"/>
  <c r="AI35" i="1"/>
  <c r="AJ35" i="1"/>
  <c r="AK35" i="1"/>
  <c r="AK16" i="1"/>
  <c r="AJ16" i="1"/>
  <c r="AI16" i="1"/>
  <c r="H8" i="30" s="1"/>
  <c r="AD17" i="1"/>
  <c r="AE17" i="1"/>
  <c r="G9" i="30" s="1"/>
  <c r="AF17" i="1"/>
  <c r="J9" i="30" s="1"/>
  <c r="AG17" i="1"/>
  <c r="I9" i="30" s="1"/>
  <c r="AD18" i="1"/>
  <c r="AE18" i="1"/>
  <c r="G10" i="30" s="1"/>
  <c r="AF18" i="1"/>
  <c r="J10" i="30" s="1"/>
  <c r="AG18" i="1"/>
  <c r="I10" i="30" s="1"/>
  <c r="AD19" i="1"/>
  <c r="AE19" i="1"/>
  <c r="G11" i="30" s="1"/>
  <c r="AF19" i="1"/>
  <c r="J11" i="30" s="1"/>
  <c r="AG19" i="1"/>
  <c r="I11" i="30" s="1"/>
  <c r="AD20" i="1"/>
  <c r="AE20" i="1"/>
  <c r="G12" i="30" s="1"/>
  <c r="AF20" i="1"/>
  <c r="J12" i="30" s="1"/>
  <c r="AG20" i="1"/>
  <c r="I12" i="30" s="1"/>
  <c r="AD21" i="1"/>
  <c r="AE21" i="1"/>
  <c r="G13" i="30" s="1"/>
  <c r="AF21" i="1"/>
  <c r="J13" i="30" s="1"/>
  <c r="AG21" i="1"/>
  <c r="I13" i="30" s="1"/>
  <c r="AD22" i="1"/>
  <c r="AE22" i="1"/>
  <c r="G14" i="30" s="1"/>
  <c r="AF22" i="1"/>
  <c r="J14" i="30" s="1"/>
  <c r="AG22" i="1"/>
  <c r="I14" i="30" s="1"/>
  <c r="AD23" i="1"/>
  <c r="AE23" i="1"/>
  <c r="G15" i="30" s="1"/>
  <c r="AF23" i="1"/>
  <c r="J15" i="30" s="1"/>
  <c r="AG23" i="1"/>
  <c r="I15" i="30" s="1"/>
  <c r="AD24" i="1"/>
  <c r="AE24" i="1"/>
  <c r="G16" i="30" s="1"/>
  <c r="AF24" i="1"/>
  <c r="J16" i="30" s="1"/>
  <c r="AG24" i="1"/>
  <c r="I16" i="30" s="1"/>
  <c r="AD25" i="1"/>
  <c r="AE25" i="1"/>
  <c r="G17" i="30" s="1"/>
  <c r="AF25" i="1"/>
  <c r="J17" i="30" s="1"/>
  <c r="AG25" i="1"/>
  <c r="I17" i="30" s="1"/>
  <c r="AD26" i="1"/>
  <c r="AE26" i="1"/>
  <c r="G18" i="30" s="1"/>
  <c r="AF26" i="1"/>
  <c r="J18" i="30" s="1"/>
  <c r="AG26" i="1"/>
  <c r="I18" i="30" s="1"/>
  <c r="AD27" i="1"/>
  <c r="AE27" i="1"/>
  <c r="G19" i="30" s="1"/>
  <c r="AF27" i="1"/>
  <c r="J19" i="30" s="1"/>
  <c r="AG27" i="1"/>
  <c r="I19" i="30" s="1"/>
  <c r="AD28" i="1"/>
  <c r="AE28" i="1"/>
  <c r="G20" i="30" s="1"/>
  <c r="AF28" i="1"/>
  <c r="J20" i="30" s="1"/>
  <c r="AG28" i="1"/>
  <c r="I20" i="30" s="1"/>
  <c r="AD29" i="1"/>
  <c r="AE29" i="1"/>
  <c r="G21" i="30" s="1"/>
  <c r="AF29" i="1"/>
  <c r="J21" i="30" s="1"/>
  <c r="AG29" i="1"/>
  <c r="I21" i="30" s="1"/>
  <c r="AD30" i="1"/>
  <c r="AE30" i="1"/>
  <c r="G22" i="30" s="1"/>
  <c r="AF30" i="1"/>
  <c r="J22" i="30" s="1"/>
  <c r="AG30" i="1"/>
  <c r="I22" i="30" s="1"/>
  <c r="AD31" i="1"/>
  <c r="AE31" i="1"/>
  <c r="G23" i="30" s="1"/>
  <c r="AF31" i="1"/>
  <c r="J23" i="30" s="1"/>
  <c r="AG31" i="1"/>
  <c r="I23" i="30" s="1"/>
  <c r="AD32" i="1"/>
  <c r="AE32" i="1"/>
  <c r="G24" i="30" s="1"/>
  <c r="AF32" i="1"/>
  <c r="J24" i="30" s="1"/>
  <c r="AG32" i="1"/>
  <c r="I24" i="30" s="1"/>
  <c r="AD33" i="1"/>
  <c r="AE33" i="1"/>
  <c r="G25" i="30" s="1"/>
  <c r="AF33" i="1"/>
  <c r="J25" i="30" s="1"/>
  <c r="AG33" i="1"/>
  <c r="I25" i="30" s="1"/>
  <c r="AD34" i="1"/>
  <c r="AE34" i="1"/>
  <c r="G26" i="30" s="1"/>
  <c r="AF34" i="1"/>
  <c r="J26" i="30" s="1"/>
  <c r="AG34" i="1"/>
  <c r="I26" i="30" s="1"/>
  <c r="AD35" i="1"/>
  <c r="AE35" i="1"/>
  <c r="G27" i="30" s="1"/>
  <c r="AF35" i="1"/>
  <c r="J27" i="30" s="1"/>
  <c r="AG35" i="1"/>
  <c r="I27" i="30" s="1"/>
  <c r="AA36" i="1"/>
  <c r="AB36" i="1"/>
  <c r="AI36" i="1"/>
  <c r="AN36" i="1"/>
  <c r="AO36" i="1"/>
  <c r="AP36" i="1"/>
  <c r="AQ36" i="1"/>
  <c r="AR36" i="1"/>
  <c r="Z17" i="1"/>
  <c r="Z18" i="1"/>
  <c r="E10" i="30" s="1"/>
  <c r="Z19" i="1"/>
  <c r="Z20" i="1"/>
  <c r="E12" i="30" s="1"/>
  <c r="Z21" i="1"/>
  <c r="Z22" i="1"/>
  <c r="E14" i="30" s="1"/>
  <c r="Z23" i="1"/>
  <c r="Z24" i="1"/>
  <c r="E16" i="30" s="1"/>
  <c r="Z25" i="1"/>
  <c r="Z26" i="1"/>
  <c r="E18" i="30" s="1"/>
  <c r="Z27" i="1"/>
  <c r="Z28" i="1"/>
  <c r="E20" i="30" s="1"/>
  <c r="Z29" i="1"/>
  <c r="Z30" i="1"/>
  <c r="E22" i="30" s="1"/>
  <c r="Z31" i="1"/>
  <c r="Z32" i="1"/>
  <c r="E24" i="30" s="1"/>
  <c r="Z33" i="1"/>
  <c r="Z34" i="1"/>
  <c r="E26" i="30" s="1"/>
  <c r="Z35" i="1"/>
  <c r="AG16" i="1"/>
  <c r="AF16" i="1"/>
  <c r="AE16" i="1"/>
  <c r="AD16" i="1"/>
  <c r="Z16" i="1"/>
  <c r="E8" i="30" s="1"/>
  <c r="W17" i="1"/>
  <c r="F11" i="12" s="1"/>
  <c r="W18" i="1"/>
  <c r="F12" i="12" s="1"/>
  <c r="W19" i="1"/>
  <c r="F13" i="12" s="1"/>
  <c r="W20" i="1"/>
  <c r="F14" i="12" s="1"/>
  <c r="W21" i="1"/>
  <c r="F15" i="12" s="1"/>
  <c r="W22" i="1"/>
  <c r="F16" i="12" s="1"/>
  <c r="W23" i="1"/>
  <c r="F17" i="12" s="1"/>
  <c r="W24" i="1"/>
  <c r="F18" i="12" s="1"/>
  <c r="W25" i="1"/>
  <c r="F19" i="12" s="1"/>
  <c r="W26" i="1"/>
  <c r="F20" i="12" s="1"/>
  <c r="W27" i="1"/>
  <c r="F21" i="12" s="1"/>
  <c r="W28" i="1"/>
  <c r="F22" i="12" s="1"/>
  <c r="W29" i="1"/>
  <c r="F23" i="12" s="1"/>
  <c r="W30" i="1"/>
  <c r="F24" i="12" s="1"/>
  <c r="W31" i="1"/>
  <c r="F25" i="12" s="1"/>
  <c r="W32" i="1"/>
  <c r="F26" i="12" s="1"/>
  <c r="W33" i="1"/>
  <c r="F27" i="12" s="1"/>
  <c r="W34" i="1"/>
  <c r="F28" i="12" s="1"/>
  <c r="W35" i="1"/>
  <c r="F29" i="12" s="1"/>
  <c r="W16" i="1"/>
  <c r="AE36" i="1" l="1"/>
  <c r="G8" i="30"/>
  <c r="G28" i="30" s="1"/>
  <c r="H26" i="30"/>
  <c r="H28" i="12"/>
  <c r="H24" i="12"/>
  <c r="H22" i="30"/>
  <c r="H18" i="30"/>
  <c r="H20" i="12"/>
  <c r="H16" i="12"/>
  <c r="H14" i="30"/>
  <c r="H10" i="30"/>
  <c r="H12" i="12"/>
  <c r="AS19" i="1"/>
  <c r="T11" i="30" s="1"/>
  <c r="R11" i="30"/>
  <c r="P28" i="30"/>
  <c r="H23" i="30"/>
  <c r="H25" i="12"/>
  <c r="H21" i="12"/>
  <c r="H19" i="30"/>
  <c r="H17" i="12"/>
  <c r="H15" i="30"/>
  <c r="H13" i="12"/>
  <c r="H11" i="30"/>
  <c r="O28" i="30"/>
  <c r="AF36" i="1"/>
  <c r="J8" i="30"/>
  <c r="J28" i="30" s="1"/>
  <c r="E21" i="30"/>
  <c r="H29" i="12"/>
  <c r="H27" i="30"/>
  <c r="AG36" i="1"/>
  <c r="I8" i="30"/>
  <c r="I28" i="30" s="1"/>
  <c r="H26" i="12"/>
  <c r="H24" i="30"/>
  <c r="H22" i="12"/>
  <c r="H20" i="30"/>
  <c r="H18" i="12"/>
  <c r="H16" i="30"/>
  <c r="H14" i="12"/>
  <c r="H12" i="30"/>
  <c r="Q28" i="30"/>
  <c r="E25" i="30"/>
  <c r="E17" i="30"/>
  <c r="E13" i="30"/>
  <c r="E9" i="30"/>
  <c r="AD36" i="1"/>
  <c r="F8" i="30"/>
  <c r="E27" i="30"/>
  <c r="E23" i="30"/>
  <c r="E19" i="30"/>
  <c r="E15" i="30"/>
  <c r="E28" i="30" s="1"/>
  <c r="E11" i="30"/>
  <c r="AC35" i="1"/>
  <c r="AH35" i="1" s="1"/>
  <c r="L27" i="30" s="1"/>
  <c r="F27" i="30"/>
  <c r="AC34" i="1"/>
  <c r="AH34" i="1" s="1"/>
  <c r="L26" i="30" s="1"/>
  <c r="F26" i="30"/>
  <c r="AC33" i="1"/>
  <c r="AH33" i="1" s="1"/>
  <c r="L25" i="30" s="1"/>
  <c r="F25" i="30"/>
  <c r="AC32" i="1"/>
  <c r="F24" i="30"/>
  <c r="AC31" i="1"/>
  <c r="AH31" i="1" s="1"/>
  <c r="L23" i="30" s="1"/>
  <c r="F23" i="30"/>
  <c r="AC30" i="1"/>
  <c r="AH30" i="1" s="1"/>
  <c r="L22" i="30" s="1"/>
  <c r="F22" i="30"/>
  <c r="AC29" i="1"/>
  <c r="AH29" i="1" s="1"/>
  <c r="L21" i="30" s="1"/>
  <c r="F21" i="30"/>
  <c r="AC28" i="1"/>
  <c r="F20" i="30"/>
  <c r="AC27" i="1"/>
  <c r="AH27" i="1" s="1"/>
  <c r="L19" i="30" s="1"/>
  <c r="F19" i="30"/>
  <c r="AC26" i="1"/>
  <c r="AH26" i="1" s="1"/>
  <c r="L18" i="30" s="1"/>
  <c r="F18" i="30"/>
  <c r="AC25" i="1"/>
  <c r="AH25" i="1" s="1"/>
  <c r="L17" i="30" s="1"/>
  <c r="F17" i="30"/>
  <c r="AC24" i="1"/>
  <c r="F16" i="30"/>
  <c r="AC23" i="1"/>
  <c r="AH23" i="1" s="1"/>
  <c r="L15" i="30" s="1"/>
  <c r="F15" i="30"/>
  <c r="AC22" i="1"/>
  <c r="AH22" i="1" s="1"/>
  <c r="L14" i="30" s="1"/>
  <c r="F14" i="30"/>
  <c r="AC21" i="1"/>
  <c r="AH21" i="1" s="1"/>
  <c r="L13" i="30" s="1"/>
  <c r="F13" i="30"/>
  <c r="AC20" i="1"/>
  <c r="F12" i="30"/>
  <c r="AC19" i="1"/>
  <c r="AH19" i="1" s="1"/>
  <c r="L11" i="30" s="1"/>
  <c r="F11" i="30"/>
  <c r="AC18" i="1"/>
  <c r="AH18" i="1" s="1"/>
  <c r="L10" i="30" s="1"/>
  <c r="F10" i="30"/>
  <c r="AC17" i="1"/>
  <c r="AH17" i="1" s="1"/>
  <c r="L9" i="30" s="1"/>
  <c r="F9" i="30"/>
  <c r="H27" i="12"/>
  <c r="H25" i="30"/>
  <c r="H23" i="12"/>
  <c r="H21" i="30"/>
  <c r="H19" i="12"/>
  <c r="H17" i="30"/>
  <c r="H13" i="30"/>
  <c r="H15" i="12"/>
  <c r="H11" i="12"/>
  <c r="H9" i="30"/>
  <c r="AS18" i="1"/>
  <c r="T10" i="30" s="1"/>
  <c r="R10" i="30"/>
  <c r="AS17" i="1"/>
  <c r="T9" i="30" s="1"/>
  <c r="R9" i="30"/>
  <c r="AS35" i="1"/>
  <c r="T27" i="30" s="1"/>
  <c r="R27" i="30"/>
  <c r="AS34" i="1"/>
  <c r="T26" i="30" s="1"/>
  <c r="R26" i="30"/>
  <c r="AS33" i="1"/>
  <c r="T25" i="30" s="1"/>
  <c r="R25" i="30"/>
  <c r="AS32" i="1"/>
  <c r="T24" i="30" s="1"/>
  <c r="R24" i="30"/>
  <c r="AS31" i="1"/>
  <c r="T23" i="30" s="1"/>
  <c r="R23" i="30"/>
  <c r="AS30" i="1"/>
  <c r="T22" i="30" s="1"/>
  <c r="R22" i="30"/>
  <c r="AS29" i="1"/>
  <c r="T21" i="30" s="1"/>
  <c r="R21" i="30"/>
  <c r="AS28" i="1"/>
  <c r="T20" i="30" s="1"/>
  <c r="R20" i="30"/>
  <c r="AS27" i="1"/>
  <c r="T19" i="30" s="1"/>
  <c r="R19" i="30"/>
  <c r="AS26" i="1"/>
  <c r="T18" i="30" s="1"/>
  <c r="R18" i="30"/>
  <c r="AS25" i="1"/>
  <c r="T17" i="30" s="1"/>
  <c r="R17" i="30"/>
  <c r="AS24" i="1"/>
  <c r="T16" i="30" s="1"/>
  <c r="R16" i="30"/>
  <c r="AS23" i="1"/>
  <c r="T15" i="30" s="1"/>
  <c r="R15" i="30"/>
  <c r="AS22" i="1"/>
  <c r="T14" i="30" s="1"/>
  <c r="R14" i="30"/>
  <c r="AS21" i="1"/>
  <c r="T13" i="30" s="1"/>
  <c r="R13" i="30"/>
  <c r="AS20" i="1"/>
  <c r="T12" i="30" s="1"/>
  <c r="R12" i="30"/>
  <c r="AH32" i="1"/>
  <c r="L24" i="30" s="1"/>
  <c r="AH28" i="1"/>
  <c r="L20" i="30" s="1"/>
  <c r="AH24" i="1"/>
  <c r="L16" i="30" s="1"/>
  <c r="AH20" i="1"/>
  <c r="L12" i="30" s="1"/>
  <c r="W36" i="1"/>
  <c r="Z36" i="1"/>
  <c r="R28" i="30" l="1"/>
  <c r="H28" i="30"/>
  <c r="N23" i="12"/>
  <c r="M23" i="12"/>
  <c r="M18" i="12"/>
  <c r="N18" i="12"/>
  <c r="M26" i="12"/>
  <c r="N26" i="12"/>
  <c r="N13" i="12"/>
  <c r="M13" i="12"/>
  <c r="M21" i="12"/>
  <c r="N21" i="12"/>
  <c r="M27" i="12"/>
  <c r="N27" i="12"/>
  <c r="M29" i="12"/>
  <c r="N29" i="12"/>
  <c r="M25" i="12"/>
  <c r="N25" i="12"/>
  <c r="M16" i="12"/>
  <c r="N16" i="12"/>
  <c r="M24" i="12"/>
  <c r="N24" i="12"/>
  <c r="M11" i="12"/>
  <c r="N11" i="12"/>
  <c r="M19" i="12"/>
  <c r="N19" i="12"/>
  <c r="N15" i="12"/>
  <c r="M15" i="12"/>
  <c r="F28" i="30"/>
  <c r="M14" i="12"/>
  <c r="N14" i="12"/>
  <c r="M22" i="12"/>
  <c r="N22" i="12"/>
  <c r="M17" i="12"/>
  <c r="N17" i="12"/>
  <c r="M12" i="12"/>
  <c r="N12" i="12"/>
  <c r="M20" i="12"/>
  <c r="N20" i="12"/>
  <c r="M28" i="12"/>
  <c r="N28" i="12"/>
  <c r="H1005" i="10"/>
  <c r="H328" i="10"/>
  <c r="H185" i="10"/>
  <c r="B10" i="12"/>
  <c r="C10" i="12"/>
  <c r="E10" i="12"/>
  <c r="O10" i="12"/>
  <c r="P10" i="12"/>
  <c r="Q10" i="12"/>
  <c r="H887" i="4"/>
  <c r="G887" i="4"/>
  <c r="D887" i="4"/>
  <c r="E876" i="4"/>
  <c r="E874" i="4"/>
  <c r="H870" i="4"/>
  <c r="R870" i="4" s="1"/>
  <c r="E870" i="4"/>
  <c r="I1022" i="4"/>
  <c r="S1022" i="4" s="1"/>
  <c r="H1022" i="4"/>
  <c r="R1022" i="4" s="1"/>
  <c r="G1022" i="4"/>
  <c r="Q1022" i="4" s="1"/>
  <c r="F1022" i="4"/>
  <c r="P1022" i="4" s="1"/>
  <c r="E1022" i="4"/>
  <c r="O1022" i="4" s="1"/>
  <c r="D1022" i="4"/>
  <c r="N1022" i="4" s="1"/>
  <c r="E1020" i="4"/>
  <c r="O1016" i="4"/>
  <c r="E1011" i="4"/>
  <c r="O1011" i="4" s="1"/>
  <c r="E1009" i="4"/>
  <c r="O1009" i="4" s="1"/>
  <c r="O1007" i="4"/>
  <c r="E1005" i="4"/>
  <c r="O1005" i="4" s="1"/>
  <c r="B1003" i="4"/>
  <c r="L1003" i="4" s="1"/>
  <c r="L1002" i="4"/>
  <c r="N1001" i="4"/>
  <c r="I977" i="4"/>
  <c r="S977" i="4" s="1"/>
  <c r="H977" i="4"/>
  <c r="R977" i="4" s="1"/>
  <c r="G977" i="4"/>
  <c r="Q977" i="4" s="1"/>
  <c r="F977" i="4"/>
  <c r="P977" i="4" s="1"/>
  <c r="E977" i="4"/>
  <c r="O977" i="4" s="1"/>
  <c r="D977" i="4"/>
  <c r="N977" i="4" s="1"/>
  <c r="E975" i="4"/>
  <c r="O971" i="4"/>
  <c r="E966" i="4"/>
  <c r="O966" i="4" s="1"/>
  <c r="E964" i="4"/>
  <c r="O964" i="4" s="1"/>
  <c r="O962" i="4"/>
  <c r="E960" i="4"/>
  <c r="O960" i="4" s="1"/>
  <c r="B958" i="4"/>
  <c r="L958" i="4" s="1"/>
  <c r="L957" i="4"/>
  <c r="N956" i="4"/>
  <c r="L1019" i="10"/>
  <c r="K1019" i="10"/>
  <c r="I1019" i="10"/>
  <c r="E1019" i="10"/>
  <c r="H1011" i="10"/>
  <c r="J1014" i="10"/>
  <c r="H1012" i="10"/>
  <c r="H1007" i="10"/>
  <c r="H1004" i="10"/>
  <c r="L1069" i="10"/>
  <c r="K1069" i="10"/>
  <c r="I1069" i="10"/>
  <c r="G1069" i="10"/>
  <c r="E1069" i="10"/>
  <c r="J1068" i="10"/>
  <c r="J1064" i="10"/>
  <c r="H1062" i="10"/>
  <c r="H1061" i="10"/>
  <c r="J1060" i="10"/>
  <c r="J1059" i="10"/>
  <c r="H1058" i="10"/>
  <c r="H1057" i="10"/>
  <c r="H1055" i="10"/>
  <c r="H1054" i="10"/>
  <c r="G1019" i="10"/>
  <c r="J1009" i="10"/>
  <c r="G1336" i="27"/>
  <c r="G1334" i="27"/>
  <c r="F1345" i="27"/>
  <c r="F1346" i="27" s="1"/>
  <c r="AO27" i="29"/>
  <c r="C40" i="13"/>
  <c r="C16" i="13" s="1"/>
  <c r="D40" i="13"/>
  <c r="C14" i="13" s="1"/>
  <c r="A39" i="13"/>
  <c r="F39" i="13"/>
  <c r="G39" i="13"/>
  <c r="H617" i="4"/>
  <c r="AM35" i="1"/>
  <c r="AD49" i="1"/>
  <c r="AE49" i="1"/>
  <c r="AF49" i="1"/>
  <c r="AD50" i="1"/>
  <c r="AE50" i="1"/>
  <c r="AF50" i="1"/>
  <c r="AD51" i="1"/>
  <c r="AE51" i="1"/>
  <c r="AF51" i="1"/>
  <c r="AD52" i="1"/>
  <c r="AE52" i="1"/>
  <c r="AF52" i="1"/>
  <c r="AF48" i="1"/>
  <c r="AE48" i="1"/>
  <c r="AD48" i="1"/>
  <c r="Z49" i="1"/>
  <c r="Z50" i="1"/>
  <c r="Z51" i="1"/>
  <c r="Z52" i="1"/>
  <c r="Z48" i="1"/>
  <c r="F10" i="12"/>
  <c r="AO19" i="29"/>
  <c r="W49" i="1"/>
  <c r="W50" i="1"/>
  <c r="W51" i="1"/>
  <c r="W52" i="1"/>
  <c r="AO24" i="29"/>
  <c r="W48" i="1"/>
  <c r="E1024" i="4" l="1"/>
  <c r="O1024" i="4" s="1"/>
  <c r="G29" i="12"/>
  <c r="N27" i="30"/>
  <c r="E885" i="4"/>
  <c r="AT35" i="1"/>
  <c r="U27" i="30" s="1"/>
  <c r="AO26" i="29"/>
  <c r="AO20" i="29"/>
  <c r="AO14" i="29"/>
  <c r="AO9" i="29"/>
  <c r="AO25" i="29"/>
  <c r="AO23" i="29"/>
  <c r="AO18" i="29"/>
  <c r="AO13" i="29"/>
  <c r="AO8" i="29"/>
  <c r="AO15" i="29"/>
  <c r="AO11" i="29"/>
  <c r="J1018" i="10"/>
  <c r="J1020" i="10" s="1"/>
  <c r="E39" i="13"/>
  <c r="H39" i="13" s="1"/>
  <c r="AO22" i="29"/>
  <c r="AO17" i="29"/>
  <c r="AO12" i="29"/>
  <c r="O975" i="4"/>
  <c r="E979" i="4"/>
  <c r="O979" i="4" s="1"/>
  <c r="AO21" i="29"/>
  <c r="AO16" i="29"/>
  <c r="AO10" i="29"/>
  <c r="H10" i="12"/>
  <c r="J1070" i="10"/>
  <c r="O1020" i="4"/>
  <c r="M10" i="12" l="1"/>
  <c r="N10" i="12"/>
  <c r="AO28" i="29"/>
  <c r="H905" i="10"/>
  <c r="H955" i="10"/>
  <c r="H855" i="10"/>
  <c r="H805" i="10"/>
  <c r="H755" i="10"/>
  <c r="H705" i="10"/>
  <c r="H600" i="4"/>
  <c r="R600" i="4" s="1"/>
  <c r="H655" i="10"/>
  <c r="H605" i="10"/>
  <c r="H555" i="10"/>
  <c r="H499" i="10"/>
  <c r="H444" i="10"/>
  <c r="H392" i="10"/>
  <c r="E829" i="4"/>
  <c r="G825" i="4"/>
  <c r="R825" i="4" s="1"/>
  <c r="E825" i="4"/>
  <c r="O825" i="4" s="1"/>
  <c r="E784" i="4"/>
  <c r="O784" i="4" s="1"/>
  <c r="H780" i="4"/>
  <c r="R780" i="4" s="1"/>
  <c r="E780" i="4"/>
  <c r="O780" i="4" s="1"/>
  <c r="E739" i="4"/>
  <c r="O739" i="4" s="1"/>
  <c r="H735" i="4"/>
  <c r="R735" i="4" s="1"/>
  <c r="E735" i="4"/>
  <c r="E694" i="4"/>
  <c r="O694" i="4" s="1"/>
  <c r="H690" i="4"/>
  <c r="R690" i="4" s="1"/>
  <c r="E690" i="4"/>
  <c r="G645" i="4"/>
  <c r="R645" i="4" s="1"/>
  <c r="E649" i="4"/>
  <c r="E645" i="4"/>
  <c r="E604" i="4"/>
  <c r="E600" i="4"/>
  <c r="I932" i="4"/>
  <c r="S932" i="4" s="1"/>
  <c r="H932" i="4"/>
  <c r="R932" i="4" s="1"/>
  <c r="G932" i="4"/>
  <c r="Q932" i="4" s="1"/>
  <c r="F932" i="4"/>
  <c r="P932" i="4" s="1"/>
  <c r="E932" i="4"/>
  <c r="O932" i="4" s="1"/>
  <c r="D932" i="4"/>
  <c r="N932" i="4" s="1"/>
  <c r="E930" i="4"/>
  <c r="O926" i="4"/>
  <c r="E921" i="4"/>
  <c r="O921" i="4" s="1"/>
  <c r="E919" i="4"/>
  <c r="O919" i="4" s="1"/>
  <c r="O917" i="4"/>
  <c r="E915" i="4"/>
  <c r="O915" i="4" s="1"/>
  <c r="B913" i="4"/>
  <c r="L913" i="4" s="1"/>
  <c r="L912" i="4"/>
  <c r="N911" i="4"/>
  <c r="S887" i="4"/>
  <c r="R887" i="4"/>
  <c r="Q887" i="4"/>
  <c r="P887" i="4"/>
  <c r="O887" i="4"/>
  <c r="N887" i="4"/>
  <c r="O881" i="4"/>
  <c r="O876" i="4"/>
  <c r="O874" i="4"/>
  <c r="O872" i="4"/>
  <c r="O870" i="4"/>
  <c r="B868" i="4"/>
  <c r="L868" i="4" s="1"/>
  <c r="L867" i="4"/>
  <c r="N866" i="4"/>
  <c r="I842" i="4"/>
  <c r="S842" i="4" s="1"/>
  <c r="E842" i="4"/>
  <c r="O842" i="4" s="1"/>
  <c r="O836" i="4"/>
  <c r="O829" i="4"/>
  <c r="O827" i="4"/>
  <c r="B823" i="4"/>
  <c r="L823" i="4" s="1"/>
  <c r="L822" i="4"/>
  <c r="N821" i="4"/>
  <c r="I797" i="4"/>
  <c r="S797" i="4" s="1"/>
  <c r="E797" i="4"/>
  <c r="O797" i="4" s="1"/>
  <c r="O791" i="4"/>
  <c r="O782" i="4"/>
  <c r="B778" i="4"/>
  <c r="L778" i="4" s="1"/>
  <c r="L777" i="4"/>
  <c r="N776" i="4"/>
  <c r="I752" i="4"/>
  <c r="S752" i="4" s="1"/>
  <c r="E752" i="4"/>
  <c r="O752" i="4" s="1"/>
  <c r="O746" i="4"/>
  <c r="O737" i="4"/>
  <c r="O735" i="4"/>
  <c r="B733" i="4"/>
  <c r="L733" i="4" s="1"/>
  <c r="L732" i="4"/>
  <c r="N731" i="4"/>
  <c r="I707" i="4"/>
  <c r="S707" i="4" s="1"/>
  <c r="E707" i="4"/>
  <c r="O707" i="4" s="1"/>
  <c r="O701" i="4"/>
  <c r="O692" i="4"/>
  <c r="O690" i="4"/>
  <c r="B688" i="4"/>
  <c r="L688" i="4" s="1"/>
  <c r="L687" i="4"/>
  <c r="N686" i="4"/>
  <c r="J960" i="10"/>
  <c r="H961" i="10"/>
  <c r="H962" i="10"/>
  <c r="H958" i="10"/>
  <c r="H957" i="10"/>
  <c r="H954" i="10"/>
  <c r="H912" i="10"/>
  <c r="H911" i="10"/>
  <c r="J910" i="10"/>
  <c r="H908" i="10"/>
  <c r="H907" i="10"/>
  <c r="H904" i="10"/>
  <c r="H861" i="10"/>
  <c r="J860" i="10"/>
  <c r="H858" i="10"/>
  <c r="H857" i="10"/>
  <c r="H854" i="10"/>
  <c r="H862" i="10"/>
  <c r="H812" i="10"/>
  <c r="H811" i="10"/>
  <c r="J810" i="10"/>
  <c r="H808" i="10"/>
  <c r="H807" i="10"/>
  <c r="H804" i="10"/>
  <c r="H761" i="10"/>
  <c r="H762" i="10"/>
  <c r="J760" i="10"/>
  <c r="H758" i="10"/>
  <c r="H757" i="10"/>
  <c r="H754" i="10"/>
  <c r="H712" i="10"/>
  <c r="H711" i="10"/>
  <c r="J710" i="10"/>
  <c r="H707" i="10"/>
  <c r="H704" i="10"/>
  <c r="G969" i="10"/>
  <c r="J959" i="10"/>
  <c r="G919" i="10"/>
  <c r="J909" i="10"/>
  <c r="G869" i="10"/>
  <c r="J859" i="10"/>
  <c r="G819" i="10"/>
  <c r="J809" i="10"/>
  <c r="G769" i="10"/>
  <c r="J759" i="10"/>
  <c r="F1273" i="27"/>
  <c r="F1274" i="27" s="1"/>
  <c r="F1275" i="27" s="1"/>
  <c r="F1201" i="27"/>
  <c r="F1202" i="27" s="1"/>
  <c r="F1203" i="27" s="1"/>
  <c r="F1125" i="27"/>
  <c r="F1126" i="27" s="1"/>
  <c r="F1127" i="27" s="1"/>
  <c r="F1053" i="27"/>
  <c r="F1054" i="27" s="1"/>
  <c r="F1055" i="27" s="1"/>
  <c r="F981" i="27"/>
  <c r="F982" i="27" s="1"/>
  <c r="F983" i="27" s="1"/>
  <c r="F909" i="27"/>
  <c r="F910" i="27" s="1"/>
  <c r="F911" i="27" s="1"/>
  <c r="G1264" i="27"/>
  <c r="G1262" i="27"/>
  <c r="G1192" i="27"/>
  <c r="G1190" i="27"/>
  <c r="G1116" i="27"/>
  <c r="G1114" i="27"/>
  <c r="G1044" i="27"/>
  <c r="G1042" i="27"/>
  <c r="G972" i="27"/>
  <c r="G970" i="27"/>
  <c r="G900" i="27"/>
  <c r="G898" i="27"/>
  <c r="G1705" i="27"/>
  <c r="G1703" i="27"/>
  <c r="G1633" i="27"/>
  <c r="G1631" i="27"/>
  <c r="G1561" i="27"/>
  <c r="G1559" i="27"/>
  <c r="G1489" i="27"/>
  <c r="G1487" i="27"/>
  <c r="G1417" i="27"/>
  <c r="G1415" i="27"/>
  <c r="F720" i="27"/>
  <c r="F721" i="27" s="1"/>
  <c r="F722" i="27" s="1"/>
  <c r="F647" i="27"/>
  <c r="F648" i="27" s="1"/>
  <c r="F649" i="27" s="1"/>
  <c r="F576" i="27"/>
  <c r="F577" i="27" s="1"/>
  <c r="F578" i="27" s="1"/>
  <c r="F505" i="27"/>
  <c r="F506" i="27" s="1"/>
  <c r="F507" i="27" s="1"/>
  <c r="F436" i="27"/>
  <c r="F437" i="27" s="1"/>
  <c r="F438" i="27" s="1"/>
  <c r="F369" i="27"/>
  <c r="F370" i="27" s="1"/>
  <c r="F371" i="27" s="1"/>
  <c r="F301" i="27"/>
  <c r="F302" i="27" s="1"/>
  <c r="F303" i="27" s="1"/>
  <c r="F233" i="27"/>
  <c r="F234" i="27" s="1"/>
  <c r="F235" i="27" s="1"/>
  <c r="F165" i="27"/>
  <c r="F166" i="27" s="1"/>
  <c r="F167" i="27" s="1"/>
  <c r="F97" i="27"/>
  <c r="F98" i="27" s="1"/>
  <c r="F99" i="27" s="1"/>
  <c r="F18" i="27"/>
  <c r="F19" i="27" s="1"/>
  <c r="F20" i="27" s="1"/>
  <c r="B8" i="29"/>
  <c r="C8" i="29"/>
  <c r="D8" i="29"/>
  <c r="E8" i="29"/>
  <c r="F8" i="29"/>
  <c r="A20" i="13"/>
  <c r="A21" i="13"/>
  <c r="A22" i="13"/>
  <c r="A23" i="13"/>
  <c r="A24" i="13"/>
  <c r="A25" i="13"/>
  <c r="A26" i="13"/>
  <c r="A27" i="13"/>
  <c r="A28" i="13"/>
  <c r="A29" i="13"/>
  <c r="A30" i="13"/>
  <c r="A31" i="13"/>
  <c r="A32" i="13"/>
  <c r="A33" i="13"/>
  <c r="A34" i="13"/>
  <c r="A35" i="13"/>
  <c r="A36" i="13"/>
  <c r="A37" i="13"/>
  <c r="A38" i="13"/>
  <c r="L719" i="10"/>
  <c r="K769" i="10"/>
  <c r="L769" i="10"/>
  <c r="K819" i="10"/>
  <c r="H707" i="4"/>
  <c r="R707" i="4" s="1"/>
  <c r="K869" i="10"/>
  <c r="L869" i="10"/>
  <c r="K919" i="10"/>
  <c r="H797" i="4"/>
  <c r="R797" i="4" s="1"/>
  <c r="G842" i="4"/>
  <c r="Q842" i="4" s="1"/>
  <c r="H842" i="4"/>
  <c r="R842" i="4" s="1"/>
  <c r="E889" i="4" l="1"/>
  <c r="O889" i="4" s="1"/>
  <c r="E934" i="4"/>
  <c r="O934" i="4" s="1"/>
  <c r="J964" i="10"/>
  <c r="E651" i="4"/>
  <c r="J764" i="10"/>
  <c r="J914" i="10"/>
  <c r="J714" i="10"/>
  <c r="L919" i="10"/>
  <c r="E606" i="4"/>
  <c r="H662" i="4"/>
  <c r="E696" i="4"/>
  <c r="O696" i="4" s="1"/>
  <c r="G707" i="4"/>
  <c r="Q707" i="4" s="1"/>
  <c r="H752" i="4"/>
  <c r="R752" i="4" s="1"/>
  <c r="E831" i="4"/>
  <c r="O831" i="4" s="1"/>
  <c r="E741" i="4"/>
  <c r="O741" i="4" s="1"/>
  <c r="J864" i="10"/>
  <c r="J814" i="10"/>
  <c r="K969" i="10"/>
  <c r="G662" i="4"/>
  <c r="G617" i="4"/>
  <c r="K719" i="10"/>
  <c r="L819" i="10"/>
  <c r="L969" i="10"/>
  <c r="G752" i="4"/>
  <c r="Q752" i="4" s="1"/>
  <c r="E786" i="4"/>
  <c r="O786" i="4" s="1"/>
  <c r="G797" i="4"/>
  <c r="Q797" i="4" s="1"/>
  <c r="O885" i="4"/>
  <c r="O930" i="4"/>
  <c r="H561" i="10" l="1"/>
  <c r="H505" i="10"/>
  <c r="H450" i="10"/>
  <c r="H447" i="10"/>
  <c r="J397" i="10"/>
  <c r="H395" i="10"/>
  <c r="H394" i="10"/>
  <c r="H510" i="4"/>
  <c r="R510" i="4" s="1"/>
  <c r="E559" i="4"/>
  <c r="H555" i="4"/>
  <c r="R555" i="4" s="1"/>
  <c r="E555" i="4"/>
  <c r="O647" i="4"/>
  <c r="E514" i="4"/>
  <c r="E510" i="4"/>
  <c r="H662" i="10"/>
  <c r="H661" i="10"/>
  <c r="J660" i="10"/>
  <c r="H658" i="10"/>
  <c r="H657" i="10"/>
  <c r="H654" i="10"/>
  <c r="H611" i="10"/>
  <c r="H612" i="10"/>
  <c r="J610" i="10"/>
  <c r="H608" i="10"/>
  <c r="H607" i="10"/>
  <c r="H604" i="10"/>
  <c r="F833" i="27"/>
  <c r="F834" i="27" s="1"/>
  <c r="F835" i="27" s="1"/>
  <c r="F836" i="27" s="1"/>
  <c r="F761" i="27"/>
  <c r="F762" i="27" s="1"/>
  <c r="F763" i="27" s="1"/>
  <c r="F764" i="27" s="1"/>
  <c r="G824" i="27"/>
  <c r="G822" i="27"/>
  <c r="G752" i="27"/>
  <c r="G750" i="27"/>
  <c r="H572" i="4" l="1"/>
  <c r="L669" i="10"/>
  <c r="H302" i="4"/>
  <c r="G572" i="4"/>
  <c r="K669" i="10"/>
  <c r="G302" i="4"/>
  <c r="K619" i="10"/>
  <c r="G527" i="4"/>
  <c r="H527" i="4"/>
  <c r="L619" i="10"/>
  <c r="E516" i="4" l="1"/>
  <c r="J614" i="10"/>
  <c r="E561" i="4"/>
  <c r="J664" i="10"/>
  <c r="H465" i="4" l="1"/>
  <c r="R465" i="4" s="1"/>
  <c r="E469" i="4"/>
  <c r="O469" i="4" s="1"/>
  <c r="E465" i="4"/>
  <c r="O465" i="4" s="1"/>
  <c r="E424" i="4"/>
  <c r="O424" i="4" s="1"/>
  <c r="H420" i="4"/>
  <c r="R420" i="4" s="1"/>
  <c r="E420" i="4"/>
  <c r="O420" i="4" s="1"/>
  <c r="E379" i="4"/>
  <c r="O379" i="4" s="1"/>
  <c r="G375" i="4"/>
  <c r="Q375" i="4" s="1"/>
  <c r="E375" i="4"/>
  <c r="O375" i="4" s="1"/>
  <c r="E334" i="4"/>
  <c r="H330" i="4"/>
  <c r="R330" i="4" s="1"/>
  <c r="E330" i="4"/>
  <c r="H285" i="4"/>
  <c r="R285" i="4" s="1"/>
  <c r="E285" i="4"/>
  <c r="E289" i="4"/>
  <c r="I662" i="4"/>
  <c r="S662" i="4" s="1"/>
  <c r="R662" i="4"/>
  <c r="Q662" i="4"/>
  <c r="E662" i="4"/>
  <c r="O662" i="4" s="1"/>
  <c r="O656" i="4"/>
  <c r="O651" i="4"/>
  <c r="O649" i="4"/>
  <c r="O645" i="4"/>
  <c r="B643" i="4"/>
  <c r="L643" i="4" s="1"/>
  <c r="L642" i="4"/>
  <c r="N641" i="4"/>
  <c r="I617" i="4"/>
  <c r="S617" i="4" s="1"/>
  <c r="R617" i="4"/>
  <c r="Q617" i="4"/>
  <c r="E617" i="4"/>
  <c r="O617" i="4" s="1"/>
  <c r="O611" i="4"/>
  <c r="O606" i="4"/>
  <c r="O604" i="4"/>
  <c r="O602" i="4"/>
  <c r="O600" i="4"/>
  <c r="B598" i="4"/>
  <c r="L598" i="4" s="1"/>
  <c r="L597" i="4"/>
  <c r="N596" i="4"/>
  <c r="I572" i="4"/>
  <c r="S572" i="4" s="1"/>
  <c r="R572" i="4"/>
  <c r="Q572" i="4"/>
  <c r="E572" i="4"/>
  <c r="O572" i="4" s="1"/>
  <c r="O566" i="4"/>
  <c r="O561" i="4"/>
  <c r="O559" i="4"/>
  <c r="O557" i="4"/>
  <c r="O555" i="4"/>
  <c r="B553" i="4"/>
  <c r="L553" i="4" s="1"/>
  <c r="L552" i="4"/>
  <c r="N551" i="4"/>
  <c r="I527" i="4"/>
  <c r="S527" i="4" s="1"/>
  <c r="R527" i="4"/>
  <c r="Q527" i="4"/>
  <c r="E527" i="4"/>
  <c r="O527" i="4" s="1"/>
  <c r="O521" i="4"/>
  <c r="O516" i="4"/>
  <c r="O514" i="4"/>
  <c r="O512" i="4"/>
  <c r="O510" i="4"/>
  <c r="B508" i="4"/>
  <c r="L508" i="4" s="1"/>
  <c r="L507" i="4"/>
  <c r="N506" i="4"/>
  <c r="E482" i="4"/>
  <c r="O482" i="4" s="1"/>
  <c r="O476" i="4"/>
  <c r="O467" i="4"/>
  <c r="B463" i="4"/>
  <c r="L463" i="4" s="1"/>
  <c r="L462" i="4"/>
  <c r="N461" i="4"/>
  <c r="E437" i="4"/>
  <c r="O437" i="4" s="1"/>
  <c r="O431" i="4"/>
  <c r="O422" i="4"/>
  <c r="B418" i="4"/>
  <c r="L418" i="4" s="1"/>
  <c r="L417" i="4"/>
  <c r="N416" i="4"/>
  <c r="E392" i="4"/>
  <c r="O392" i="4" s="1"/>
  <c r="O386" i="4"/>
  <c r="O377" i="4"/>
  <c r="B373" i="4"/>
  <c r="L373" i="4" s="1"/>
  <c r="L372" i="4"/>
  <c r="N371" i="4"/>
  <c r="H562" i="10"/>
  <c r="H558" i="10"/>
  <c r="J560" i="10"/>
  <c r="H557" i="10"/>
  <c r="H554" i="10"/>
  <c r="H506" i="10"/>
  <c r="J504" i="10"/>
  <c r="H502" i="10"/>
  <c r="H501" i="10"/>
  <c r="H498" i="10"/>
  <c r="H451" i="10"/>
  <c r="J449" i="10"/>
  <c r="H446" i="10"/>
  <c r="H443" i="10"/>
  <c r="H399" i="10"/>
  <c r="H391" i="10"/>
  <c r="G719" i="10"/>
  <c r="J709" i="10"/>
  <c r="H708" i="10"/>
  <c r="G669" i="10"/>
  <c r="J659" i="10"/>
  <c r="G619" i="10"/>
  <c r="J609" i="10"/>
  <c r="G569" i="10"/>
  <c r="J559" i="10"/>
  <c r="G513" i="10"/>
  <c r="J503" i="10"/>
  <c r="G458" i="10"/>
  <c r="J448" i="10"/>
  <c r="G406" i="10"/>
  <c r="J396" i="10"/>
  <c r="J333" i="10"/>
  <c r="H335" i="10"/>
  <c r="H331" i="10"/>
  <c r="H330" i="10"/>
  <c r="H327" i="10"/>
  <c r="G708" i="27"/>
  <c r="G638" i="27"/>
  <c r="G636" i="27"/>
  <c r="G566" i="27"/>
  <c r="G564" i="27"/>
  <c r="G496" i="27"/>
  <c r="G494" i="27"/>
  <c r="G426" i="27"/>
  <c r="G424" i="27"/>
  <c r="I302" i="4"/>
  <c r="H347" i="4"/>
  <c r="H392" i="4"/>
  <c r="R392" i="4" s="1"/>
  <c r="H437" i="4"/>
  <c r="R437" i="4" s="1"/>
  <c r="H482" i="4"/>
  <c r="R482" i="4" s="1"/>
  <c r="G392" i="4"/>
  <c r="Q392" i="4" s="1"/>
  <c r="K513" i="10"/>
  <c r="G482" i="4"/>
  <c r="Q482" i="4" s="1"/>
  <c r="J337" i="10"/>
  <c r="K342" i="10" l="1"/>
  <c r="J401" i="10"/>
  <c r="K406" i="10"/>
  <c r="H398" i="10"/>
  <c r="J453" i="10"/>
  <c r="K458" i="10"/>
  <c r="L513" i="10"/>
  <c r="J564" i="10"/>
  <c r="K569" i="10"/>
  <c r="E291" i="4"/>
  <c r="E336" i="4"/>
  <c r="G347" i="4"/>
  <c r="E381" i="4"/>
  <c r="O381" i="4" s="1"/>
  <c r="E426" i="4"/>
  <c r="O426" i="4" s="1"/>
  <c r="G437" i="4"/>
  <c r="Q437" i="4" s="1"/>
  <c r="E471" i="4"/>
  <c r="O471" i="4" s="1"/>
  <c r="L342" i="10"/>
  <c r="L406" i="10"/>
  <c r="L458" i="10"/>
  <c r="J508" i="10"/>
  <c r="L569" i="10"/>
  <c r="H282" i="10"/>
  <c r="J291" i="10"/>
  <c r="H288" i="10"/>
  <c r="J240" i="10"/>
  <c r="J287" i="10"/>
  <c r="H236" i="10"/>
  <c r="H242" i="10"/>
  <c r="J241" i="10"/>
  <c r="H191" i="10"/>
  <c r="J189" i="10"/>
  <c r="J25" i="10"/>
  <c r="U48" i="1" l="1"/>
  <c r="H257" i="4" l="1"/>
  <c r="G257" i="4"/>
  <c r="H212" i="4"/>
  <c r="G212" i="4"/>
  <c r="H167" i="4"/>
  <c r="G167" i="4"/>
  <c r="E246" i="4"/>
  <c r="E244" i="4"/>
  <c r="E201" i="4"/>
  <c r="E199" i="4"/>
  <c r="E156" i="4"/>
  <c r="H240" i="4"/>
  <c r="R240" i="4" s="1"/>
  <c r="E240" i="4"/>
  <c r="H195" i="4"/>
  <c r="R195" i="4" s="1"/>
  <c r="E195" i="4"/>
  <c r="H150" i="4"/>
  <c r="R150" i="4" s="1"/>
  <c r="E150" i="4"/>
  <c r="E154" i="4"/>
  <c r="L296" i="10"/>
  <c r="K296" i="10"/>
  <c r="L250" i="10"/>
  <c r="K250" i="10"/>
  <c r="L199" i="10"/>
  <c r="K199" i="10"/>
  <c r="H289" i="10"/>
  <c r="H284" i="10"/>
  <c r="H238" i="10"/>
  <c r="J245" i="10"/>
  <c r="J194" i="10"/>
  <c r="H187" i="10"/>
  <c r="H281" i="10"/>
  <c r="H243" i="10"/>
  <c r="H235" i="10"/>
  <c r="H192" i="10"/>
  <c r="H184" i="10"/>
  <c r="G342" i="10"/>
  <c r="H334" i="10"/>
  <c r="J332" i="10"/>
  <c r="G296" i="10"/>
  <c r="J286" i="10"/>
  <c r="G250" i="10"/>
  <c r="G199" i="10"/>
  <c r="J190" i="10"/>
  <c r="G356" i="27"/>
  <c r="G288" i="27"/>
  <c r="H219" i="27"/>
  <c r="H119" i="4" l="1"/>
  <c r="G119" i="4"/>
  <c r="E119" i="4"/>
  <c r="E108" i="4"/>
  <c r="H102" i="4"/>
  <c r="R102" i="4" s="1"/>
  <c r="E102" i="4"/>
  <c r="H72" i="4"/>
  <c r="G72" i="4"/>
  <c r="E72" i="4"/>
  <c r="E61" i="4"/>
  <c r="H55" i="4"/>
  <c r="R55" i="4" s="1"/>
  <c r="E55" i="4"/>
  <c r="H25" i="4"/>
  <c r="G25" i="4"/>
  <c r="E25" i="4"/>
  <c r="E14" i="4"/>
  <c r="H8" i="4"/>
  <c r="R8" i="4" s="1"/>
  <c r="E8" i="4"/>
  <c r="L142" i="10"/>
  <c r="K142" i="10"/>
  <c r="G142" i="10"/>
  <c r="J137" i="10"/>
  <c r="H134" i="10"/>
  <c r="J133" i="10"/>
  <c r="J132" i="10"/>
  <c r="H131" i="10"/>
  <c r="H130" i="10"/>
  <c r="H129" i="10"/>
  <c r="H128" i="10"/>
  <c r="H127" i="10"/>
  <c r="L88" i="10"/>
  <c r="K88" i="10"/>
  <c r="G88" i="10"/>
  <c r="J83" i="10"/>
  <c r="H80" i="10"/>
  <c r="J79" i="10"/>
  <c r="J78" i="10"/>
  <c r="H77" i="10"/>
  <c r="H76" i="10"/>
  <c r="H75" i="10"/>
  <c r="H74" i="10"/>
  <c r="H73" i="10"/>
  <c r="L34" i="10"/>
  <c r="K34" i="10"/>
  <c r="G34" i="10"/>
  <c r="J29" i="10"/>
  <c r="H26" i="10"/>
  <c r="J24" i="10"/>
  <c r="H23" i="10"/>
  <c r="H22" i="10"/>
  <c r="H21" i="10"/>
  <c r="H20" i="10"/>
  <c r="H19" i="10"/>
  <c r="G154" i="27"/>
  <c r="G152" i="27"/>
  <c r="G86" i="27"/>
  <c r="G84" i="27"/>
  <c r="G7" i="27"/>
  <c r="G5" i="27"/>
  <c r="C739" i="18" l="1"/>
  <c r="C738" i="18"/>
  <c r="C688" i="18"/>
  <c r="A686" i="18"/>
  <c r="A685" i="18"/>
  <c r="C671" i="18"/>
  <c r="C670" i="18"/>
  <c r="C620" i="18"/>
  <c r="A618" i="18"/>
  <c r="A617" i="18"/>
  <c r="C603" i="18"/>
  <c r="B603" i="18"/>
  <c r="C602" i="18"/>
  <c r="B587" i="18"/>
  <c r="B604" i="18" s="1"/>
  <c r="B607" i="18" s="1"/>
  <c r="C585" i="18"/>
  <c r="C584" i="18"/>
  <c r="C583" i="18"/>
  <c r="C581" i="18"/>
  <c r="C580" i="18"/>
  <c r="C579" i="18"/>
  <c r="C576" i="18"/>
  <c r="C575" i="18"/>
  <c r="A569" i="18"/>
  <c r="C552" i="18"/>
  <c r="A550" i="18"/>
  <c r="A549" i="18"/>
  <c r="C535" i="18"/>
  <c r="B535" i="18"/>
  <c r="C534" i="18"/>
  <c r="B519" i="18"/>
  <c r="B536" i="18" s="1"/>
  <c r="B539" i="18" s="1"/>
  <c r="C517" i="18"/>
  <c r="C516" i="18"/>
  <c r="C515" i="18"/>
  <c r="C513" i="18"/>
  <c r="C512" i="18"/>
  <c r="C511" i="18"/>
  <c r="C508" i="18"/>
  <c r="C507" i="18"/>
  <c r="A501" i="18"/>
  <c r="C484" i="18"/>
  <c r="A482" i="18"/>
  <c r="A481" i="18"/>
  <c r="C467" i="18"/>
  <c r="B467" i="18"/>
  <c r="C466" i="18"/>
  <c r="B451" i="18"/>
  <c r="B468" i="18" s="1"/>
  <c r="B471" i="18" s="1"/>
  <c r="C449" i="18"/>
  <c r="C448" i="18"/>
  <c r="C447" i="18"/>
  <c r="C445" i="18"/>
  <c r="C444" i="18"/>
  <c r="C443" i="18"/>
  <c r="C440" i="18"/>
  <c r="C439" i="18"/>
  <c r="A433" i="18"/>
  <c r="C416" i="18"/>
  <c r="A414" i="18"/>
  <c r="A413" i="18"/>
  <c r="C399" i="18"/>
  <c r="B399" i="18"/>
  <c r="C398" i="18"/>
  <c r="B383" i="18"/>
  <c r="B400" i="18" s="1"/>
  <c r="B403" i="18" s="1"/>
  <c r="C381" i="18"/>
  <c r="C380" i="18"/>
  <c r="C379" i="18"/>
  <c r="C377" i="18"/>
  <c r="C376" i="18"/>
  <c r="C375" i="18"/>
  <c r="C372" i="18"/>
  <c r="C371" i="18"/>
  <c r="A365" i="18"/>
  <c r="C348" i="18"/>
  <c r="A346" i="18"/>
  <c r="A345" i="18"/>
  <c r="C331" i="18"/>
  <c r="B331" i="18"/>
  <c r="C330" i="18"/>
  <c r="B315" i="18"/>
  <c r="B332" i="18" s="1"/>
  <c r="B335" i="18" s="1"/>
  <c r="C313" i="18"/>
  <c r="C312" i="18"/>
  <c r="C311" i="18"/>
  <c r="C309" i="18"/>
  <c r="C308" i="18"/>
  <c r="C307" i="18"/>
  <c r="C304" i="18"/>
  <c r="C303" i="18"/>
  <c r="A297" i="18"/>
  <c r="C280" i="18"/>
  <c r="A278" i="18"/>
  <c r="A277" i="18"/>
  <c r="C263" i="18"/>
  <c r="B263" i="18"/>
  <c r="C262" i="18"/>
  <c r="B247" i="18"/>
  <c r="B264" i="18" s="1"/>
  <c r="B267" i="18" s="1"/>
  <c r="C245" i="18"/>
  <c r="C244" i="18"/>
  <c r="C243" i="18"/>
  <c r="C241" i="18"/>
  <c r="C240" i="18"/>
  <c r="C239" i="18"/>
  <c r="C236" i="18"/>
  <c r="C235" i="18"/>
  <c r="A229" i="18"/>
  <c r="C212" i="18"/>
  <c r="A210" i="18"/>
  <c r="A209" i="18"/>
  <c r="C195" i="18"/>
  <c r="B195" i="18"/>
  <c r="C194" i="18"/>
  <c r="B179" i="18"/>
  <c r="B196" i="18" s="1"/>
  <c r="B199" i="18" s="1"/>
  <c r="C177" i="18"/>
  <c r="C176" i="18"/>
  <c r="C175" i="18"/>
  <c r="C173" i="18"/>
  <c r="C172" i="18"/>
  <c r="C171" i="18"/>
  <c r="C168" i="18"/>
  <c r="C167" i="18"/>
  <c r="A161" i="18"/>
  <c r="C144" i="18"/>
  <c r="A142" i="18"/>
  <c r="A141" i="18"/>
  <c r="C127" i="18"/>
  <c r="B127" i="18"/>
  <c r="C126" i="18"/>
  <c r="B111" i="18"/>
  <c r="B128" i="18" s="1"/>
  <c r="B131" i="18" s="1"/>
  <c r="C109" i="18"/>
  <c r="C108" i="18"/>
  <c r="C107" i="18"/>
  <c r="C105" i="18"/>
  <c r="C104" i="18"/>
  <c r="C103" i="18"/>
  <c r="C100" i="18"/>
  <c r="C99" i="18"/>
  <c r="A93" i="18"/>
  <c r="C76" i="18"/>
  <c r="A74" i="18"/>
  <c r="A73" i="18"/>
  <c r="C59" i="18"/>
  <c r="B59" i="18"/>
  <c r="C58" i="18"/>
  <c r="B43" i="18"/>
  <c r="B60" i="18" s="1"/>
  <c r="B63" i="18" s="1"/>
  <c r="C41" i="18"/>
  <c r="C40" i="18"/>
  <c r="C39" i="18"/>
  <c r="C37" i="18"/>
  <c r="C36" i="18"/>
  <c r="C35" i="18"/>
  <c r="C32" i="18"/>
  <c r="C31" i="18"/>
  <c r="A25" i="18"/>
  <c r="C8" i="18"/>
  <c r="A6" i="18"/>
  <c r="A5" i="18"/>
  <c r="B597" i="17"/>
  <c r="J596" i="17"/>
  <c r="E596" i="17"/>
  <c r="I563" i="17"/>
  <c r="J562" i="17"/>
  <c r="B543" i="17"/>
  <c r="J542" i="17"/>
  <c r="E542" i="17"/>
  <c r="H514" i="17"/>
  <c r="H513" i="17"/>
  <c r="I509" i="17"/>
  <c r="J508" i="17"/>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B42" i="17"/>
  <c r="J41" i="17"/>
  <c r="E41" i="17"/>
  <c r="D37" i="17"/>
  <c r="C56" i="17" s="1"/>
  <c r="H12" i="17"/>
  <c r="H11" i="17"/>
  <c r="H9" i="17"/>
  <c r="H8" i="17"/>
  <c r="I5" i="17"/>
  <c r="J4" i="17"/>
  <c r="K3" i="17"/>
  <c r="F587" i="20"/>
  <c r="F586" i="20"/>
  <c r="H549" i="20"/>
  <c r="H548" i="20"/>
  <c r="H547" i="20"/>
  <c r="H544" i="20"/>
  <c r="H543" i="20"/>
  <c r="H542" i="20"/>
  <c r="H541" i="20"/>
  <c r="F536" i="20"/>
  <c r="F535" i="20"/>
  <c r="H498" i="20"/>
  <c r="H497" i="20"/>
  <c r="H496" i="20"/>
  <c r="H493" i="20"/>
  <c r="H492" i="20"/>
  <c r="H491" i="20"/>
  <c r="H490" i="20"/>
  <c r="F485" i="20"/>
  <c r="B485" i="20"/>
  <c r="F484" i="20"/>
  <c r="K481" i="20"/>
  <c r="C479" i="20"/>
  <c r="B452" i="20"/>
  <c r="H446" i="20"/>
  <c r="H445" i="20"/>
  <c r="H444" i="20"/>
  <c r="H441" i="20"/>
  <c r="H440" i="20"/>
  <c r="H439" i="20"/>
  <c r="H438" i="20"/>
  <c r="F432" i="20"/>
  <c r="B432" i="20"/>
  <c r="F431" i="20"/>
  <c r="K427" i="20"/>
  <c r="C425" i="20"/>
  <c r="B398" i="20"/>
  <c r="H392" i="20"/>
  <c r="H391" i="20"/>
  <c r="H390" i="20"/>
  <c r="H387" i="20"/>
  <c r="H386" i="20"/>
  <c r="H385" i="20"/>
  <c r="H384" i="20"/>
  <c r="F378" i="20"/>
  <c r="B378" i="20"/>
  <c r="F377" i="20"/>
  <c r="K373" i="20"/>
  <c r="C371" i="20"/>
  <c r="B344" i="20"/>
  <c r="H338" i="20"/>
  <c r="H337" i="20"/>
  <c r="H336" i="20"/>
  <c r="H333" i="20"/>
  <c r="H332" i="20"/>
  <c r="H331" i="20"/>
  <c r="H330" i="20"/>
  <c r="F323" i="20"/>
  <c r="B323" i="20"/>
  <c r="F322" i="20"/>
  <c r="K318" i="20"/>
  <c r="C316" i="20"/>
  <c r="B289" i="20"/>
  <c r="H283" i="20"/>
  <c r="H282" i="20"/>
  <c r="H281" i="20"/>
  <c r="H278" i="20"/>
  <c r="H277" i="20"/>
  <c r="H276" i="20"/>
  <c r="H275" i="20"/>
  <c r="F270" i="20"/>
  <c r="B270" i="20"/>
  <c r="F269" i="20"/>
  <c r="K265" i="20"/>
  <c r="C263" i="20"/>
  <c r="B236" i="20"/>
  <c r="H230" i="20"/>
  <c r="H229" i="20"/>
  <c r="H228" i="20"/>
  <c r="H225" i="20"/>
  <c r="H224" i="20"/>
  <c r="H223" i="20"/>
  <c r="H222" i="20"/>
  <c r="F216" i="20"/>
  <c r="B216" i="20"/>
  <c r="F215" i="20"/>
  <c r="K211" i="20"/>
  <c r="C209" i="20"/>
  <c r="B182" i="20"/>
  <c r="H176" i="20"/>
  <c r="H175" i="20"/>
  <c r="H174" i="20"/>
  <c r="H171" i="20"/>
  <c r="H170" i="20"/>
  <c r="H169" i="20"/>
  <c r="H168" i="20"/>
  <c r="F162" i="20"/>
  <c r="B162" i="20"/>
  <c r="F161" i="20"/>
  <c r="C155" i="20"/>
  <c r="B128" i="20"/>
  <c r="H122" i="20"/>
  <c r="H121" i="20"/>
  <c r="H120" i="20"/>
  <c r="H117" i="20"/>
  <c r="H116" i="20"/>
  <c r="H115" i="20"/>
  <c r="H114" i="20"/>
  <c r="F108" i="20"/>
  <c r="B108" i="20"/>
  <c r="F107" i="20"/>
  <c r="K103" i="20"/>
  <c r="C101" i="20"/>
  <c r="B74" i="20"/>
  <c r="H68" i="20"/>
  <c r="H67" i="20"/>
  <c r="H66" i="20"/>
  <c r="H63" i="20"/>
  <c r="H62" i="20"/>
  <c r="H61" i="20"/>
  <c r="H60" i="20"/>
  <c r="F54" i="20"/>
  <c r="B54" i="20"/>
  <c r="F53" i="20"/>
  <c r="K49" i="20"/>
  <c r="C47" i="20"/>
  <c r="B20" i="20"/>
  <c r="H14" i="20"/>
  <c r="H13" i="20"/>
  <c r="H12" i="20"/>
  <c r="H9" i="20"/>
  <c r="H8" i="20"/>
  <c r="H7" i="20"/>
  <c r="H6" i="20"/>
  <c r="F576" i="19"/>
  <c r="B576" i="19"/>
  <c r="F575" i="19"/>
  <c r="K570" i="19"/>
  <c r="B561" i="19"/>
  <c r="H556" i="19"/>
  <c r="H555" i="19"/>
  <c r="H554" i="19"/>
  <c r="H553" i="19"/>
  <c r="H552" i="19"/>
  <c r="H551" i="19"/>
  <c r="H548" i="19"/>
  <c r="H547" i="19"/>
  <c r="H546" i="19"/>
  <c r="H545" i="19"/>
  <c r="H543" i="19"/>
  <c r="B542" i="19"/>
  <c r="H541" i="19"/>
  <c r="H535" i="19"/>
  <c r="B535" i="19"/>
  <c r="H533" i="19"/>
  <c r="B533" i="19"/>
  <c r="F525" i="19"/>
  <c r="B525" i="19"/>
  <c r="F524" i="19"/>
  <c r="K521" i="19"/>
  <c r="B512" i="19"/>
  <c r="H507" i="19"/>
  <c r="H506" i="19"/>
  <c r="H505" i="19"/>
  <c r="H504" i="19"/>
  <c r="H503" i="19"/>
  <c r="H502" i="19"/>
  <c r="H499" i="19"/>
  <c r="H498" i="19"/>
  <c r="H497" i="19"/>
  <c r="H496" i="19"/>
  <c r="H494" i="19"/>
  <c r="B493" i="19"/>
  <c r="H492" i="19"/>
  <c r="H486" i="19"/>
  <c r="B486" i="19"/>
  <c r="H484" i="19"/>
  <c r="B484" i="19"/>
  <c r="F474" i="19"/>
  <c r="B474" i="19"/>
  <c r="F473" i="19"/>
  <c r="K468" i="19"/>
  <c r="B458" i="19"/>
  <c r="H453" i="19"/>
  <c r="H452" i="19"/>
  <c r="H451" i="19"/>
  <c r="H450" i="19"/>
  <c r="H449" i="19"/>
  <c r="H448" i="19"/>
  <c r="H445" i="19"/>
  <c r="H444" i="19"/>
  <c r="H443" i="19"/>
  <c r="H442" i="19"/>
  <c r="H440" i="19"/>
  <c r="B439" i="19"/>
  <c r="H438" i="19"/>
  <c r="B432" i="19"/>
  <c r="B430" i="19"/>
  <c r="F421" i="19"/>
  <c r="B421" i="19"/>
  <c r="F420" i="19"/>
  <c r="K415" i="19"/>
  <c r="B406" i="19"/>
  <c r="H401" i="19"/>
  <c r="H400" i="19"/>
  <c r="H399" i="19"/>
  <c r="H398" i="19"/>
  <c r="H397" i="19"/>
  <c r="H396" i="19"/>
  <c r="H393" i="19"/>
  <c r="H392" i="19"/>
  <c r="H391" i="19"/>
  <c r="H390" i="19"/>
  <c r="H388" i="19"/>
  <c r="B387" i="19"/>
  <c r="H386" i="19"/>
  <c r="B380" i="19"/>
  <c r="B378" i="19"/>
  <c r="F369" i="19"/>
  <c r="B369" i="19"/>
  <c r="F368" i="19"/>
  <c r="K363" i="19"/>
  <c r="B353" i="19"/>
  <c r="H348" i="19"/>
  <c r="H347" i="19"/>
  <c r="H346" i="19"/>
  <c r="H345" i="19"/>
  <c r="H344" i="19"/>
  <c r="H343" i="19"/>
  <c r="H340" i="19"/>
  <c r="H339" i="19"/>
  <c r="H338" i="19"/>
  <c r="H337" i="19"/>
  <c r="H335" i="19"/>
  <c r="B334" i="19"/>
  <c r="H333" i="19"/>
  <c r="B327" i="19"/>
  <c r="B325" i="19"/>
  <c r="F316" i="19"/>
  <c r="B316" i="19"/>
  <c r="F315" i="19"/>
  <c r="K310" i="19"/>
  <c r="B300" i="19"/>
  <c r="H295" i="19"/>
  <c r="H294" i="19"/>
  <c r="H293" i="19"/>
  <c r="H292" i="19"/>
  <c r="H291" i="19"/>
  <c r="H290" i="19"/>
  <c r="H287" i="19"/>
  <c r="H286" i="19"/>
  <c r="H285" i="19"/>
  <c r="H284" i="19"/>
  <c r="H282" i="19"/>
  <c r="B281" i="19"/>
  <c r="H280" i="19"/>
  <c r="B274" i="19"/>
  <c r="B272" i="19"/>
  <c r="F263" i="19"/>
  <c r="B263" i="19"/>
  <c r="F262" i="19"/>
  <c r="K257" i="19"/>
  <c r="B247" i="19"/>
  <c r="H242" i="19"/>
  <c r="H241" i="19"/>
  <c r="H240" i="19"/>
  <c r="H239" i="19"/>
  <c r="H238" i="19"/>
  <c r="H237" i="19"/>
  <c r="H234" i="19"/>
  <c r="H233" i="19"/>
  <c r="H232" i="19"/>
  <c r="H231" i="19"/>
  <c r="H229" i="19"/>
  <c r="B228" i="19"/>
  <c r="H227" i="19"/>
  <c r="B221" i="19"/>
  <c r="B219" i="19"/>
  <c r="F210" i="19"/>
  <c r="B210" i="19"/>
  <c r="F209" i="19"/>
  <c r="K204" i="19"/>
  <c r="B194" i="19"/>
  <c r="H189" i="19"/>
  <c r="H188" i="19"/>
  <c r="H187" i="19"/>
  <c r="H186" i="19"/>
  <c r="H185" i="19"/>
  <c r="H184" i="19"/>
  <c r="H181" i="19"/>
  <c r="H180" i="19"/>
  <c r="H179" i="19"/>
  <c r="H178" i="19"/>
  <c r="H176" i="19"/>
  <c r="B175" i="19"/>
  <c r="H174" i="19"/>
  <c r="B168" i="19"/>
  <c r="B166" i="19"/>
  <c r="F157" i="19"/>
  <c r="B157" i="19"/>
  <c r="F156" i="19"/>
  <c r="K151" i="19"/>
  <c r="B141" i="19"/>
  <c r="H136" i="19"/>
  <c r="H135" i="19"/>
  <c r="H134" i="19"/>
  <c r="H133" i="19"/>
  <c r="H132" i="19"/>
  <c r="H131" i="19"/>
  <c r="H128" i="19"/>
  <c r="H127" i="19"/>
  <c r="H126" i="19"/>
  <c r="H125" i="19"/>
  <c r="H123" i="19"/>
  <c r="B122" i="19"/>
  <c r="H121" i="19"/>
  <c r="B115" i="19"/>
  <c r="B113" i="19"/>
  <c r="F103" i="19"/>
  <c r="B103" i="19"/>
  <c r="F102" i="19"/>
  <c r="K97" i="19"/>
  <c r="B87" i="19"/>
  <c r="H82" i="19"/>
  <c r="H81" i="19"/>
  <c r="H80" i="19"/>
  <c r="H79" i="19"/>
  <c r="H78" i="19"/>
  <c r="H77" i="19"/>
  <c r="H74" i="19"/>
  <c r="H73" i="19"/>
  <c r="H72" i="19"/>
  <c r="H71" i="19"/>
  <c r="H69" i="19"/>
  <c r="B68" i="19"/>
  <c r="H67" i="19"/>
  <c r="B61" i="19"/>
  <c r="B59" i="19"/>
  <c r="B51" i="19"/>
  <c r="K45" i="19"/>
  <c r="B35" i="19"/>
  <c r="H30" i="19"/>
  <c r="H29" i="19"/>
  <c r="H28" i="19"/>
  <c r="H27" i="19"/>
  <c r="H26" i="19"/>
  <c r="H25" i="19"/>
  <c r="H22" i="19"/>
  <c r="H21" i="19"/>
  <c r="H20" i="19"/>
  <c r="H19" i="19"/>
  <c r="H17" i="19"/>
  <c r="B16" i="19"/>
  <c r="H15" i="19"/>
  <c r="H9" i="19"/>
  <c r="B9" i="19"/>
  <c r="H7" i="19"/>
  <c r="B7" i="19"/>
  <c r="D22" i="16"/>
  <c r="C22" i="16"/>
  <c r="D21" i="16"/>
  <c r="C21" i="16"/>
  <c r="D20" i="16"/>
  <c r="C20" i="16"/>
  <c r="D19" i="16"/>
  <c r="C19" i="16"/>
  <c r="D18" i="16"/>
  <c r="C18" i="16"/>
  <c r="D17" i="16"/>
  <c r="C17" i="16"/>
  <c r="D16" i="16"/>
  <c r="C16" i="16"/>
  <c r="D15" i="16"/>
  <c r="C15" i="16"/>
  <c r="D14" i="16"/>
  <c r="C14" i="16"/>
  <c r="D13" i="16"/>
  <c r="C13" i="16"/>
  <c r="D12" i="16"/>
  <c r="C12" i="16"/>
  <c r="D11" i="16"/>
  <c r="C11" i="16"/>
  <c r="D10" i="16"/>
  <c r="C10" i="16"/>
  <c r="D9" i="16"/>
  <c r="C9" i="16"/>
  <c r="D8" i="16"/>
  <c r="C8" i="16"/>
  <c r="D7" i="16"/>
  <c r="C7" i="16"/>
  <c r="D6" i="16"/>
  <c r="C6" i="16"/>
  <c r="D5" i="16"/>
  <c r="C5" i="16"/>
  <c r="D4" i="16"/>
  <c r="C4" i="16"/>
  <c r="D3" i="16"/>
  <c r="C3" i="16"/>
  <c r="C1" i="16"/>
  <c r="A6" i="12"/>
  <c r="D5" i="12"/>
  <c r="L4" i="12"/>
  <c r="F12" i="9"/>
  <c r="F16" i="8"/>
  <c r="F9" i="8"/>
  <c r="F8" i="8"/>
  <c r="D7" i="8"/>
  <c r="B6" i="8"/>
  <c r="B5" i="8"/>
  <c r="D4" i="8"/>
  <c r="F16" i="6"/>
  <c r="E9" i="6"/>
  <c r="E8" i="6"/>
  <c r="D7" i="6"/>
  <c r="B6" i="6"/>
  <c r="B5" i="6"/>
  <c r="D4" i="6"/>
  <c r="H16" i="7"/>
  <c r="E9" i="7"/>
  <c r="E8" i="7"/>
  <c r="D7" i="7"/>
  <c r="B6" i="7"/>
  <c r="B5" i="7"/>
  <c r="D4" i="7"/>
  <c r="H16" i="5"/>
  <c r="E9" i="5"/>
  <c r="E8" i="5"/>
  <c r="D7" i="5"/>
  <c r="B6" i="5"/>
  <c r="B5" i="5"/>
  <c r="D4" i="5"/>
  <c r="G21" i="21"/>
  <c r="B21" i="21"/>
  <c r="G19" i="21"/>
  <c r="B13" i="21"/>
  <c r="B11" i="21"/>
  <c r="R347" i="4"/>
  <c r="Q347" i="4"/>
  <c r="E347" i="4"/>
  <c r="O341" i="4"/>
  <c r="O336" i="4"/>
  <c r="O334" i="4"/>
  <c r="O332" i="4"/>
  <c r="O330" i="4"/>
  <c r="B328" i="4"/>
  <c r="L328" i="4" s="1"/>
  <c r="L327" i="4"/>
  <c r="N326" i="4"/>
  <c r="S302" i="4"/>
  <c r="Q302" i="4"/>
  <c r="E302" i="4"/>
  <c r="O302" i="4" s="1"/>
  <c r="O296" i="4"/>
  <c r="O291" i="4"/>
  <c r="O289" i="4"/>
  <c r="O287" i="4"/>
  <c r="O285" i="4"/>
  <c r="B283" i="4"/>
  <c r="L283" i="4" s="1"/>
  <c r="L282" i="4"/>
  <c r="N281" i="4"/>
  <c r="I257" i="4"/>
  <c r="S257" i="4" s="1"/>
  <c r="R257" i="4"/>
  <c r="Q257" i="4"/>
  <c r="E257" i="4"/>
  <c r="O257" i="4" s="1"/>
  <c r="O251" i="4"/>
  <c r="O246" i="4"/>
  <c r="O244" i="4"/>
  <c r="O242" i="4"/>
  <c r="O240" i="4"/>
  <c r="B238" i="4"/>
  <c r="L238" i="4" s="1"/>
  <c r="L237" i="4"/>
  <c r="N236" i="4"/>
  <c r="I212" i="4"/>
  <c r="S212" i="4" s="1"/>
  <c r="R212" i="4"/>
  <c r="Q212" i="4"/>
  <c r="E212" i="4"/>
  <c r="O212" i="4" s="1"/>
  <c r="O206" i="4"/>
  <c r="O201" i="4"/>
  <c r="O199" i="4"/>
  <c r="O197" i="4"/>
  <c r="O195" i="4"/>
  <c r="B193" i="4"/>
  <c r="L193" i="4" s="1"/>
  <c r="L192" i="4"/>
  <c r="N191" i="4"/>
  <c r="I167" i="4"/>
  <c r="S167" i="4" s="1"/>
  <c r="R167" i="4"/>
  <c r="Q167" i="4"/>
  <c r="E167" i="4"/>
  <c r="O167" i="4" s="1"/>
  <c r="O161" i="4"/>
  <c r="O156" i="4"/>
  <c r="O154" i="4"/>
  <c r="O152" i="4"/>
  <c r="O150" i="4"/>
  <c r="B148" i="4"/>
  <c r="L148" i="4" s="1"/>
  <c r="L147" i="4"/>
  <c r="N146" i="4"/>
  <c r="R119" i="4"/>
  <c r="Q119" i="4"/>
  <c r="O119" i="4"/>
  <c r="O113" i="4"/>
  <c r="O108" i="4"/>
  <c r="E106" i="4"/>
  <c r="O106" i="4" s="1"/>
  <c r="E104" i="4"/>
  <c r="O104" i="4" s="1"/>
  <c r="O102" i="4"/>
  <c r="B100" i="4"/>
  <c r="L100" i="4" s="1"/>
  <c r="B99" i="4"/>
  <c r="L99" i="4" s="1"/>
  <c r="D98" i="4"/>
  <c r="N98" i="4" s="1"/>
  <c r="R72" i="4"/>
  <c r="Q72" i="4"/>
  <c r="O72" i="4"/>
  <c r="O66" i="4"/>
  <c r="O61" i="4"/>
  <c r="E59" i="4"/>
  <c r="O59" i="4" s="1"/>
  <c r="O57" i="4"/>
  <c r="O55" i="4"/>
  <c r="B53" i="4"/>
  <c r="L53" i="4" s="1"/>
  <c r="L52" i="4"/>
  <c r="N51" i="4"/>
  <c r="R25" i="4"/>
  <c r="Q25" i="4"/>
  <c r="O25" i="4"/>
  <c r="O19" i="4"/>
  <c r="O14" i="4"/>
  <c r="E12" i="4"/>
  <c r="O12" i="4" s="1"/>
  <c r="E10" i="4"/>
  <c r="O10" i="4" s="1"/>
  <c r="O8" i="4"/>
  <c r="B6" i="4"/>
  <c r="L6" i="4" s="1"/>
  <c r="B5" i="4"/>
  <c r="L5" i="4" s="1"/>
  <c r="D4" i="4"/>
  <c r="N4" i="4" s="1"/>
  <c r="H135" i="10"/>
  <c r="H125" i="10"/>
  <c r="B124" i="10"/>
  <c r="H123" i="10"/>
  <c r="B117" i="10"/>
  <c r="B115" i="10"/>
  <c r="H81" i="10"/>
  <c r="H71" i="10"/>
  <c r="B70" i="10"/>
  <c r="H69" i="10"/>
  <c r="B63" i="10"/>
  <c r="B61" i="10"/>
  <c r="H27" i="10"/>
  <c r="H17" i="10"/>
  <c r="B16" i="10"/>
  <c r="H15" i="10"/>
  <c r="B9" i="10"/>
  <c r="B7" i="10"/>
  <c r="C155" i="27"/>
  <c r="B153" i="27"/>
  <c r="B152" i="27"/>
  <c r="C87" i="27"/>
  <c r="B85" i="27"/>
  <c r="B84" i="27"/>
  <c r="C8" i="27"/>
  <c r="B6" i="27"/>
  <c r="B5" i="27"/>
  <c r="F13" i="13"/>
  <c r="F12" i="13"/>
  <c r="F8" i="13"/>
  <c r="D6" i="13"/>
  <c r="AP7" i="1"/>
  <c r="AP6" i="1"/>
  <c r="AP5" i="1"/>
  <c r="F8" i="28"/>
  <c r="R302" i="4" l="1"/>
  <c r="O347" i="4"/>
  <c r="H430" i="19"/>
  <c r="H115" i="10"/>
  <c r="H61" i="10"/>
  <c r="H7" i="10"/>
  <c r="H432" i="19"/>
  <c r="H63" i="10"/>
  <c r="H117" i="10"/>
  <c r="H9" i="10"/>
  <c r="F10" i="13"/>
  <c r="F11" i="13"/>
  <c r="G11" i="21"/>
  <c r="G13" i="21"/>
  <c r="F50" i="19"/>
  <c r="F51" i="19"/>
  <c r="H59" i="19"/>
  <c r="H61" i="19"/>
  <c r="H113" i="19"/>
  <c r="H115" i="19"/>
  <c r="H166" i="19"/>
  <c r="H168" i="19"/>
  <c r="H219" i="19"/>
  <c r="H221" i="19"/>
  <c r="H272" i="19"/>
  <c r="H274" i="19"/>
  <c r="H325" i="19"/>
  <c r="H327" i="19"/>
  <c r="H378" i="19"/>
  <c r="H380" i="19"/>
  <c r="F33" i="13" l="1"/>
  <c r="F34" i="13"/>
  <c r="F35" i="13"/>
  <c r="F36" i="13"/>
  <c r="F37" i="13"/>
  <c r="F38" i="13"/>
  <c r="G36" i="13" l="1"/>
  <c r="E869" i="10"/>
  <c r="D752" i="4"/>
  <c r="N752" i="4" s="1"/>
  <c r="G35" i="13"/>
  <c r="D707" i="4"/>
  <c r="N707" i="4" s="1"/>
  <c r="E819" i="10"/>
  <c r="G34" i="13"/>
  <c r="E769" i="10"/>
  <c r="D662" i="4"/>
  <c r="N662" i="4" s="1"/>
  <c r="D797" i="4"/>
  <c r="N797" i="4" s="1"/>
  <c r="E919" i="10"/>
  <c r="G33" i="13"/>
  <c r="E719" i="10"/>
  <c r="D617" i="4"/>
  <c r="N617" i="4" s="1"/>
  <c r="E969" i="10"/>
  <c r="D842" i="4"/>
  <c r="N842" i="4" s="1"/>
  <c r="G37" i="13" l="1"/>
  <c r="AM33" i="1"/>
  <c r="G38" i="13"/>
  <c r="AM34" i="1"/>
  <c r="AT34" i="1" l="1"/>
  <c r="U26" i="30" s="1"/>
  <c r="N26" i="30"/>
  <c r="G28" i="12"/>
  <c r="AT33" i="1"/>
  <c r="U25" i="30" s="1"/>
  <c r="G27" i="12"/>
  <c r="N25" i="30"/>
  <c r="AC50" i="1"/>
  <c r="AC51" i="1"/>
  <c r="AM30" i="1"/>
  <c r="AC49" i="1"/>
  <c r="J968" i="10"/>
  <c r="E840" i="4"/>
  <c r="E38" i="13"/>
  <c r="H38" i="13" s="1"/>
  <c r="J918" i="10"/>
  <c r="E795" i="4"/>
  <c r="E37" i="13"/>
  <c r="H37" i="13" s="1"/>
  <c r="AM32" i="1"/>
  <c r="AM31" i="1"/>
  <c r="AC52" i="1"/>
  <c r="AM29" i="1"/>
  <c r="AT29" i="1" l="1"/>
  <c r="U21" i="30" s="1"/>
  <c r="G23" i="12"/>
  <c r="N21" i="30"/>
  <c r="AT31" i="1"/>
  <c r="U23" i="30" s="1"/>
  <c r="N23" i="30"/>
  <c r="G25" i="12"/>
  <c r="AT32" i="1"/>
  <c r="U24" i="30" s="1"/>
  <c r="G26" i="12"/>
  <c r="N24" i="30"/>
  <c r="AT30" i="1"/>
  <c r="U22" i="30" s="1"/>
  <c r="G24" i="12"/>
  <c r="N22" i="30"/>
  <c r="I719" i="10"/>
  <c r="F617" i="4"/>
  <c r="P617" i="4" s="1"/>
  <c r="F752" i="4"/>
  <c r="P752" i="4" s="1"/>
  <c r="I869" i="10"/>
  <c r="J868" i="10"/>
  <c r="E750" i="4"/>
  <c r="E36" i="13"/>
  <c r="H36" i="13" s="1"/>
  <c r="E615" i="4"/>
  <c r="J718" i="10"/>
  <c r="E660" i="4"/>
  <c r="E33" i="13"/>
  <c r="H33" i="13" s="1"/>
  <c r="J818" i="10"/>
  <c r="E705" i="4"/>
  <c r="E35" i="13"/>
  <c r="H35" i="13" s="1"/>
  <c r="O795" i="4"/>
  <c r="O840" i="4"/>
  <c r="F707" i="4"/>
  <c r="P707" i="4" s="1"/>
  <c r="I819" i="10"/>
  <c r="F797" i="4"/>
  <c r="P797" i="4" s="1"/>
  <c r="I919" i="10"/>
  <c r="J920" i="10" s="1"/>
  <c r="F662" i="4"/>
  <c r="P662" i="4" s="1"/>
  <c r="I769" i="10"/>
  <c r="E34" i="13"/>
  <c r="H34" i="13" s="1"/>
  <c r="J768" i="10"/>
  <c r="F842" i="4"/>
  <c r="P842" i="4" s="1"/>
  <c r="I969" i="10"/>
  <c r="J970" i="10" s="1"/>
  <c r="J870" i="10" l="1"/>
  <c r="E619" i="4"/>
  <c r="O619" i="4" s="1"/>
  <c r="J720" i="10"/>
  <c r="J820" i="10"/>
  <c r="E799" i="4"/>
  <c r="O799" i="4" s="1"/>
  <c r="E664" i="4"/>
  <c r="O664" i="4" s="1"/>
  <c r="O660" i="4"/>
  <c r="O615" i="4"/>
  <c r="O750" i="4"/>
  <c r="E754" i="4"/>
  <c r="O754" i="4" s="1"/>
  <c r="J770" i="10"/>
  <c r="O705" i="4"/>
  <c r="E709" i="4"/>
  <c r="O709" i="4" s="1"/>
  <c r="E844" i="4"/>
  <c r="O844" i="4" s="1"/>
  <c r="F31" i="13" l="1"/>
  <c r="F32" i="13"/>
  <c r="G31" i="13" l="1"/>
  <c r="D527" i="4" l="1"/>
  <c r="N527" i="4" s="1"/>
  <c r="E619" i="10"/>
  <c r="G32" i="13"/>
  <c r="AM28" i="1"/>
  <c r="D572" i="4"/>
  <c r="N572" i="4" s="1"/>
  <c r="E669" i="10"/>
  <c r="AT28" i="1" l="1"/>
  <c r="U20" i="30" s="1"/>
  <c r="G22" i="12"/>
  <c r="N20" i="30"/>
  <c r="AM27" i="1"/>
  <c r="E32" i="13"/>
  <c r="H32" i="13" s="1"/>
  <c r="J668" i="10"/>
  <c r="E570" i="4"/>
  <c r="AT27" i="1" l="1"/>
  <c r="U19" i="30" s="1"/>
  <c r="G21" i="12"/>
  <c r="N19" i="30"/>
  <c r="F527" i="4"/>
  <c r="P527" i="4" s="1"/>
  <c r="I619" i="10"/>
  <c r="O570" i="4"/>
  <c r="E31" i="13"/>
  <c r="H31" i="13" s="1"/>
  <c r="J618" i="10"/>
  <c r="E525" i="4"/>
  <c r="I669" i="10"/>
  <c r="J670" i="10" s="1"/>
  <c r="F572" i="4"/>
  <c r="P572" i="4" s="1"/>
  <c r="J620" i="10" l="1"/>
  <c r="E574" i="4"/>
  <c r="O574" i="4" s="1"/>
  <c r="O525" i="4"/>
  <c r="E529" i="4"/>
  <c r="O529" i="4" s="1"/>
  <c r="F27" i="13" l="1"/>
  <c r="F28" i="13"/>
  <c r="F29" i="13"/>
  <c r="F26" i="13"/>
  <c r="F30" i="13"/>
  <c r="G27" i="13" l="1"/>
  <c r="G26" i="13"/>
  <c r="G28" i="13"/>
  <c r="G29" i="13"/>
  <c r="G30" i="13"/>
  <c r="D302" i="4" l="1"/>
  <c r="N302" i="4" s="1"/>
  <c r="E342" i="10"/>
  <c r="D347" i="4"/>
  <c r="E406" i="10"/>
  <c r="E513" i="10"/>
  <c r="D437" i="4"/>
  <c r="D482" i="4"/>
  <c r="E569" i="10"/>
  <c r="D392" i="4"/>
  <c r="E458" i="10"/>
  <c r="F437" i="4" l="1"/>
  <c r="P437" i="4" s="1"/>
  <c r="I513" i="10"/>
  <c r="AM22" i="1"/>
  <c r="AM25" i="1"/>
  <c r="N392" i="4"/>
  <c r="N482" i="4"/>
  <c r="N347" i="4"/>
  <c r="F302" i="4"/>
  <c r="P302" i="4" s="1"/>
  <c r="I342" i="10"/>
  <c r="AM23" i="1"/>
  <c r="AM24" i="1"/>
  <c r="AM26" i="1"/>
  <c r="N437" i="4"/>
  <c r="I437" i="4"/>
  <c r="S437" i="4" s="1"/>
  <c r="AT26" i="1" l="1"/>
  <c r="U18" i="30" s="1"/>
  <c r="N18" i="30"/>
  <c r="G20" i="12"/>
  <c r="AT22" i="1"/>
  <c r="U14" i="30" s="1"/>
  <c r="G16" i="12"/>
  <c r="N14" i="30"/>
  <c r="AT25" i="1"/>
  <c r="U17" i="30" s="1"/>
  <c r="G19" i="12"/>
  <c r="N17" i="30"/>
  <c r="AT24" i="1"/>
  <c r="U16" i="30" s="1"/>
  <c r="G18" i="12"/>
  <c r="N16" i="30"/>
  <c r="AT23" i="1"/>
  <c r="U15" i="30" s="1"/>
  <c r="N15" i="30"/>
  <c r="G17" i="12"/>
  <c r="E28" i="13"/>
  <c r="H28" i="13" s="1"/>
  <c r="E390" i="4"/>
  <c r="J457" i="10"/>
  <c r="E29" i="13"/>
  <c r="H29" i="13" s="1"/>
  <c r="J512" i="10"/>
  <c r="J514" i="10" s="1"/>
  <c r="E435" i="4"/>
  <c r="F482" i="4"/>
  <c r="I569" i="10"/>
  <c r="E30" i="13"/>
  <c r="H30" i="13" s="1"/>
  <c r="E480" i="4"/>
  <c r="J568" i="10"/>
  <c r="E27" i="13"/>
  <c r="H27" i="13" s="1"/>
  <c r="J405" i="10"/>
  <c r="E345" i="4"/>
  <c r="E26" i="13"/>
  <c r="H26" i="13" s="1"/>
  <c r="J341" i="10"/>
  <c r="J343" i="10" s="1"/>
  <c r="E300" i="4"/>
  <c r="J570" i="10" l="1"/>
  <c r="I458" i="10"/>
  <c r="J459" i="10" s="1"/>
  <c r="F392" i="4"/>
  <c r="O435" i="4"/>
  <c r="E439" i="4"/>
  <c r="O439" i="4" s="1"/>
  <c r="O480" i="4"/>
  <c r="O390" i="4"/>
  <c r="E304" i="4"/>
  <c r="O304" i="4" s="1"/>
  <c r="O300" i="4"/>
  <c r="O345" i="4"/>
  <c r="P482" i="4"/>
  <c r="I482" i="4"/>
  <c r="S482" i="4" s="1"/>
  <c r="F347" i="4"/>
  <c r="I406" i="10"/>
  <c r="J407" i="10" s="1"/>
  <c r="P392" i="4" l="1"/>
  <c r="I392" i="4"/>
  <c r="E484" i="4"/>
  <c r="O484" i="4" s="1"/>
  <c r="P347" i="4"/>
  <c r="I347" i="4"/>
  <c r="S392" i="4" l="1"/>
  <c r="E394" i="4"/>
  <c r="O394" i="4" s="1"/>
  <c r="S347" i="4"/>
  <c r="E349" i="4"/>
  <c r="O349" i="4" s="1"/>
  <c r="F24" i="13" l="1"/>
  <c r="F25" i="13"/>
  <c r="F20" i="13"/>
  <c r="F21" i="13"/>
  <c r="F22" i="13"/>
  <c r="F23" i="13"/>
  <c r="G25" i="13" l="1"/>
  <c r="G24" i="13"/>
  <c r="G23" i="13"/>
  <c r="D257" i="4"/>
  <c r="N257" i="4" s="1"/>
  <c r="E296" i="10"/>
  <c r="D212" i="4"/>
  <c r="N212" i="4" s="1"/>
  <c r="E250" i="10"/>
  <c r="D167" i="4"/>
  <c r="N167" i="4" s="1"/>
  <c r="E199" i="10"/>
  <c r="AM21" i="1" l="1"/>
  <c r="AM20" i="1"/>
  <c r="AM19" i="1"/>
  <c r="AT20" i="1" l="1"/>
  <c r="U12" i="30" s="1"/>
  <c r="G14" i="12"/>
  <c r="N12" i="30"/>
  <c r="AT19" i="1"/>
  <c r="U11" i="30" s="1"/>
  <c r="G13" i="12"/>
  <c r="N11" i="30"/>
  <c r="AT21" i="1"/>
  <c r="U13" i="30" s="1"/>
  <c r="G15" i="12"/>
  <c r="N13" i="30"/>
  <c r="E24" i="13"/>
  <c r="H24" i="13" s="1"/>
  <c r="F210" i="4"/>
  <c r="J249" i="10"/>
  <c r="E23" i="13"/>
  <c r="H23" i="13" s="1"/>
  <c r="E165" i="4"/>
  <c r="J198" i="10"/>
  <c r="E25" i="13"/>
  <c r="H25" i="13" s="1"/>
  <c r="J295" i="10"/>
  <c r="E255" i="4"/>
  <c r="O255" i="4" l="1"/>
  <c r="O165" i="4"/>
  <c r="O210" i="4"/>
  <c r="F212" i="4"/>
  <c r="P212" i="4" s="1"/>
  <c r="I250" i="10"/>
  <c r="J251" i="10" s="1"/>
  <c r="F257" i="4"/>
  <c r="P257" i="4" s="1"/>
  <c r="I296" i="10"/>
  <c r="J297" i="10" s="1"/>
  <c r="F167" i="4"/>
  <c r="P167" i="4" s="1"/>
  <c r="I199" i="10"/>
  <c r="J200" i="10" s="1"/>
  <c r="F214" i="4" l="1"/>
  <c r="O214" i="4" s="1"/>
  <c r="E169" i="4"/>
  <c r="O169" i="4" s="1"/>
  <c r="E259" i="4"/>
  <c r="O259" i="4" s="1"/>
  <c r="G22" i="13" l="1"/>
  <c r="D119" i="4"/>
  <c r="E142" i="10"/>
  <c r="N119" i="4" l="1"/>
  <c r="F119" i="4"/>
  <c r="P119" i="4" s="1"/>
  <c r="I142" i="10"/>
  <c r="AM18" i="1"/>
  <c r="AT18" i="1" l="1"/>
  <c r="U10" i="30" s="1"/>
  <c r="N10" i="30"/>
  <c r="G12" i="12"/>
  <c r="G20" i="13"/>
  <c r="E22" i="13"/>
  <c r="H22" i="13" s="1"/>
  <c r="E117" i="4"/>
  <c r="J141" i="10"/>
  <c r="J143" i="10" s="1"/>
  <c r="I119" i="4"/>
  <c r="S119" i="4" s="1"/>
  <c r="O117" i="4" l="1"/>
  <c r="E121" i="4"/>
  <c r="O121" i="4" s="1"/>
  <c r="AC48" i="1"/>
  <c r="D25" i="4"/>
  <c r="E34" i="10"/>
  <c r="G21" i="13"/>
  <c r="D72" i="4"/>
  <c r="E88" i="10"/>
  <c r="AM17" i="1" l="1"/>
  <c r="N72" i="4"/>
  <c r="N25" i="4"/>
  <c r="AM16" i="1"/>
  <c r="N8" i="30" s="1"/>
  <c r="AC16" i="1"/>
  <c r="AT17" i="1" l="1"/>
  <c r="U9" i="30" s="1"/>
  <c r="G11" i="12"/>
  <c r="N9" i="30"/>
  <c r="N28" i="30" s="1"/>
  <c r="AM36" i="1"/>
  <c r="AH16" i="1"/>
  <c r="L8" i="30" s="1"/>
  <c r="L28" i="30" s="1"/>
  <c r="AC36" i="1"/>
  <c r="E21" i="13"/>
  <c r="H21" i="13" s="1"/>
  <c r="E70" i="4"/>
  <c r="O70" i="4" s="1"/>
  <c r="G10" i="12"/>
  <c r="J87" i="10"/>
  <c r="E20" i="13"/>
  <c r="H20" i="13" s="1"/>
  <c r="E23" i="4"/>
  <c r="J33" i="10"/>
  <c r="F25" i="4"/>
  <c r="I34" i="10"/>
  <c r="AS16" i="1"/>
  <c r="T8" i="30" s="1"/>
  <c r="T28" i="30" s="1"/>
  <c r="F72" i="4"/>
  <c r="I88" i="10"/>
  <c r="AS36" i="1" l="1"/>
  <c r="J89" i="10"/>
  <c r="J35" i="10"/>
  <c r="O23" i="4"/>
  <c r="P72" i="4"/>
  <c r="I72" i="4"/>
  <c r="P25" i="4"/>
  <c r="I25" i="4"/>
  <c r="S25" i="4" s="1"/>
  <c r="AT16" i="1"/>
  <c r="U8" i="30" s="1"/>
  <c r="U28" i="30" s="1"/>
  <c r="AT36" i="1" l="1"/>
  <c r="S72" i="4"/>
  <c r="E74" i="4"/>
  <c r="O74" i="4" s="1"/>
  <c r="E27" i="4"/>
  <c r="O27" i="4" s="1"/>
  <c r="AH36" i="1" l="1"/>
  <c r="Y35" i="1" l="1"/>
</calcChain>
</file>

<file path=xl/sharedStrings.xml><?xml version="1.0" encoding="utf-8"?>
<sst xmlns="http://schemas.openxmlformats.org/spreadsheetml/2006/main" count="7654" uniqueCount="909">
  <si>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</si>
  <si>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</si>
  <si>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</si>
  <si>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</si>
  <si>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</si>
  <si>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</si>
  <si>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</si>
  <si>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</si>
  <si>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</si>
  <si>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</si>
  <si>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</si>
  <si>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</si>
  <si>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</si>
  <si>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</si>
  <si>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</si>
  <si>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</si>
  <si>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</si>
  <si>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</si>
  <si>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</si>
  <si>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</si>
  <si>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</si>
  <si>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</si>
  <si>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</si>
  <si>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</si>
  <si>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</si>
  <si>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</si>
  <si>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</si>
  <si>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</si>
  <si>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</si>
  <si>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</si>
  <si>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</si>
  <si>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</si>
  <si>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</si>
  <si>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</si>
  <si>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</si>
  <si>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</si>
  <si>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</si>
  <si>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</si>
  <si>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</si>
  <si>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Sex</t>
  </si>
  <si>
    <t>Remarks</t>
  </si>
  <si>
    <t>Father's /Husband Name</t>
  </si>
  <si>
    <t>Permanent Address</t>
  </si>
  <si>
    <t>Local Address</t>
  </si>
  <si>
    <t>Date of Commencement of Employment</t>
  </si>
  <si>
    <t>Signature or thumb impression of Workman</t>
  </si>
  <si>
    <t>Date of termination of Employment</t>
  </si>
  <si>
    <t>Reasons for termination</t>
  </si>
  <si>
    <t xml:space="preserve">Age </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</si>
  <si>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</si>
  <si>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</si>
  <si>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</si>
  <si>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</si>
  <si>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</si>
  <si>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</si>
  <si>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</si>
  <si>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</si>
  <si>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</si>
  <si>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</si>
  <si>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</si>
  <si>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</si>
  <si>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</si>
  <si>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</si>
  <si>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r>
      <t xml:space="preserve">Name and address of Contractor: </t>
    </r>
    <r>
      <rPr>
        <b/>
        <sz val="9"/>
        <rFont val="Arial"/>
        <family val="2"/>
      </rPr>
      <t xml:space="preserve">GROTECH LANDSCAPE DEVELOPERS PVT.LTD. </t>
    </r>
  </si>
  <si>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</si>
  <si>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</si>
  <si>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</si>
  <si>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</si>
  <si>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</si>
  <si>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</si>
  <si>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</si>
  <si>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</si>
  <si>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</si>
  <si>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</si>
  <si>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</si>
  <si>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</si>
  <si>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</si>
  <si>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Nature and Location of Work: </t>
  </si>
  <si>
    <t xml:space="preserve">Name and address of the establishment in  / under which contract is carried on:                             </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</si>
  <si>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</si>
  <si>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</si>
  <si>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</si>
  <si>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</si>
  <si>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</si>
  <si>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</si>
  <si>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</si>
  <si>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</si>
  <si>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</si>
  <si>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</si>
  <si>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</si>
  <si>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</si>
  <si>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</si>
  <si>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</si>
  <si>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r>
      <t xml:space="preserve">Name and address of Contractor: </t>
    </r>
    <r>
      <rPr>
        <b/>
        <sz val="10"/>
        <rFont val="Arial"/>
        <family val="2"/>
      </rPr>
      <t xml:space="preserve">GROTECH LANDSCAPE DEVELOPERS PVT.LTD.    </t>
    </r>
    <r>
      <rPr>
        <sz val="10"/>
        <rFont val="Arial"/>
        <family val="2"/>
      </rPr>
      <t xml:space="preserve">                                                                                                                                                                    E-35 GREATER KAILASH ENCLAVE-1 NEW DELHI</t>
    </r>
  </si>
  <si>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</si>
  <si>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</si>
  <si>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</si>
  <si>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</si>
  <si>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</si>
  <si>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</si>
  <si>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</si>
  <si>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</si>
  <si>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</si>
  <si>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</si>
  <si>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</si>
  <si>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</si>
  <si>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</si>
  <si>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</si>
  <si>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</si>
  <si>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</si>
  <si>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</si>
  <si>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</si>
  <si>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</si>
  <si>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</si>
  <si>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</si>
  <si>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</si>
  <si>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</si>
  <si>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</si>
  <si>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</si>
  <si>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</si>
  <si>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</si>
  <si>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</si>
  <si>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</si>
  <si>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</si>
  <si>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</si>
  <si>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</si>
  <si>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</si>
  <si>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</si>
  <si>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</si>
  <si>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</si>
  <si>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</si>
  <si>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</si>
  <si>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</si>
  <si>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</si>
  <si>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To</t>
  </si>
  <si>
    <t>Signature of the Employee</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</si>
  <si>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</si>
  <si>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</si>
  <si>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</si>
  <si>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</si>
  <si>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</si>
  <si>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</si>
  <si>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</si>
  <si>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</si>
  <si>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</si>
  <si>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No. of days worked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</si>
  <si>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</si>
  <si>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</si>
  <si>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</si>
  <si>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</si>
  <si>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</si>
  <si>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</si>
  <si>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</si>
  <si>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</si>
  <si>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</si>
  <si>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</si>
  <si>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</si>
  <si>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</si>
  <si>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</si>
  <si>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</si>
  <si>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</si>
  <si>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</si>
  <si>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</si>
  <si>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</si>
  <si>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</si>
  <si>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</si>
  <si>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</si>
  <si>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</si>
  <si>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</si>
  <si>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</si>
  <si>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</si>
  <si>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</si>
  <si>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</si>
  <si>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</si>
  <si>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</si>
  <si>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</si>
  <si>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</si>
  <si>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</si>
  <si>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Issue Date</t>
  </si>
  <si>
    <t>Signature</t>
  </si>
  <si>
    <t>ESI PAHECHAN CARDS ISSUE REGISTER</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</si>
  <si>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</si>
  <si>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</si>
  <si>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</si>
  <si>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</si>
  <si>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</si>
  <si>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</si>
  <si>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</si>
  <si>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</si>
  <si>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</si>
  <si>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</si>
  <si>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</si>
  <si>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</si>
  <si>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</si>
  <si>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</si>
  <si>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</si>
  <si>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</si>
  <si>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</si>
  <si>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</si>
  <si>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</si>
  <si>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</si>
  <si>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</si>
  <si>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</si>
  <si>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</si>
  <si>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</si>
  <si>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</si>
  <si>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</si>
  <si>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</si>
  <si>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</si>
  <si>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</si>
  <si>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</si>
  <si>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</si>
  <si>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</si>
  <si>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</si>
  <si>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</si>
  <si>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</si>
  <si>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</si>
  <si>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</si>
  <si>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</si>
  <si>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</si>
  <si>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</si>
  <si>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</si>
  <si>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</si>
  <si>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</si>
  <si>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</si>
  <si>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</si>
  <si>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</si>
  <si>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</si>
  <si>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</si>
  <si>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</si>
  <si>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</si>
  <si>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</si>
  <si>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</si>
  <si>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</si>
  <si>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</si>
  <si>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</si>
  <si>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</si>
  <si>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</si>
  <si>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</si>
  <si>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</si>
  <si>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</si>
  <si>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</si>
  <si>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</si>
  <si>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</si>
  <si>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</si>
  <si>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</si>
  <si>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</si>
  <si>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</si>
  <si>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</si>
  <si>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</si>
  <si>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</si>
  <si>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</si>
  <si>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</si>
  <si>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</si>
  <si>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</si>
  <si>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</si>
  <si>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</si>
  <si>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</si>
  <si>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</si>
  <si>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</si>
  <si>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</si>
  <si>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</si>
  <si>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</si>
  <si>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</si>
  <si>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</si>
  <si>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</si>
  <si>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</si>
  <si>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</si>
  <si>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</si>
  <si>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</si>
  <si>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</si>
  <si>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</si>
  <si>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</si>
  <si>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</si>
  <si>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</si>
  <si>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</si>
  <si>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</si>
  <si>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</si>
  <si>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</si>
  <si>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</si>
  <si>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</si>
  <si>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</si>
  <si>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</si>
  <si>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</si>
  <si>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</si>
  <si>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</si>
  <si>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</si>
  <si>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</si>
  <si>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</si>
  <si>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</si>
  <si>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</si>
  <si>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</si>
  <si>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</si>
  <si>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</si>
  <si>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</si>
  <si>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</si>
  <si>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</si>
  <si>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</si>
  <si>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</si>
  <si>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</si>
  <si>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</si>
  <si>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</si>
  <si>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</si>
  <si>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</si>
  <si>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</si>
  <si>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</si>
  <si>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</si>
  <si>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</si>
  <si>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</si>
  <si>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</si>
  <si>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</si>
  <si>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</si>
  <si>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</si>
  <si>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</si>
  <si>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</si>
  <si>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</si>
  <si>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</si>
  <si>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</si>
  <si>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</si>
  <si>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</si>
  <si>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</si>
  <si>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</si>
  <si>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</si>
  <si>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</si>
  <si>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</si>
  <si>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</si>
  <si>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</si>
  <si>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</si>
  <si>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</si>
  <si>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</si>
  <si>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</si>
  <si>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</si>
  <si>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</si>
  <si>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</si>
  <si>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</si>
  <si>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</si>
  <si>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</si>
  <si>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</si>
  <si>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</si>
  <si>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</si>
  <si>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</si>
  <si>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</si>
  <si>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</si>
  <si>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</si>
  <si>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</si>
  <si>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</si>
  <si>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</si>
  <si>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</si>
  <si>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</si>
  <si>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</si>
  <si>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</si>
  <si>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</si>
  <si>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</si>
  <si>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</si>
  <si>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</si>
  <si>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</si>
  <si>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</si>
  <si>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</si>
  <si>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</si>
  <si>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</si>
  <si>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</si>
  <si>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</si>
  <si>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</si>
  <si>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</si>
  <si>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</si>
  <si>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</si>
  <si>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</si>
  <si>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</si>
  <si>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</si>
  <si>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</si>
  <si>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</si>
  <si>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</si>
  <si>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</si>
  <si>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</si>
  <si>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t>IT SUPPORTIVE SERVICES</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</si>
  <si>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</si>
  <si>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</si>
  <si>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</si>
  <si>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</si>
  <si>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</si>
  <si>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Deductions</t>
  </si>
  <si>
    <t>(Vide Rule 75 of Contract Labour (Regulation and Abolition) Central/Karnataka Rules 1974)</t>
  </si>
  <si>
    <t>(Vide Rule 76 of Contract Labour (R&amp;A) Central &amp; Karnataka Rules, 1974)</t>
  </si>
  <si>
    <t>P</t>
  </si>
  <si>
    <t>Burgeon IT Services Pvt.Ltd.</t>
  </si>
  <si>
    <t>Siri Mansion LIGB 436 Dr.A S Rao Nagar,Hyderabad</t>
  </si>
  <si>
    <t>Wage Period</t>
  </si>
  <si>
    <t>Form No. II</t>
  </si>
  <si>
    <t>[M. W. Rules under Maharashtra Contract Labour (Regulation and Abolition)1963 Rule 27 (I)]</t>
  </si>
  <si>
    <t xml:space="preserve">Name and Address of Contractor : BURGEON IT SERVICES PVT.LTD. SIRI MANSION LIG 436 DR.A S RAO NAGAR,HYDERABAD 500 060
</t>
  </si>
  <si>
    <t>Working Hours</t>
  </si>
  <si>
    <t>Interval for Rest</t>
  </si>
  <si>
    <t>No. of Hours Worked</t>
  </si>
  <si>
    <t>Deputy ID</t>
  </si>
  <si>
    <t>Full Name of Employee</t>
  </si>
  <si>
    <t>Gender</t>
  </si>
  <si>
    <t>Date of Entry into Service</t>
  </si>
  <si>
    <t>Nature of Work &amp; Designation</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</si>
  <si>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</si>
  <si>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</si>
  <si>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</si>
  <si>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</si>
  <si>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</si>
  <si>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</si>
  <si>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</si>
  <si>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</si>
  <si>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</si>
  <si>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</si>
  <si>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</si>
  <si>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</si>
  <si>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</si>
  <si>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</si>
  <si>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</si>
  <si>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</si>
  <si>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</si>
  <si>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</si>
  <si>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</si>
  <si>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</si>
  <si>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</si>
  <si>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</si>
  <si>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</si>
  <si>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</si>
  <si>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</si>
  <si>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</si>
  <si>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</si>
  <si>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MONTH DAYS</t>
  </si>
  <si>
    <t>Leave with Wages</t>
  </si>
  <si>
    <t>Employee
Code</t>
  </si>
  <si>
    <t>Name of the Workmen</t>
  </si>
  <si>
    <t>Minimum Rate of Wages Payable Basic</t>
  </si>
  <si>
    <t xml:space="preserve">Actual Rate of Wages Payable
HRA </t>
  </si>
  <si>
    <t>Conveyance</t>
  </si>
  <si>
    <t>Bonus</t>
  </si>
  <si>
    <t>Special Allowances</t>
  </si>
  <si>
    <t>Medical Allowances</t>
  </si>
  <si>
    <t>Total Production in Case of Piece Rate Other Allow</t>
  </si>
  <si>
    <t>Normal Earnings</t>
  </si>
  <si>
    <t>Overtime Earnings</t>
  </si>
  <si>
    <t>Gross Wages Payable</t>
  </si>
  <si>
    <t>Income Tax</t>
  </si>
  <si>
    <t>Proff / Income Tax</t>
  </si>
  <si>
    <t>ESIC</t>
  </si>
  <si>
    <t>Total Deduction</t>
  </si>
  <si>
    <t>Net Wages Paid</t>
  </si>
  <si>
    <t>Previous Balance</t>
  </si>
  <si>
    <t>Further Enjoyed</t>
  </si>
  <si>
    <t>Refused</t>
  </si>
  <si>
    <t>Accumulated</t>
  </si>
  <si>
    <t>Date Payment of Wages</t>
  </si>
  <si>
    <t>Signature or the Thumb Impression of the Employee</t>
  </si>
  <si>
    <t>FORM M- LEAVE REGISTER</t>
  </si>
  <si>
    <t>(Vide Rule 78(1) (a) (i) of Maharastra Shops&amp;Establishment Act /Maharastra.Rules 1988</t>
  </si>
  <si>
    <t>Date of entry into service</t>
  </si>
  <si>
    <t>Accumalation of Leave</t>
  </si>
  <si>
    <t>Leave allowed</t>
  </si>
  <si>
    <t>Balance of Leave Carried Over</t>
  </si>
  <si>
    <t>Payment of Leave made on</t>
  </si>
  <si>
    <t>Refusal of Leave</t>
  </si>
  <si>
    <t>Payment of Leave on Discharge of an employee quitting employment if a admissible</t>
  </si>
  <si>
    <t>Signature or the Thumb impression of employee on Receipt of Leave Book in Form N</t>
  </si>
  <si>
    <t>Impression of</t>
  </si>
  <si>
    <t>Leave due on</t>
  </si>
  <si>
    <t>No of Days</t>
  </si>
  <si>
    <t xml:space="preserve">From </t>
  </si>
  <si>
    <t xml:space="preserve">1st month </t>
  </si>
  <si>
    <t>2nd month</t>
  </si>
  <si>
    <t>Date of Application</t>
  </si>
  <si>
    <t>Date of Refusal</t>
  </si>
  <si>
    <t xml:space="preserve">Amount of Leave refused </t>
  </si>
  <si>
    <t>Date of Discharge</t>
  </si>
  <si>
    <t>Date of Amount Paid</t>
  </si>
  <si>
    <t>Signature or Left hand thumb impression of employee</t>
  </si>
  <si>
    <t>FORM IX- REGISTER OF PERSONS EMPLOYED</t>
  </si>
  <si>
    <t>(Vide Rule 78(1) (a) (i) of Contract Labour (Regulation and Abolition) Central /Maharastra.Rules 1974</t>
  </si>
  <si>
    <t>Name  and Surname of workman</t>
  </si>
  <si>
    <t>Father's/Husband's name</t>
  </si>
  <si>
    <t>Nature of Employement/Designation</t>
  </si>
  <si>
    <t>Permanent Home Address of worken</t>
  </si>
  <si>
    <t>Date of commencement of Employment</t>
  </si>
  <si>
    <t>Signature or Thumb impression of workman</t>
  </si>
  <si>
    <t>Date of Temination of Employment</t>
  </si>
  <si>
    <t>Reason for Termination</t>
  </si>
  <si>
    <t>Other Deduction(Med)</t>
  </si>
  <si>
    <t>Name of the Employer / Establishment:</t>
  </si>
  <si>
    <t xml:space="preserve">Name of the Employee:    </t>
  </si>
  <si>
    <t xml:space="preserve">Description of the dapartment if applicable: </t>
  </si>
  <si>
    <t>FORM XVI- REGISTER OF DEDUCTIONS FOR DAMAGE OR LOSS</t>
  </si>
  <si>
    <t>(Vide Rule 78(1) (a) (i) of Contract Labour (Regulation and Abolition) Maharashtra Rules 1971.</t>
  </si>
  <si>
    <t>FORM XVII- REGISTER OF FINES</t>
  </si>
  <si>
    <t>(Vide Rule 78(1) (a) (i) of Contract Labour (Regulation and Abolition) Maharashtra Rules 1971</t>
  </si>
  <si>
    <t>FORM XVIII- REGISTER OF ADVANCES</t>
  </si>
  <si>
    <t>FORM XIX- REGISTER OF OVERTIME</t>
  </si>
  <si>
    <t>Total Salary or wages in the Month</t>
  </si>
  <si>
    <t>NO</t>
  </si>
  <si>
    <t>Rajiv gandhi Info tech park,Village Mann,Pune,Maharashtra 411057</t>
  </si>
  <si>
    <t>NO.OF DAYS</t>
  </si>
  <si>
    <t>SEX</t>
  </si>
  <si>
    <t>Name and address of Contractor:burgeon IT services Pvt.Ltd.</t>
  </si>
  <si>
    <t>Name and address of the establishment in  / under which contract is carried on:   burgeon IT services Pvt.Ltd.  Siri mansion LIGH 436 DR.A S Rao nagar,Hyderabad</t>
  </si>
  <si>
    <t>MALE</t>
  </si>
  <si>
    <t>Senior Software Engineer</t>
  </si>
  <si>
    <t>IT SUPPORTIVE SERICE</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</si>
  <si>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</si>
  <si>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</si>
  <si>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</si>
  <si>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</si>
  <si>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</si>
  <si>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</si>
  <si>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</si>
  <si>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</si>
  <si>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</si>
  <si>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</si>
  <si>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</si>
  <si>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</si>
  <si>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</si>
  <si>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</si>
  <si>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</si>
  <si>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</si>
  <si>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Signature of the Contractor with Seal</t>
  </si>
  <si>
    <t>Pralhad Ramdas Deulkar</t>
  </si>
  <si>
    <t>Near Jain Temple Malipura,balapur-444302,jain temple,akola.maharastra</t>
  </si>
  <si>
    <t>SEZ UNIT-II</t>
  </si>
  <si>
    <t>INFOSYS  LTD.IL Pune SEZ Unit-II,Plot No. 24/3</t>
  </si>
  <si>
    <t>Sumith Sharma</t>
  </si>
  <si>
    <t>Mahesh Chand jain</t>
  </si>
  <si>
    <t>Project Manager</t>
  </si>
  <si>
    <t>492/1, shivloxpuri, konkerkhem, Meerat contonment UP250001</t>
  </si>
  <si>
    <t>RESIGNATION</t>
  </si>
  <si>
    <t>Prithvi Raj Patil</t>
  </si>
  <si>
    <t>24/06/1980</t>
  </si>
  <si>
    <t>shripati vittal patil</t>
  </si>
  <si>
    <t>flat no 304, D wing, B Building ramakrishna paradise, Survey No 113, Near Bhairavnath Temple, Dhayan, Pune city 411041</t>
  </si>
  <si>
    <t>Nikhil Ghaikwad</t>
  </si>
  <si>
    <t>29/03/1985</t>
  </si>
  <si>
    <t>shrikanth govind</t>
  </si>
  <si>
    <t>Project Coordinator</t>
  </si>
  <si>
    <t>5th Floor, 113/114, nanapet, Nawawada, pune 411002</t>
  </si>
  <si>
    <t>Abhik Pandit</t>
  </si>
  <si>
    <t>Amarnath Pandit</t>
  </si>
  <si>
    <t>Flat B2, Niharika apts, Vivekanand nagar, podrah, Howrah,WB 711109</t>
  </si>
  <si>
    <t>Neha Verma</t>
  </si>
  <si>
    <t>27/10/1988</t>
  </si>
  <si>
    <t>Pramod kumar verma</t>
  </si>
  <si>
    <t>post shewra ps patory ward no 7, Hazrat shiura, Samastipur, Bihar 848504</t>
  </si>
  <si>
    <t>Kavita Gosavi</t>
  </si>
  <si>
    <t>23/08/1985</t>
  </si>
  <si>
    <t>Govindgeer vikramgeer</t>
  </si>
  <si>
    <t>B1-303, saptashri CHS, Anand Nagar, Manpada Road, Dombivalli, MH Thane 421201</t>
  </si>
  <si>
    <t>Bhumika Sachdeva </t>
  </si>
  <si>
    <t>19/05/1984</t>
  </si>
  <si>
    <t>Vikram sachdeva</t>
  </si>
  <si>
    <t>Technical Consultant</t>
  </si>
  <si>
    <t>8/416, Anbu Illam, Pilliyar koli street,pozhichellur, chennai, TN 600074</t>
  </si>
  <si>
    <t>Vivek Hariharan</t>
  </si>
  <si>
    <t>P C Hariharan</t>
  </si>
  <si>
    <t>A-10/1, Telco Soc No 9, Sector-24, Pradhikaran, Pune, MH 411044</t>
  </si>
  <si>
    <t>Vishaka Salvi</t>
  </si>
  <si>
    <t>shivaji ganpat</t>
  </si>
  <si>
    <t>Client Delivery Manager</t>
  </si>
  <si>
    <t>302, New Ekta CHS, sector -8, airholi, NAVI MUMBAI 400708</t>
  </si>
  <si>
    <t>DHANANJAY RAMESH GHODMARE</t>
  </si>
  <si>
    <t>25/03/1984</t>
  </si>
  <si>
    <t>Ramesh ramji ghodmare</t>
  </si>
  <si>
    <t>Associate Lead</t>
  </si>
  <si>
    <t>F37, Indraprastha Apts, pawansuth nagar, nandangan, nagpur, 440009</t>
  </si>
  <si>
    <t>KAPIL SOPANRAO RASAL</t>
  </si>
  <si>
    <t>sopan srimant rasal</t>
  </si>
  <si>
    <t>vivekanand puram,kokat f nagar,Latur,413512</t>
  </si>
  <si>
    <t>PRERNA NARAYAN</t>
  </si>
  <si>
    <t>28/02/1987</t>
  </si>
  <si>
    <t>Roop Krishen Narayan</t>
  </si>
  <si>
    <t>Flat no 1302, Towerr-12, Asbridge c, Lodha belmondo gahunje, OPP MCA cricket stadium, Pune MH 412021</t>
  </si>
  <si>
    <t>VYANKATESH NANDAPURKAR</t>
  </si>
  <si>
    <t>19/10/1969</t>
  </si>
  <si>
    <t>Devidas keshavrao</t>
  </si>
  <si>
    <t>Flat No 402, Wamen Ganesh Paradise, shinde nagar, maratha mandir,Bavdhan pune MH 411021</t>
  </si>
  <si>
    <t>PRAVIN PANDURANG WAJE</t>
  </si>
  <si>
    <t>pandurang dhondu waje</t>
  </si>
  <si>
    <t>Wintel Administrator</t>
  </si>
  <si>
    <t>shree society building no D-9, Room no 1/3, Sector 22, Near Matabaai hospital,koper khairne, Navi mumbai, thane , MH 400.079</t>
  </si>
  <si>
    <t>PRIYA BASWANT MORE</t>
  </si>
  <si>
    <t>18/04/1990</t>
  </si>
  <si>
    <t>Baswant More</t>
  </si>
  <si>
    <t>At Post Rajgoli khurd, Tal Chandgad, Dist kolhapur, Maharashtra 416508</t>
  </si>
  <si>
    <t>VINITA SAWANT</t>
  </si>
  <si>
    <t>19/01/1989</t>
  </si>
  <si>
    <t>Anand rao</t>
  </si>
  <si>
    <t>B12/1 6, Trimurti CHS, sec-24, JUI Nagar, Navi mumbai, 400705</t>
  </si>
  <si>
    <t>SUMIT SANJAY JOSHI</t>
  </si>
  <si>
    <t>23/06/1988</t>
  </si>
  <si>
    <t>Sanjay joshi</t>
  </si>
  <si>
    <t>127 A/P Bahirewadi,  Tal-ajara,Dist kolhapur, MH 416220</t>
  </si>
  <si>
    <t>BHAGYASHRI awtare</t>
  </si>
  <si>
    <t>17/09/1992</t>
  </si>
  <si>
    <t>Bhagwan nathu awate</t>
  </si>
  <si>
    <t>Gangapur, BK Tal ambegaon, shiroli, Pune 410516</t>
  </si>
  <si>
    <t>RAHUL CHAKRADHARE</t>
  </si>
  <si>
    <t>17/11/1991</t>
  </si>
  <si>
    <t>vasant moreshwar chakradhare</t>
  </si>
  <si>
    <t>flat no 1001, R- Building, 10th floor, Tanish orchid phase -3, charholi patha pune MH 412105</t>
  </si>
  <si>
    <t>Kazi Sayyedsalman Jalaluddin</t>
  </si>
  <si>
    <t>23/05/1991</t>
  </si>
  <si>
    <t>Jalaluddin Rashid Kazi</t>
  </si>
  <si>
    <t>A - 702, Suyog Leher, Near Sai Service, Kondhwa Budruk, Pune - 411048.</t>
  </si>
  <si>
    <t>Asish kumar satapathy</t>
  </si>
  <si>
    <t>Harshad Trivedi</t>
  </si>
  <si>
    <t>SR.Project Coordinator</t>
  </si>
  <si>
    <t>AT/P-MUNGURWADI,TAL-GADHINGLAJ,DIST-KOLHAPUR, MAHARASHTRA 416503</t>
  </si>
  <si>
    <t xml:space="preserve">Pritanjali Patil </t>
  </si>
  <si>
    <t>Narendra Singh Patil</t>
  </si>
  <si>
    <t xml:space="preserve">52, Vidyanagar, Bodwad, Jalgaon Dist, MH </t>
  </si>
  <si>
    <t xml:space="preserve">Madhura Divekar </t>
  </si>
  <si>
    <t>24/05/1990</t>
  </si>
  <si>
    <t>Shaunak Divekar</t>
  </si>
  <si>
    <t>Flat No M104, Ramyanagri, Opp Central bank, Bibvewadi, Pune 411037</t>
  </si>
  <si>
    <t>Yash Trivedi</t>
  </si>
  <si>
    <t>23/03/1992</t>
  </si>
  <si>
    <t>G/7, Jayambe Colony, Babul Pada,achole road, nalasopara E 401209</t>
  </si>
  <si>
    <t>Sumit pande</t>
  </si>
  <si>
    <t>25/09/1991</t>
  </si>
  <si>
    <t>Janardhan pande</t>
  </si>
  <si>
    <t>SS/499, SECTOR N1 ALIGANJ LUCKNOW UTTAR PRADESH 226024</t>
  </si>
  <si>
    <t>Rahul Patil</t>
  </si>
  <si>
    <t>Maruti T patil</t>
  </si>
  <si>
    <t>Prachi Duble</t>
  </si>
  <si>
    <t>pandurang shantaram duble</t>
  </si>
  <si>
    <t>H No 661,C/o Sateri Medical stores, Aronda, Tal-sawantwadi, Dist-Sindhudurg, Maharashtra 416513</t>
  </si>
  <si>
    <t xml:space="preserve">Rohit Shellar </t>
  </si>
  <si>
    <t>17/07/1994</t>
  </si>
  <si>
    <t>Shivaji Babanrao Shelar</t>
  </si>
  <si>
    <t>plot no. 126 Mohininagar , kedgaon , Ahmednagar,414005</t>
  </si>
  <si>
    <t>Harshad Daphane</t>
  </si>
  <si>
    <t>Dinakar Balaji</t>
  </si>
  <si>
    <t>Rh No.A-5,Renuka Puram,Satara Parisar,Beed Bypass,Aurangabad-431010</t>
  </si>
  <si>
    <t>Raj Prakash Pandya</t>
  </si>
  <si>
    <t>Prakash Pandya</t>
  </si>
  <si>
    <t>Project Delivery Manager</t>
  </si>
  <si>
    <t>1B/42, Kalpataru Gardens, Ashok Nagar, Kanoivali E  Mumbai 400101</t>
  </si>
  <si>
    <t xml:space="preserve">Kedar Walunj </t>
  </si>
  <si>
    <t>Dnyandeo Walunj</t>
  </si>
  <si>
    <t>Samartha, House No 872, Maruthi Mandir Jawal, Joshirwadi, Shirur, Pune, MH 412210</t>
  </si>
  <si>
    <t>Shikha Tiwari</t>
  </si>
  <si>
    <t>Radheshyam Tiwari</t>
  </si>
  <si>
    <t>A204, Chaitanshyasheel Cooperative society, Thakurwadi, Dombivali W Thane 421201</t>
  </si>
  <si>
    <t>Sonam K. Subbanwar</t>
  </si>
  <si>
    <t>K Sakharam Subbanwar</t>
  </si>
  <si>
    <t>Plot no 62, Ranala colony, Pragathi Nagar, Nagpur Road, Kamptee, Nagpur dist Maharashtra 441002</t>
  </si>
  <si>
    <t>Anmol Bansal</t>
  </si>
  <si>
    <t>Manmohan Bansal</t>
  </si>
  <si>
    <t>9/466/A Babra Mohalla, Khari Kui, Rohtak - 124001, Haryana</t>
  </si>
  <si>
    <t>Kaustubh Varadkar</t>
  </si>
  <si>
    <t>Nishikant Vaman Varadkar</t>
  </si>
  <si>
    <t xml:space="preserve">11,Matruchhaya building,ram maruti road, dadar,mumbai-400028
</t>
  </si>
  <si>
    <t>Netai Mallick</t>
  </si>
  <si>
    <t>Nemai Mallick</t>
  </si>
  <si>
    <t>203, Near Arambagh High school, Bottola ward no 3, Arambagh, Hugli, West Bengal 712601</t>
  </si>
  <si>
    <t>Shweta Pote</t>
  </si>
  <si>
    <t>Vishal Pote</t>
  </si>
  <si>
    <t>H4/503, Rose Icon, Pimple Saudagar, Pune - 411027. Maharashtra.</t>
  </si>
  <si>
    <t>Rohit Lokhande</t>
  </si>
  <si>
    <t>Chandrakant Lokhande</t>
  </si>
  <si>
    <t>Junna Satara, Koliwada, Near Shivshankar Bekari, Bhusawal-425201</t>
  </si>
  <si>
    <t>Sagar Khandwe</t>
  </si>
  <si>
    <t>Male</t>
  </si>
  <si>
    <t>Suhas Jairam Khandwe</t>
  </si>
  <si>
    <t>Renuka Nagar,Dabki Road,Behind Renuka Mandir,Akola, Maharashtra 444002</t>
  </si>
  <si>
    <t xml:space="preserve">B-703,Chaitanya Vihar Society,Boat Club Road,Datta Nagar Lane no.1,Thergaon,Chinchwad,Pune </t>
  </si>
  <si>
    <t>Snehal Kulkarni</t>
  </si>
  <si>
    <t>24/7/1990</t>
  </si>
  <si>
    <t>SOAURABH</t>
  </si>
  <si>
    <t>B-18 OZONE VILLA,WAGHOLI,PUNE,412207</t>
  </si>
  <si>
    <t>Aruna Ballal</t>
  </si>
  <si>
    <t>Female</t>
  </si>
  <si>
    <t>Sudam Ballal</t>
  </si>
  <si>
    <t>B.102, Bora Park, Pimple Soudagar, Pune. 411027</t>
  </si>
  <si>
    <t>Shamik Podder</t>
  </si>
  <si>
    <t>Sib shankar Poddar</t>
  </si>
  <si>
    <t>59/c, PK Guha Lane,Dum Dum Contonment, Kolkata, WB 700028</t>
  </si>
  <si>
    <t>Ayushi Dalela</t>
  </si>
  <si>
    <t>13/9/1988</t>
  </si>
  <si>
    <t>PD Dalela</t>
  </si>
  <si>
    <t>Snehasish Niwas, Masjid wali gali, Sikandar Kampo, Gwalior, MP 474001</t>
  </si>
  <si>
    <t>Flat No 2, 35 South Wing, Sector 3804, Pratik Nagar, Yerawada, Pune, 411006</t>
  </si>
  <si>
    <t>Jaganath Senapathi</t>
  </si>
  <si>
    <t>Gopal Krushna Senapati</t>
  </si>
  <si>
    <t>At/PO, Beguniapada, Dist Ganjam, Kodala, Beguniapada, Odissha 761031</t>
  </si>
  <si>
    <t>Room No 6, Lane No 4, Srinivas Reddy PG, Bhavani Nagar, Kharadi, Pune, 411014</t>
  </si>
  <si>
    <t xml:space="preserve">Niranjan Jawale </t>
  </si>
  <si>
    <t>Sunil banakrao Jawale</t>
  </si>
  <si>
    <t>SR NO 74/A, COLONY NO 4, SHRAVASTINAGAR, GORPADI GAON,PUNE 41101</t>
  </si>
  <si>
    <t>Sanchali Paul</t>
  </si>
  <si>
    <t>26/11/1990</t>
  </si>
  <si>
    <t>Dipak Paul</t>
  </si>
  <si>
    <t>Qt. No. SPT -lll/19, Forest Colony Chandranagar, Itanagar Arunachal Pradesh, pin 791113</t>
  </si>
  <si>
    <t>Flat. No 6, Anuraj society, Parihaar Chowk, Aundh, Pune</t>
  </si>
  <si>
    <t>golak bihari Panda</t>
  </si>
  <si>
    <t>402,laxmisagar,near melan padia,bhubaneswar,odisha-751006</t>
  </si>
  <si>
    <t>Senior Oracle DBA Admin</t>
  </si>
  <si>
    <t>Arifulla Shaik</t>
  </si>
  <si>
    <t>VenkataRamanaia Rayani</t>
  </si>
  <si>
    <t>10th June 1990</t>
  </si>
  <si>
    <t>Ankamaiah</t>
  </si>
  <si>
    <t>Shaik Asad</t>
  </si>
  <si>
    <t>Citrix Administrator</t>
  </si>
  <si>
    <t>1-1015/t balineni bharath nagar, backside karuna colony, ongole, prakasam district, andhra pradesh, 523001</t>
  </si>
  <si>
    <t>Rudrakota village, Kavali, SPSR Nellore AP 524203</t>
  </si>
  <si>
    <t>26th April 21</t>
  </si>
  <si>
    <t>Form XV - WAGE SLIP</t>
  </si>
  <si>
    <t>[Vide rule 78 (1) (b) of the Contract Labour (Regulation and Abolition) and Maharashtra  Rules, 1971]</t>
  </si>
  <si>
    <t>AshishTukaram Mhaskar</t>
  </si>
  <si>
    <t>oo</t>
  </si>
  <si>
    <t>HDFC Bank</t>
  </si>
  <si>
    <r>
      <t xml:space="preserve">                                                                                         </t>
    </r>
    <r>
      <rPr>
        <b/>
        <sz val="25"/>
        <rFont val="Calibri"/>
        <family val="2"/>
      </rPr>
      <t xml:space="preserve">FORM - XIII REGISTER OF WORKMEN EMPLOYED BY CONTRACTOR
</t>
    </r>
  </si>
  <si>
    <t>Active</t>
  </si>
  <si>
    <t>Pravin Pralhad Deulkar  - no data in JULY 21 wage register</t>
  </si>
  <si>
    <t>BISWAJIT PANDA  - NO TIN  JULY 21</t>
  </si>
  <si>
    <t>DESIR KOIPURATH</t>
  </si>
  <si>
    <t>ITPM</t>
  </si>
  <si>
    <t>100142924932</t>
  </si>
  <si>
    <t>Tukaram Sakaram Mhaskar</t>
  </si>
  <si>
    <t>MS sql DBA</t>
  </si>
  <si>
    <t>Plot No 3,Road No 14,Sector 12,New panvel,Opp BSNL office,Raigarh,Maharastra 410206</t>
  </si>
  <si>
    <t>Brijou Gopalan Koipurath</t>
  </si>
  <si>
    <t>1753,Jayaram colony,Behind Holy family,Vidyanagar,Karad district Satara,Maharastra 415124</t>
  </si>
  <si>
    <t>F-803,Mount Vert Vesta,Urawade,Pirangut,Pune 412108</t>
  </si>
  <si>
    <t>WO</t>
  </si>
  <si>
    <t>Shaikh Mohammed Sartaj</t>
  </si>
  <si>
    <t>Moin Ahemad Jahur Ahemad Kumarkiri</t>
  </si>
  <si>
    <t>Savana Saritha Dora</t>
  </si>
  <si>
    <t>Minakshi Joshi</t>
  </si>
  <si>
    <t>FEMALE</t>
  </si>
  <si>
    <t>HDFC BANK</t>
  </si>
  <si>
    <t>50100405646907</t>
  </si>
  <si>
    <t>50100103229547</t>
  </si>
  <si>
    <t>SBI</t>
  </si>
  <si>
    <t>CITI Bank</t>
  </si>
  <si>
    <t>Network Security Admin</t>
  </si>
  <si>
    <t>Infrastructure Lead</t>
  </si>
  <si>
    <t xml:space="preserve">ASSISTANT PROJECT MANAGER </t>
  </si>
  <si>
    <t>Shaikh Mohammad Rafique</t>
  </si>
  <si>
    <t>plot no 110, Sadatnagar, Near Railway station, Aurangabad, 431001</t>
  </si>
  <si>
    <t>Hiren Joshi</t>
  </si>
  <si>
    <t>A-10/401, Planet Millennium Society, Pimple Saudagar, Pune Maharashtra</t>
  </si>
  <si>
    <t>B-30, Ramnagar Society, Nizampura, Vadodara, Gujarat</t>
  </si>
  <si>
    <t>Jahur Ahemad Kumarkiri</t>
  </si>
  <si>
    <t>Shafa Nagar Ausa, Dist- Latur, Maharashtra</t>
  </si>
  <si>
    <t>River Residency, Chikhali , Pune</t>
  </si>
  <si>
    <t>Laxman gupta</t>
  </si>
  <si>
    <t>E 111, Ace City Police Chowki, Sector-1, Bishrak, Greater Noida West, Yatharth Hospital, Noida, 201306</t>
  </si>
  <si>
    <t>101749326014</t>
  </si>
  <si>
    <t>BITS-652</t>
  </si>
  <si>
    <t>BITS-660</t>
  </si>
  <si>
    <t>BITS-664</t>
  </si>
  <si>
    <t>Resigned</t>
  </si>
  <si>
    <t>Resignation</t>
  </si>
  <si>
    <t xml:space="preserve">Mandar Shetty </t>
  </si>
  <si>
    <t xml:space="preserve">Vivek Dongre </t>
  </si>
  <si>
    <t>Amit Chawadi</t>
  </si>
  <si>
    <t>BITS-668</t>
  </si>
  <si>
    <t>BITS-672</t>
  </si>
  <si>
    <t>BITS-674</t>
  </si>
  <si>
    <t>Vijay Shetty</t>
  </si>
  <si>
    <t>B-301,Hemarold Isle,Wagholi-Lohegaon,Behind Wagheshwar Temple,Wagholi,Pune 412207</t>
  </si>
  <si>
    <t>Axis Bank</t>
  </si>
  <si>
    <t>910010033970009</t>
  </si>
  <si>
    <t>100217449855</t>
  </si>
  <si>
    <t>Purushottam Dongre</t>
  </si>
  <si>
    <t>B-8,Good will Samwrudhi,Gokul nagar,Dhanuri road No.15,Pune 411015</t>
  </si>
  <si>
    <t>100857629834</t>
  </si>
  <si>
    <t>5297131705</t>
  </si>
  <si>
    <t>Veerendra</t>
  </si>
  <si>
    <t>Sr.Software Engineer</t>
  </si>
  <si>
    <t>Block No.C-9/10,Bhagyodhaya housing society,Opp Parsi vihar,Nai zindagi road,Solapur,Maharastra 413003</t>
  </si>
  <si>
    <t>100930453611</t>
  </si>
  <si>
    <t>ICICI Bank</t>
  </si>
  <si>
    <t>007401540582</t>
  </si>
  <si>
    <t>100468499225</t>
  </si>
  <si>
    <t>100505159752</t>
  </si>
  <si>
    <t>Ashwini Nanaware</t>
  </si>
  <si>
    <t>Kaushal Sushil Sharma</t>
  </si>
  <si>
    <t>Arvind Akhare</t>
  </si>
  <si>
    <t>Pallavi Rishikesh Naik</t>
  </si>
  <si>
    <t>Amit Kumar</t>
  </si>
  <si>
    <t>OOO</t>
  </si>
  <si>
    <t>BITS-677</t>
  </si>
  <si>
    <t>BITS-678</t>
  </si>
  <si>
    <t>BITS-680</t>
  </si>
  <si>
    <t>BITS-681</t>
  </si>
  <si>
    <t>BITS-686</t>
  </si>
  <si>
    <t>EL</t>
  </si>
  <si>
    <t>Suresh Sadashiv Male</t>
  </si>
  <si>
    <t>Flat No 305,Pandarinath Appartments,Sanath nagar lane,No7,Lohegaon,Pune 411047</t>
  </si>
  <si>
    <t>100734752719</t>
  </si>
  <si>
    <t>50100191546051</t>
  </si>
  <si>
    <t>Sushil Sharma</t>
  </si>
  <si>
    <t>Room No.2, Ambica singh Chawl,New Deepak wadi,Khar east,Mumbai,400051</t>
  </si>
  <si>
    <t>Network Engineer L2</t>
  </si>
  <si>
    <t>001901524778</t>
  </si>
  <si>
    <t>100779324583</t>
  </si>
  <si>
    <t>Vasanth Rao Ramkishan Akhare</t>
  </si>
  <si>
    <t>AP.Shelgaon Deshmukh sub distruct,Mehkar,District Buldana,Maharastra 443303</t>
  </si>
  <si>
    <t>50100150364960</t>
  </si>
  <si>
    <t>100743126845</t>
  </si>
  <si>
    <t>Rishikesh Naik</t>
  </si>
  <si>
    <t>C/3,Ekta Housing Society,MIDC,G Block,Sambajinagar,Chinchiwad,Pune 411019</t>
  </si>
  <si>
    <t>C/O Prameela Savath,Suryasirvad society,Flat No.5,Near Waghere wada,Priyadarshini school,Nehru nagar,Pimpri,Pune 411048</t>
  </si>
  <si>
    <t>5696586708</t>
  </si>
  <si>
    <t>100905532909</t>
  </si>
  <si>
    <t>Yadram</t>
  </si>
  <si>
    <t>525,Galli No.1,Sector 44,Chalera,Noida,Gowtham Budda nagar,Uttarpradesh 201301</t>
  </si>
  <si>
    <t>100986290999</t>
  </si>
  <si>
    <t>Linux Administrator</t>
  </si>
  <si>
    <t>05121140023169</t>
  </si>
  <si>
    <t>Pranav Thakare</t>
  </si>
  <si>
    <t>Asita Kumar Sahoo</t>
  </si>
  <si>
    <t>BITS-688</t>
  </si>
  <si>
    <t>BITS-694</t>
  </si>
  <si>
    <t>100716206034</t>
  </si>
  <si>
    <t xml:space="preserve">ICICI BANK </t>
  </si>
  <si>
    <t>056601532765</t>
  </si>
  <si>
    <t>Network Admin</t>
  </si>
  <si>
    <t>OOOO</t>
  </si>
  <si>
    <t>JAN'22</t>
  </si>
  <si>
    <t>28/02/1994</t>
  </si>
  <si>
    <t>Pramod Motiram Thakare</t>
  </si>
  <si>
    <t>B-78, State Employees Society,Ashoknagar,Satpur,Nashik</t>
  </si>
  <si>
    <t>Dambarudar Sahoo</t>
  </si>
  <si>
    <t>02/07/1977</t>
  </si>
  <si>
    <t>Airforce station, Achalgarh, Delwara, Abu road, Sirohi, Rajasthan 307501</t>
  </si>
  <si>
    <t>Arun Arra</t>
  </si>
  <si>
    <t>Ramya Nalla</t>
  </si>
  <si>
    <t>SYED  MOHAMMED AZHER</t>
  </si>
  <si>
    <t>Uma  Mahesh P</t>
  </si>
  <si>
    <t>GONTHINI  SAIBABU</t>
  </si>
  <si>
    <t>Pavan  Nagendra Tatina</t>
  </si>
  <si>
    <t>Mohd  Azhar Shareef</t>
  </si>
  <si>
    <t>NAGA SAI TEJA NUTHI</t>
  </si>
  <si>
    <t>Mani Krishna Nandineedi</t>
  </si>
  <si>
    <t>Sushma P</t>
  </si>
  <si>
    <t>BITS-706</t>
  </si>
  <si>
    <t>BITS-707</t>
  </si>
  <si>
    <t>BITS-709</t>
  </si>
  <si>
    <t>BITS-713</t>
  </si>
  <si>
    <t>BITS-714</t>
  </si>
  <si>
    <t>BITS-715</t>
  </si>
  <si>
    <t>Anjam Raju</t>
  </si>
  <si>
    <t>1-52/3, Suryanager Colony, Uppal, HYD 500039</t>
  </si>
  <si>
    <t>H.No: 2-3-226, Dubbawada, Metpally, 505325</t>
  </si>
  <si>
    <t xml:space="preserve">A/C No : 32523021338, </t>
  </si>
  <si>
    <t>22-03-1998</t>
  </si>
  <si>
    <t>C-101, Akruthi Arcade, Anand Nagar, GB road, Thane West, Mumbai, Maharashtra,400615</t>
  </si>
  <si>
    <t>A/C no: 37660478448</t>
  </si>
  <si>
    <t>W/O Chitharanjan Allem</t>
  </si>
  <si>
    <t>SYED MOHAMMED NASEER</t>
  </si>
  <si>
    <t>11-5-205 Flat No 202 2nd Floor Beside Red Hills Poly Clinic Nampally Hyderabad , Telangana - 500 004</t>
  </si>
  <si>
    <t>10/2/2022</t>
  </si>
  <si>
    <t>PENTAKOTA LAKSHI</t>
  </si>
  <si>
    <t xml:space="preserve"> D.NO: 1-1 , PENTAKOTA VARI STREET , CHUCHUKONDA (VILLAGE),MUNAGAPAKA (MANDAL),VISHAKAPATNAM(DISTRICT),PIN CODE:531055</t>
  </si>
  <si>
    <t>D.NO: 1-1 , PENTAKOTA VARI STREET , CHUCHUKONDA(VILLAGE),MUNAGAPAKA(MANDAL),VISHAKAPATNAM(DISTRICT),PINCODE:531055</t>
  </si>
  <si>
    <t>GONTHINI SATTIBABU</t>
  </si>
  <si>
    <t>Falt: 202, Pecan Creek,Plot 790, Road no 4c, Gopal Nagar, Gokul Enclave, Venkata Ramana Colony, Kukatpally, Hyderabad, Telangana 500085, India</t>
  </si>
  <si>
    <t>D.NO: 4-65, YADAGIRIPALEM VILLAGE, MELUPAKA POST, MUNAGAPAKA MANDAL, VISAKHAPATNAM, A.P. PINCODE -531055.</t>
  </si>
  <si>
    <t>TATINA PULLARAO</t>
  </si>
  <si>
    <t>Dr no:1-73,near high school,lingapalem,west godavari district-534462</t>
  </si>
  <si>
    <t>G seshaiah</t>
  </si>
  <si>
    <t>Hno 15-21-237/1,Flat no G2,sattenapally towers,Balaji Nagar,Kukatpally,Hyderabad,500072</t>
  </si>
  <si>
    <t>N Srinivasu</t>
  </si>
  <si>
    <t>204-7-343, Nagireddy Nagar, Near Three temples</t>
  </si>
  <si>
    <t>3-542, 10th street RK Nagar, Rajahmundry 533107</t>
  </si>
  <si>
    <t>Veeraswamy</t>
  </si>
  <si>
    <t>H No 5-11/1, Janakipuram, bonakal,Khammam, Telangana 507204</t>
  </si>
  <si>
    <t>FEB'22</t>
  </si>
  <si>
    <t>10-2-2022</t>
  </si>
  <si>
    <t>Mohd Mazhar Shareer</t>
  </si>
  <si>
    <t>SAP Basis consultant</t>
  </si>
  <si>
    <t>101377758010</t>
  </si>
  <si>
    <t>10179269235</t>
  </si>
  <si>
    <t>101081477079</t>
  </si>
  <si>
    <t>A/C NO 50100444213458</t>
  </si>
  <si>
    <t>101792969226</t>
  </si>
  <si>
    <t>101478192192</t>
  </si>
  <si>
    <t>101793033196</t>
  </si>
  <si>
    <t>101756843175</t>
  </si>
  <si>
    <t>A/C NO 20297714176</t>
  </si>
  <si>
    <t>4-3-90/1,Attapur,Kanganagar,Near SNR function hall,Pillar no 123,Hyderabad,TS 500048</t>
  </si>
  <si>
    <t>101589884490</t>
  </si>
  <si>
    <t>A/C NO 50100360114888</t>
  </si>
  <si>
    <t>100542320584</t>
  </si>
  <si>
    <t>A/C NO 62111073370</t>
  </si>
  <si>
    <t>susheelKumar Gabndla</t>
  </si>
  <si>
    <t>BITS-741</t>
  </si>
  <si>
    <t>29</t>
  </si>
  <si>
    <t>30</t>
  </si>
  <si>
    <t>A</t>
  </si>
  <si>
    <t>MAR'22</t>
  </si>
  <si>
    <t>LESS DAYS</t>
  </si>
  <si>
    <t>IT SUPPORTIVE SERVICES&amp; PUNE SEZ UNIT-II</t>
  </si>
  <si>
    <t>ICICI BANK</t>
  </si>
  <si>
    <t>A/C NO 007601548378</t>
  </si>
  <si>
    <t>05.05.2022</t>
  </si>
  <si>
    <t>Sr Software Engineer</t>
  </si>
  <si>
    <t>APRIL'22</t>
  </si>
  <si>
    <t>Muster Roll cum Wages Register for the month of    APRIL  2022</t>
  </si>
  <si>
    <t>2022-23</t>
  </si>
  <si>
    <t>Muster Roll cum Wage Register for the month of   APRIL 2022</t>
  </si>
  <si>
    <t>Narayana Gandla</t>
  </si>
  <si>
    <t>susheelKumar Gandla</t>
  </si>
  <si>
    <t>Flat no.308,Block A,Akruthi srinivasan Appts,Balaji nagar,Road.3,Nizampet,Hyderabad,TS 500090</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</si>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</sst>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mmmm/yyyy"/>
    <numFmt numFmtId="165" formatCode="[$-409]d/mmm/yy;@"/>
    <numFmt numFmtId="166" formatCode="###,##0"/>
    <numFmt numFmtId="167" formatCode="_(* #,##0_);_(* \(#,##0\);_(* &quot;-&quot;??_);_(@_)"/>
    <numFmt numFmtId="168" formatCode="[$-14009]dd/mm/yyyy;@"/>
  </numFmts>
  <fonts count="134">
    <font>
      <sz val="11"/>
      <color theme="1"/>
      <name val="Calibri"/>
      <family val="2"/>
      <scheme val="minor"/>
    </font>
    <font>
      <sz val="11"/>
      <color theme="1"/>
      <name val="Calibri"/>
      <family val="2"/>
      <scheme val="minor"/>
    </font>
    <font>
      <b/>
      <sz val="11"/>
      <color theme="1"/>
      <name val="Calibri"/>
      <family val="2"/>
      <scheme val="minor"/>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sz val="10"/>
      <name val="Calibri"/>
      <family val="2"/>
      <scheme val="minor"/>
    </font>
    <font>
      <sz val="12"/>
      <name val="Cambria"/>
      <family val="1"/>
      <scheme val="major"/>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b/>
      <sz val="9"/>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2"/>
      <color theme="1"/>
      <name val="Cambria"/>
      <family val="1"/>
      <scheme val="major"/>
    </font>
    <font>
      <b/>
      <sz val="8"/>
      <color indexed="8"/>
      <name val="Calibri"/>
      <family val="2"/>
      <scheme val="minor"/>
    </font>
    <font>
      <sz val="8"/>
      <color indexed="8"/>
      <name val="Calibri"/>
      <family val="2"/>
      <scheme val="minor"/>
    </font>
    <font>
      <sz val="8"/>
      <name val="Calibri"/>
      <family val="2"/>
      <scheme val="minor"/>
    </font>
    <font>
      <sz val="11"/>
      <name val="Verdana"/>
      <family val="2"/>
    </font>
    <font>
      <sz val="8"/>
      <name val="Verdana"/>
      <family val="2"/>
    </font>
    <font>
      <sz val="10"/>
      <name val="Cambria"/>
      <family val="1"/>
      <scheme val="major"/>
    </font>
    <font>
      <sz val="11"/>
      <color theme="1"/>
      <name val="Cambria"/>
      <family val="1"/>
      <scheme val="major"/>
    </font>
    <font>
      <sz val="11"/>
      <name val="Cambria"/>
      <family val="1"/>
      <scheme val="major"/>
    </font>
    <font>
      <sz val="9"/>
      <name val="Cambria"/>
      <family val="1"/>
      <scheme val="major"/>
    </font>
    <font>
      <sz val="11"/>
      <color indexed="8"/>
      <name val="Arial Unicode MS"/>
      <family val="2"/>
    </font>
    <font>
      <b/>
      <sz val="10"/>
      <color theme="1"/>
      <name val="Calibri"/>
      <family val="2"/>
      <scheme val="minor"/>
    </font>
    <font>
      <sz val="11"/>
      <color rgb="FFFF0000"/>
      <name val="Calibri"/>
      <family val="2"/>
      <scheme val="minor"/>
    </font>
    <font>
      <sz val="10"/>
      <color rgb="FFFF0000"/>
      <name val="Arial"/>
      <family val="2"/>
    </font>
    <font>
      <sz val="12"/>
      <color rgb="FFFF0000"/>
      <name val="Cambria"/>
      <family val="1"/>
      <scheme val="major"/>
    </font>
    <font>
      <sz val="10"/>
      <color rgb="FFFF0000"/>
      <name val="Cambria"/>
      <family val="1"/>
      <scheme val="major"/>
    </font>
    <font>
      <b/>
      <sz val="10"/>
      <color rgb="FFFF0000"/>
      <name val="Cambria"/>
      <family val="1"/>
      <scheme val="major"/>
    </font>
    <font>
      <sz val="12"/>
      <color rgb="FFFF0000"/>
      <name val="Calibri"/>
      <family val="2"/>
    </font>
    <font>
      <sz val="10"/>
      <color rgb="FFFF0000"/>
      <name val="Calibri"/>
      <family val="2"/>
      <scheme val="minor"/>
    </font>
    <font>
      <sz val="11"/>
      <color rgb="FFFF0000"/>
      <name val="Calibri"/>
      <family val="2"/>
    </font>
    <font>
      <b/>
      <sz val="25"/>
      <name val="Calibri"/>
      <family val="2"/>
    </font>
    <font>
      <sz val="12"/>
      <name val="Calibri"/>
      <family val="2"/>
      <scheme val="minor"/>
    </font>
    <font>
      <b/>
      <sz val="11"/>
      <name val="Cambria"/>
      <family val="1"/>
      <scheme val="major"/>
    </font>
    <font>
      <b/>
      <sz val="12"/>
      <name val="Calibri"/>
      <family val="2"/>
      <scheme val="minor"/>
    </font>
    <font>
      <b/>
      <sz val="8"/>
      <name val="Calibri"/>
      <family val="2"/>
      <scheme val="minor"/>
    </font>
    <font>
      <sz val="16"/>
      <color rgb="FFFF0000"/>
      <name val="Cambria"/>
      <family val="1"/>
      <scheme val="major"/>
    </font>
    <font>
      <sz val="14"/>
      <color theme="1"/>
      <name val="Calibri"/>
      <family val="2"/>
      <scheme val="minor"/>
    </font>
    <font>
      <sz val="11"/>
      <name val="Tahoma"/>
      <family val="2"/>
    </font>
    <font>
      <b/>
      <sz val="10"/>
      <color indexed="8"/>
      <name val="Calibri"/>
      <family val="2"/>
      <scheme val="minor"/>
    </font>
    <font>
      <sz val="10"/>
      <name val="Verdana"/>
      <family val="2"/>
    </font>
    <font>
      <sz val="14"/>
      <color rgb="FFFF0000"/>
      <name val="Cambria"/>
      <family val="1"/>
      <scheme val="major"/>
    </font>
    <font>
      <b/>
      <sz val="12"/>
      <color theme="1"/>
      <name val="Cambria"/>
      <family val="1"/>
      <scheme val="major"/>
    </font>
    <font>
      <sz val="11"/>
      <color rgb="FF000000"/>
      <name val="Calibri"/>
      <family val="2"/>
    </font>
    <font>
      <sz val="18"/>
      <color rgb="FF000000"/>
      <name val="Calibri"/>
      <family val="2"/>
    </font>
    <font>
      <sz val="11"/>
      <color rgb="FF32363A"/>
      <name val="Arial"/>
      <family val="2"/>
    </font>
    <font>
      <sz val="10"/>
      <color indexed="8"/>
      <name val="Calibri"/>
      <family val="2"/>
      <scheme val="minor"/>
    </font>
    <font>
      <sz val="14"/>
      <name val="Calibri"/>
      <family val="2"/>
      <scheme val="minor"/>
    </font>
    <font>
      <sz val="9"/>
      <name val="Calibri"/>
      <family val="2"/>
      <scheme val="minor"/>
    </font>
    <font>
      <b/>
      <sz val="14"/>
      <name val="Cambria"/>
      <family val="1"/>
      <scheme val="major"/>
    </font>
    <font>
      <b/>
      <sz val="11"/>
      <color rgb="FFFF0000"/>
      <name val="Arial Unicode MS"/>
      <family val="2"/>
    </font>
    <font>
      <sz val="11"/>
      <color theme="6" tint="-0.249977111117893"/>
      <name val="Calibri"/>
      <family val="2"/>
      <scheme val="minor"/>
    </font>
    <font>
      <sz val="18"/>
      <name val="Calibri"/>
      <family val="2"/>
    </font>
    <font>
      <sz val="18"/>
      <name val="Arial"/>
      <family val="2"/>
    </font>
    <font>
      <sz val="11"/>
      <color rgb="FF32363A"/>
      <name val="Calibri"/>
      <family val="2"/>
      <scheme val="minor"/>
    </font>
    <font>
      <sz val="14"/>
      <color rgb="FFFF0000"/>
      <name val="Calibri"/>
      <family val="2"/>
      <scheme val="minor"/>
    </font>
    <font>
      <b/>
      <sz val="9"/>
      <name val="Cambria"/>
      <family val="1"/>
      <scheme val="major"/>
    </font>
    <font>
      <b/>
      <sz val="10"/>
      <name val="Calibri"/>
      <family val="2"/>
      <scheme val="minor"/>
    </font>
    <font>
      <b/>
      <sz val="11"/>
      <color indexed="8"/>
      <name val="Calibri"/>
      <family val="2"/>
      <scheme val="minor"/>
    </font>
    <font>
      <b/>
      <sz val="8"/>
      <name val="Tahoma"/>
      <family val="2"/>
    </font>
    <font>
      <b/>
      <sz val="20"/>
      <color theme="1"/>
      <name val="Arial"/>
      <family val="2"/>
    </font>
    <font>
      <sz val="10"/>
      <color theme="1"/>
      <name val="Arial"/>
      <family val="2"/>
    </font>
    <font>
      <b/>
      <sz val="10"/>
      <color theme="1"/>
      <name val="Arial"/>
      <family val="2"/>
    </font>
    <font>
      <b/>
      <sz val="16"/>
      <name val="Calibri"/>
      <family val="2"/>
    </font>
    <font>
      <b/>
      <sz val="12"/>
      <name val="Cambria"/>
      <family val="1"/>
      <scheme val="major"/>
    </font>
    <font>
      <b/>
      <sz val="11"/>
      <name val="Arial Unicode MS"/>
      <family val="2"/>
    </font>
    <font>
      <b/>
      <sz val="12"/>
      <color rgb="FFFF0000"/>
      <name val="Cambria"/>
      <family val="1"/>
      <scheme val="major"/>
    </font>
    <font>
      <sz val="11"/>
      <color rgb="FFFF0000"/>
      <name val="Brush Script MT"/>
      <family val="4"/>
    </font>
    <font>
      <b/>
      <sz val="14"/>
      <color rgb="FFFF0000"/>
      <name val="Cambria"/>
      <family val="1"/>
      <scheme val="major"/>
    </font>
    <font>
      <i/>
      <sz val="14"/>
      <color rgb="FFFF0000"/>
      <name val="Calibri"/>
      <family val="2"/>
      <scheme val="minor"/>
    </font>
    <font>
      <b/>
      <sz val="8"/>
      <color theme="1"/>
      <name val="Calibri"/>
      <family val="2"/>
      <scheme val="minor"/>
    </font>
    <font>
      <b/>
      <sz val="14"/>
      <name val="Calibri"/>
      <family val="2"/>
    </font>
    <font>
      <b/>
      <sz val="14"/>
      <color rgb="FF32363A"/>
      <name val="Calibri"/>
      <family val="2"/>
      <scheme val="minor"/>
    </font>
    <font>
      <b/>
      <sz val="12"/>
      <color rgb="FFFF0000"/>
      <name val="Calibri"/>
      <family val="2"/>
      <scheme val="minor"/>
    </font>
    <font>
      <sz val="8"/>
      <color rgb="FFFF0000"/>
      <name val="Calibri"/>
      <family val="2"/>
      <scheme val="minor"/>
    </font>
    <font>
      <sz val="9"/>
      <color rgb="FFFF0000"/>
      <name val="Calibri"/>
      <family val="2"/>
      <scheme val="minor"/>
    </font>
    <font>
      <b/>
      <sz val="16"/>
      <color rgb="FFFF0000"/>
      <name val="Calibri"/>
      <family val="2"/>
      <scheme val="minor"/>
    </font>
    <font>
      <b/>
      <sz val="11"/>
      <color rgb="FFFF0000"/>
      <name val="Calibri"/>
      <family val="2"/>
      <scheme val="minor"/>
    </font>
    <font>
      <sz val="11"/>
      <color rgb="FFFF0000"/>
      <name val="Cambria"/>
      <family val="1"/>
      <scheme val="major"/>
    </font>
    <font>
      <sz val="9"/>
      <color rgb="FFFF0000"/>
      <name val="Cambria"/>
      <family val="1"/>
      <scheme val="major"/>
    </font>
    <font>
      <b/>
      <sz val="11"/>
      <color rgb="FFFF0000"/>
      <name val="Cambria"/>
      <family val="1"/>
      <scheme val="major"/>
    </font>
    <font>
      <sz val="12"/>
      <color rgb="FFFF0000"/>
      <name val="Calibri"/>
      <family val="2"/>
      <scheme val="minor"/>
    </font>
    <font>
      <sz val="14"/>
      <name val="Arial"/>
      <family val="2"/>
    </font>
    <font>
      <b/>
      <sz val="9"/>
      <color indexed="8"/>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B050"/>
        <bgColor indexed="64"/>
      </patternFill>
    </fill>
    <fill>
      <patternFill patternType="solid">
        <fgColor theme="5"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2" tint="-9.9978637043366805E-2"/>
        <bgColor indexed="64"/>
      </patternFill>
    </fill>
  </fills>
  <borders count="59">
    <border>
      <left/>
      <right/>
      <top/>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thin">
        <color indexed="8"/>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8"/>
      </right>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s>
  <cellStyleXfs count="11">
    <xf numFmtId="0" fontId="0" fillId="0" borderId="0"/>
    <xf numFmtId="0" fontId="7" fillId="0" borderId="0" applyFont="0" applyFill="0" applyBorder="0" applyAlignment="0" applyProtection="0"/>
    <xf numFmtId="0" fontId="1" fillId="0" borderId="0"/>
    <xf numFmtId="0" fontId="7" fillId="0" borderId="0"/>
    <xf numFmtId="0" fontId="1" fillId="0" borderId="0"/>
    <xf numFmtId="9" fontId="1" fillId="0" borderId="0" applyFont="0" applyFill="0" applyBorder="0" applyAlignment="0" applyProtection="0"/>
    <xf numFmtId="0" fontId="59" fillId="0" borderId="0"/>
    <xf numFmtId="0" fontId="60" fillId="0" borderId="0"/>
    <xf numFmtId="0" fontId="1" fillId="0" borderId="0"/>
    <xf numFmtId="43" fontId="1" fillId="0" borderId="0" applyFont="0" applyFill="0" applyBorder="0" applyAlignment="0" applyProtection="0"/>
    <xf numFmtId="167" fontId="7" fillId="0" borderId="0" applyFont="0" applyFill="0" applyBorder="0" applyAlignment="0" applyProtection="0"/>
  </cellStyleXfs>
  <cellXfs count="1381">
    <xf numFmtId="0" fontId="0" fillId="0" borderId="0" xfId="0"/>
    <xf numFmtId="0" fontId="4" fillId="0" borderId="0" xfId="0" applyFont="1"/>
    <xf numFmtId="0" fontId="2" fillId="0" borderId="0" xfId="0" applyFont="1"/>
    <xf numFmtId="0" fontId="7" fillId="0" borderId="0" xfId="0" applyFont="1"/>
    <xf numFmtId="0" fontId="0" fillId="0" borderId="0" xfId="0" applyAlignment="1">
      <alignment horizontal="left"/>
    </xf>
    <xf numFmtId="0" fontId="0" fillId="0" borderId="0" xfId="0" applyAlignment="1">
      <alignment horizontal="center"/>
    </xf>
    <xf numFmtId="0" fontId="8" fillId="0" borderId="0" xfId="0" applyFont="1"/>
    <xf numFmtId="17" fontId="2" fillId="0" borderId="0" xfId="0" applyNumberFormat="1" applyFont="1"/>
    <xf numFmtId="0" fontId="0" fillId="2" borderId="0" xfId="0" applyFill="1"/>
    <xf numFmtId="0" fontId="0" fillId="0" borderId="0" xfId="0" applyAlignment="1">
      <alignment vertical="center"/>
    </xf>
    <xf numFmtId="0" fontId="0" fillId="0" borderId="4" xfId="0" applyBorder="1"/>
    <xf numFmtId="0" fontId="0" fillId="0" borderId="0" xfId="0" applyAlignment="1">
      <alignment wrapText="1"/>
    </xf>
    <xf numFmtId="0" fontId="0" fillId="0" borderId="22" xfId="0" applyBorder="1"/>
    <xf numFmtId="0" fontId="0" fillId="0" borderId="23" xfId="0" applyBorder="1"/>
    <xf numFmtId="0" fontId="7" fillId="0" borderId="22" xfId="0" applyFont="1" applyBorder="1"/>
    <xf numFmtId="0" fontId="7" fillId="0" borderId="19" xfId="0" applyFont="1" applyBorder="1"/>
    <xf numFmtId="0" fontId="0" fillId="0" borderId="19" xfId="0" applyBorder="1"/>
    <xf numFmtId="17" fontId="8" fillId="0" borderId="19" xfId="0" applyNumberFormat="1" applyFont="1" applyBorder="1"/>
    <xf numFmtId="0" fontId="8" fillId="0" borderId="22" xfId="0" applyFont="1" applyBorder="1"/>
    <xf numFmtId="2" fontId="7" fillId="0" borderId="19" xfId="0" applyNumberFormat="1" applyFont="1" applyBorder="1"/>
    <xf numFmtId="0" fontId="8" fillId="0" borderId="19" xfId="0" applyFont="1" applyBorder="1"/>
    <xf numFmtId="1" fontId="7" fillId="0" borderId="19" xfId="0" applyNumberFormat="1" applyFont="1" applyBorder="1"/>
    <xf numFmtId="0" fontId="0" fillId="0" borderId="25" xfId="0" applyBorder="1"/>
    <xf numFmtId="0" fontId="0" fillId="0" borderId="26" xfId="0" applyBorder="1"/>
    <xf numFmtId="0" fontId="0" fillId="0" borderId="27" xfId="0" applyBorder="1"/>
    <xf numFmtId="0" fontId="7" fillId="0" borderId="0" xfId="0" applyFont="1" applyAlignment="1">
      <alignment horizontal="left"/>
    </xf>
    <xf numFmtId="1" fontId="0" fillId="0" borderId="4" xfId="0" applyNumberFormat="1" applyBorder="1"/>
    <xf numFmtId="0" fontId="0" fillId="0" borderId="11" xfId="0" applyBorder="1"/>
    <xf numFmtId="0" fontId="0" fillId="0" borderId="12" xfId="0" applyBorder="1"/>
    <xf numFmtId="0" fontId="14" fillId="0" borderId="28" xfId="0" applyFont="1" applyBorder="1" applyAlignment="1">
      <alignment vertical="top"/>
    </xf>
    <xf numFmtId="0" fontId="7" fillId="0" borderId="29" xfId="0" applyFont="1" applyBorder="1" applyAlignment="1">
      <alignment vertical="top"/>
    </xf>
    <xf numFmtId="0" fontId="7" fillId="0" borderId="30" xfId="0" applyFont="1" applyBorder="1" applyAlignment="1">
      <alignment vertical="top"/>
    </xf>
    <xf numFmtId="0" fontId="7" fillId="0" borderId="17" xfId="0" applyFont="1" applyBorder="1" applyAlignment="1">
      <alignment vertical="top"/>
    </xf>
    <xf numFmtId="0" fontId="7" fillId="0" borderId="0" xfId="0" applyFont="1" applyAlignment="1">
      <alignment vertical="top"/>
    </xf>
    <xf numFmtId="0" fontId="7" fillId="0" borderId="31" xfId="0" applyFont="1" applyBorder="1" applyAlignment="1">
      <alignment vertical="top"/>
    </xf>
    <xf numFmtId="0" fontId="7" fillId="0" borderId="8" xfId="0" applyFont="1" applyBorder="1" applyAlignment="1">
      <alignment vertical="top"/>
    </xf>
    <xf numFmtId="0" fontId="7" fillId="0" borderId="19" xfId="0" applyFont="1" applyBorder="1" applyAlignment="1">
      <alignment vertical="top"/>
    </xf>
    <xf numFmtId="0" fontId="7" fillId="0" borderId="13" xfId="0" applyFont="1" applyBorder="1" applyAlignment="1">
      <alignment vertical="top"/>
    </xf>
    <xf numFmtId="0" fontId="7" fillId="0" borderId="28" xfId="0" applyFont="1" applyBorder="1" applyAlignment="1">
      <alignment vertical="top"/>
    </xf>
    <xf numFmtId="0" fontId="8" fillId="0" borderId="17" xfId="0" applyFont="1" applyBorder="1" applyAlignment="1">
      <alignment vertical="top"/>
    </xf>
    <xf numFmtId="0" fontId="8" fillId="3" borderId="32" xfId="0" applyFont="1" applyFill="1" applyBorder="1" applyAlignment="1">
      <alignment horizontal="center" vertical="top" wrapText="1"/>
    </xf>
    <xf numFmtId="0" fontId="8" fillId="3" borderId="4" xfId="0" applyFont="1" applyFill="1" applyBorder="1" applyAlignment="1">
      <alignment vertical="top" wrapText="1"/>
    </xf>
    <xf numFmtId="0" fontId="8" fillId="3" borderId="3" xfId="0" applyFont="1" applyFill="1" applyBorder="1" applyAlignment="1">
      <alignment vertical="top"/>
    </xf>
    <xf numFmtId="0" fontId="8" fillId="3" borderId="4" xfId="0" applyFont="1" applyFill="1" applyBorder="1" applyAlignment="1">
      <alignment horizontal="center" vertical="top" wrapText="1"/>
    </xf>
    <xf numFmtId="0" fontId="8" fillId="3" borderId="4" xfId="0" applyFont="1" applyFill="1" applyBorder="1" applyAlignment="1">
      <alignment vertical="top"/>
    </xf>
    <xf numFmtId="0" fontId="8" fillId="3" borderId="4" xfId="0" applyFont="1" applyFill="1" applyBorder="1" applyAlignment="1">
      <alignment horizontal="center" vertical="top"/>
    </xf>
    <xf numFmtId="0" fontId="16" fillId="0" borderId="4" xfId="0" applyFont="1" applyBorder="1" applyAlignment="1">
      <alignment vertical="top"/>
    </xf>
    <xf numFmtId="0" fontId="7" fillId="0" borderId="4" xfId="0" applyFont="1" applyBorder="1" applyAlignment="1">
      <alignment vertical="top"/>
    </xf>
    <xf numFmtId="0" fontId="16" fillId="0" borderId="16" xfId="0" applyFont="1" applyBorder="1" applyAlignment="1">
      <alignment vertical="top"/>
    </xf>
    <xf numFmtId="0" fontId="16" fillId="0" borderId="32" xfId="0" applyFont="1" applyBorder="1" applyAlignment="1">
      <alignment vertical="top"/>
    </xf>
    <xf numFmtId="0" fontId="16" fillId="0" borderId="3" xfId="0" applyFont="1" applyBorder="1" applyAlignment="1">
      <alignment vertical="top"/>
    </xf>
    <xf numFmtId="0" fontId="7" fillId="0" borderId="10" xfId="0" applyFont="1" applyBorder="1" applyAlignment="1">
      <alignment vertical="top"/>
    </xf>
    <xf numFmtId="0" fontId="8" fillId="3" borderId="3" xfId="0" applyFont="1" applyFill="1" applyBorder="1" applyAlignment="1">
      <alignment horizontal="center" vertical="top"/>
    </xf>
    <xf numFmtId="0" fontId="8" fillId="3" borderId="15" xfId="0" applyFont="1" applyFill="1" applyBorder="1" applyAlignment="1">
      <alignment horizontal="center" vertical="top" wrapText="1"/>
    </xf>
    <xf numFmtId="0" fontId="8" fillId="3" borderId="14" xfId="0" applyFont="1" applyFill="1" applyBorder="1" applyAlignment="1">
      <alignment horizontal="center" vertical="top" wrapText="1"/>
    </xf>
    <xf numFmtId="0" fontId="8" fillId="3" borderId="8" xfId="0" applyFont="1" applyFill="1" applyBorder="1" applyAlignment="1">
      <alignment horizontal="center" vertical="top"/>
    </xf>
    <xf numFmtId="0" fontId="8" fillId="3" borderId="3" xfId="0" applyFont="1" applyFill="1" applyBorder="1" applyAlignment="1">
      <alignment vertical="top" wrapText="1"/>
    </xf>
    <xf numFmtId="0" fontId="8" fillId="3" borderId="13" xfId="0" applyFont="1" applyFill="1" applyBorder="1" applyAlignment="1">
      <alignment horizontal="center" vertical="top"/>
    </xf>
    <xf numFmtId="0" fontId="8" fillId="3" borderId="15" xfId="0" applyFont="1" applyFill="1" applyBorder="1" applyAlignment="1">
      <alignment vertical="top"/>
    </xf>
    <xf numFmtId="0" fontId="0" fillId="0" borderId="30" xfId="0" applyBorder="1"/>
    <xf numFmtId="0" fontId="7" fillId="0" borderId="32" xfId="0" applyFont="1" applyBorder="1" applyAlignment="1">
      <alignment vertical="top"/>
    </xf>
    <xf numFmtId="0" fontId="0" fillId="0" borderId="31" xfId="0" applyBorder="1"/>
    <xf numFmtId="0" fontId="7" fillId="0" borderId="3" xfId="0" applyFont="1" applyBorder="1" applyAlignment="1">
      <alignment vertical="top"/>
    </xf>
    <xf numFmtId="0" fontId="0" fillId="0" borderId="24" xfId="0" applyBorder="1"/>
    <xf numFmtId="0" fontId="0" fillId="0" borderId="18" xfId="0" applyBorder="1"/>
    <xf numFmtId="0" fontId="7" fillId="0" borderId="16" xfId="0" applyFont="1" applyBorder="1" applyAlignment="1">
      <alignment vertical="top"/>
    </xf>
    <xf numFmtId="0" fontId="7" fillId="0" borderId="24" xfId="0" applyFont="1" applyBorder="1" applyAlignment="1">
      <alignment vertical="top"/>
    </xf>
    <xf numFmtId="0" fontId="7" fillId="0" borderId="18" xfId="0" applyFont="1" applyBorder="1" applyAlignment="1">
      <alignment vertical="top"/>
    </xf>
    <xf numFmtId="0" fontId="18" fillId="0" borderId="4" xfId="0" applyFont="1" applyBorder="1" applyAlignment="1">
      <alignment vertical="top"/>
    </xf>
    <xf numFmtId="0" fontId="8" fillId="3" borderId="3" xfId="0" applyFont="1" applyFill="1" applyBorder="1" applyAlignment="1">
      <alignment horizontal="center" vertical="top" wrapText="1"/>
    </xf>
    <xf numFmtId="0" fontId="0" fillId="0" borderId="17" xfId="0" applyBorder="1"/>
    <xf numFmtId="0" fontId="0" fillId="0" borderId="8" xfId="0" applyBorder="1"/>
    <xf numFmtId="0" fontId="0" fillId="0" borderId="13" xfId="0" applyBorder="1"/>
    <xf numFmtId="0" fontId="0" fillId="0" borderId="20" xfId="0" applyBorder="1"/>
    <xf numFmtId="0" fontId="0" fillId="0" borderId="9" xfId="0" applyBorder="1"/>
    <xf numFmtId="0" fontId="0" fillId="0" borderId="21" xfId="0" applyBorder="1"/>
    <xf numFmtId="0" fontId="2" fillId="0" borderId="22" xfId="0" applyFont="1" applyBorder="1"/>
    <xf numFmtId="0" fontId="2" fillId="0" borderId="20" xfId="0" applyFont="1" applyBorder="1"/>
    <xf numFmtId="0" fontId="2" fillId="0" borderId="9" xfId="0" applyFont="1" applyBorder="1"/>
    <xf numFmtId="0" fontId="2" fillId="0" borderId="21" xfId="0" applyFont="1" applyBorder="1"/>
    <xf numFmtId="0" fontId="2" fillId="0" borderId="23" xfId="0" applyFont="1" applyBorder="1"/>
    <xf numFmtId="0" fontId="2" fillId="0" borderId="27" xfId="0" applyFont="1" applyBorder="1"/>
    <xf numFmtId="0" fontId="2" fillId="0" borderId="25" xfId="0" applyFont="1" applyBorder="1"/>
    <xf numFmtId="0" fontId="2" fillId="0" borderId="26" xfId="0" applyFont="1" applyBorder="1"/>
    <xf numFmtId="0" fontId="0" fillId="0" borderId="22" xfId="0" applyBorder="1" applyAlignment="1">
      <alignment vertical="center"/>
    </xf>
    <xf numFmtId="0" fontId="22" fillId="0" borderId="16" xfId="0" applyFont="1" applyBorder="1"/>
    <xf numFmtId="0" fontId="2" fillId="0" borderId="24" xfId="0" applyFont="1" applyBorder="1" applyAlignment="1">
      <alignment horizontal="left" vertical="center"/>
    </xf>
    <xf numFmtId="0" fontId="2" fillId="0" borderId="16" xfId="0" applyFont="1" applyBorder="1" applyAlignment="1">
      <alignment horizontal="center" vertical="center"/>
    </xf>
    <xf numFmtId="0" fontId="0" fillId="0" borderId="24" xfId="0" applyBorder="1" applyAlignment="1">
      <alignment vertical="center"/>
    </xf>
    <xf numFmtId="0" fontId="2" fillId="0" borderId="24" xfId="0" applyFont="1" applyBorder="1" applyAlignment="1">
      <alignment horizontal="center" vertical="center"/>
    </xf>
    <xf numFmtId="0" fontId="2" fillId="0" borderId="18" xfId="0" applyFont="1" applyBorder="1" applyAlignment="1">
      <alignment horizontal="left" vertical="center"/>
    </xf>
    <xf numFmtId="0" fontId="2" fillId="0" borderId="8" xfId="0" applyFont="1" applyBorder="1" applyAlignment="1">
      <alignment horizontal="center" vertical="center"/>
    </xf>
    <xf numFmtId="0" fontId="2" fillId="0" borderId="19" xfId="0" applyFont="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1" fontId="2" fillId="0" borderId="24" xfId="0" applyNumberFormat="1" applyFont="1" applyBorder="1" applyAlignment="1">
      <alignment horizontal="center" vertical="center"/>
    </xf>
    <xf numFmtId="0" fontId="22" fillId="0" borderId="28" xfId="0" applyFont="1" applyBorder="1"/>
    <xf numFmtId="0" fontId="0" fillId="0" borderId="40" xfId="0" applyBorder="1"/>
    <xf numFmtId="0" fontId="0" fillId="0" borderId="38" xfId="0" applyBorder="1"/>
    <xf numFmtId="1" fontId="2" fillId="0" borderId="4" xfId="0" applyNumberFormat="1" applyFont="1" applyBorder="1" applyAlignment="1">
      <alignment horizontal="center" vertical="center"/>
    </xf>
    <xf numFmtId="1" fontId="2" fillId="0" borderId="36" xfId="0" applyNumberFormat="1" applyFont="1" applyBorder="1" applyAlignment="1">
      <alignment horizontal="center" vertical="center"/>
    </xf>
    <xf numFmtId="0" fontId="23" fillId="0" borderId="0" xfId="0" applyFont="1" applyAlignment="1">
      <alignment horizontal="center"/>
    </xf>
    <xf numFmtId="0" fontId="24" fillId="0" borderId="0" xfId="0" applyFont="1" applyAlignment="1">
      <alignment horizontal="center"/>
    </xf>
    <xf numFmtId="0" fontId="25" fillId="0" borderId="0" xfId="0" applyFont="1"/>
    <xf numFmtId="0" fontId="26" fillId="0" borderId="0" xfId="0" applyFont="1" applyAlignment="1">
      <alignment wrapText="1"/>
    </xf>
    <xf numFmtId="0" fontId="26" fillId="0" borderId="0" xfId="0" applyFont="1"/>
    <xf numFmtId="0" fontId="27" fillId="0" borderId="0" xfId="0" applyFont="1" applyAlignment="1">
      <alignment horizontal="center"/>
    </xf>
    <xf numFmtId="0" fontId="27" fillId="0" borderId="0" xfId="0" applyFont="1" applyAlignment="1">
      <alignment wrapText="1"/>
    </xf>
    <xf numFmtId="0" fontId="27" fillId="0" borderId="0" xfId="0" applyFont="1"/>
    <xf numFmtId="0" fontId="28" fillId="0" borderId="0" xfId="0" applyFont="1"/>
    <xf numFmtId="0" fontId="0" fillId="0" borderId="32" xfId="0" applyBorder="1" applyAlignment="1">
      <alignment horizontal="center"/>
    </xf>
    <xf numFmtId="0" fontId="0" fillId="0" borderId="32" xfId="0" applyBorder="1" applyAlignment="1">
      <alignment horizontal="center" wrapText="1"/>
    </xf>
    <xf numFmtId="0" fontId="30" fillId="2" borderId="9" xfId="0" applyFont="1" applyFill="1" applyBorder="1" applyAlignment="1">
      <alignment horizontal="center" vertical="top" wrapText="1"/>
    </xf>
    <xf numFmtId="0" fontId="30" fillId="2" borderId="21" xfId="0" applyFont="1" applyFill="1" applyBorder="1" applyAlignment="1">
      <alignment horizontal="center" vertical="top" wrapText="1"/>
    </xf>
    <xf numFmtId="0" fontId="30" fillId="2" borderId="23" xfId="0" applyFont="1" applyFill="1" applyBorder="1" applyAlignment="1">
      <alignment horizontal="center" vertical="top" wrapText="1"/>
    </xf>
    <xf numFmtId="0" fontId="0" fillId="2" borderId="23" xfId="0" applyFill="1" applyBorder="1" applyAlignment="1">
      <alignment horizontal="center" vertical="top" wrapText="1"/>
    </xf>
    <xf numFmtId="0" fontId="31" fillId="2" borderId="23" xfId="0" applyFont="1" applyFill="1" applyBorder="1" applyAlignment="1">
      <alignment horizontal="center" vertical="top" wrapText="1"/>
    </xf>
    <xf numFmtId="0" fontId="32" fillId="2" borderId="22" xfId="0" applyFont="1" applyFill="1" applyBorder="1" applyAlignment="1">
      <alignment horizontal="center" vertical="top" wrapText="1"/>
    </xf>
    <xf numFmtId="0" fontId="32" fillId="2" borderId="23" xfId="0" applyFont="1" applyFill="1" applyBorder="1" applyAlignment="1">
      <alignment horizontal="center" vertical="top" wrapText="1"/>
    </xf>
    <xf numFmtId="0" fontId="33" fillId="2" borderId="22" xfId="0" applyFont="1" applyFill="1" applyBorder="1" applyAlignment="1">
      <alignment horizontal="left" vertical="center"/>
    </xf>
    <xf numFmtId="0" fontId="33" fillId="2" borderId="22" xfId="0" applyFont="1" applyFill="1" applyBorder="1"/>
    <xf numFmtId="0" fontId="33" fillId="2" borderId="0" xfId="0" applyFont="1" applyFill="1" applyAlignment="1">
      <alignment horizontal="center"/>
    </xf>
    <xf numFmtId="0" fontId="33" fillId="2" borderId="0" xfId="0" applyFont="1" applyFill="1" applyAlignment="1">
      <alignment horizontal="left" wrapText="1"/>
    </xf>
    <xf numFmtId="0" fontId="33" fillId="2" borderId="0" xfId="0" applyFont="1" applyFill="1"/>
    <xf numFmtId="0" fontId="33" fillId="2" borderId="23" xfId="0" applyFont="1" applyFill="1" applyBorder="1"/>
    <xf numFmtId="0" fontId="34" fillId="2" borderId="22" xfId="0" applyFont="1" applyFill="1" applyBorder="1"/>
    <xf numFmtId="0" fontId="34" fillId="2" borderId="23" xfId="0" applyFont="1" applyFill="1" applyBorder="1"/>
    <xf numFmtId="0" fontId="35" fillId="2" borderId="23" xfId="0" applyFont="1" applyFill="1" applyBorder="1" applyAlignment="1">
      <alignment horizontal="justify" vertical="top" wrapText="1"/>
    </xf>
    <xf numFmtId="0" fontId="0" fillId="2" borderId="23" xfId="0" applyFill="1" applyBorder="1" applyAlignment="1">
      <alignment horizontal="justify" vertical="top" wrapText="1"/>
    </xf>
    <xf numFmtId="0" fontId="36" fillId="2" borderId="22" xfId="0" applyFont="1" applyFill="1" applyBorder="1" applyAlignment="1">
      <alignment horizontal="center" vertical="top" wrapText="1"/>
    </xf>
    <xf numFmtId="0" fontId="36" fillId="2" borderId="23" xfId="0" applyFont="1" applyFill="1" applyBorder="1" applyAlignment="1">
      <alignment horizontal="center" vertical="top" wrapText="1"/>
    </xf>
    <xf numFmtId="0" fontId="2" fillId="0" borderId="4" xfId="0" applyFont="1" applyBorder="1"/>
    <xf numFmtId="1" fontId="2" fillId="0" borderId="22" xfId="0" applyNumberFormat="1" applyFont="1" applyBorder="1"/>
    <xf numFmtId="0" fontId="2" fillId="0" borderId="29" xfId="0" applyFont="1" applyBorder="1" applyAlignment="1">
      <alignment horizontal="left" vertical="center"/>
    </xf>
    <xf numFmtId="0" fontId="2" fillId="0" borderId="30" xfId="0" applyFont="1" applyBorder="1" applyAlignment="1">
      <alignment horizontal="left"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1" fontId="2" fillId="0" borderId="29" xfId="0" applyNumberFormat="1" applyFont="1" applyBorder="1" applyAlignment="1">
      <alignment horizontal="center" vertical="center"/>
    </xf>
    <xf numFmtId="0" fontId="2" fillId="0" borderId="40"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7" fillId="0" borderId="0" xfId="0" applyFont="1" applyAlignment="1">
      <alignment horizontal="left" vertical="center" wrapText="1"/>
    </xf>
    <xf numFmtId="0" fontId="0" fillId="0" borderId="22" xfId="0" applyBorder="1" applyAlignment="1">
      <alignment horizontal="center"/>
    </xf>
    <xf numFmtId="0" fontId="0" fillId="0" borderId="23" xfId="0" applyBorder="1" applyAlignment="1">
      <alignment horizontal="center"/>
    </xf>
    <xf numFmtId="1" fontId="2" fillId="0" borderId="4" xfId="0" applyNumberFormat="1" applyFont="1" applyBorder="1" applyAlignment="1">
      <alignment horizontal="center" vertical="center" wrapText="1"/>
    </xf>
    <xf numFmtId="1" fontId="2" fillId="0" borderId="16" xfId="0" applyNumberFormat="1" applyFont="1" applyBorder="1" applyAlignment="1">
      <alignment horizontal="center" vertical="center"/>
    </xf>
    <xf numFmtId="1" fontId="2" fillId="0" borderId="16" xfId="0" applyNumberFormat="1" applyFont="1" applyBorder="1" applyAlignment="1">
      <alignment horizontal="center" vertical="center" wrapText="1"/>
    </xf>
    <xf numFmtId="0" fontId="2" fillId="0" borderId="4" xfId="0" applyFont="1" applyBorder="1" applyAlignment="1">
      <alignment horizontal="center" wrapText="1"/>
    </xf>
    <xf numFmtId="0" fontId="22" fillId="0" borderId="16" xfId="5" applyNumberFormat="1" applyFont="1" applyBorder="1"/>
    <xf numFmtId="1" fontId="2" fillId="0" borderId="18" xfId="0" applyNumberFormat="1" applyFont="1" applyBorder="1" applyAlignment="1">
      <alignment horizontal="center" vertical="center" wrapText="1"/>
    </xf>
    <xf numFmtId="0" fontId="2" fillId="0" borderId="0" xfId="0" applyFont="1" applyAlignment="1">
      <alignment horizontal="left" vertical="center"/>
    </xf>
    <xf numFmtId="0" fontId="2" fillId="0" borderId="16" xfId="0" applyFont="1" applyBorder="1" applyAlignment="1">
      <alignment horizontal="right" vertical="center"/>
    </xf>
    <xf numFmtId="1" fontId="0" fillId="0" borderId="24" xfId="0" applyNumberFormat="1" applyBorder="1"/>
    <xf numFmtId="0" fontId="39" fillId="0" borderId="0" xfId="0" applyFont="1"/>
    <xf numFmtId="0" fontId="22"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23" xfId="0" applyFont="1" applyBorder="1" applyAlignment="1">
      <alignment horizontal="center" vertical="center"/>
    </xf>
    <xf numFmtId="0" fontId="20" fillId="0" borderId="9" xfId="0" applyFont="1" applyBorder="1"/>
    <xf numFmtId="0" fontId="20" fillId="0" borderId="21" xfId="0" applyFont="1" applyBorder="1"/>
    <xf numFmtId="0" fontId="40" fillId="0" borderId="9" xfId="0" applyFont="1" applyBorder="1"/>
    <xf numFmtId="0" fontId="0" fillId="0" borderId="0" xfId="0" applyAlignment="1">
      <alignment vertical="top"/>
    </xf>
    <xf numFmtId="0" fontId="2" fillId="0" borderId="0" xfId="0" applyFont="1" applyAlignment="1">
      <alignment vertical="center" wrapText="1"/>
    </xf>
    <xf numFmtId="0" fontId="2" fillId="0" borderId="24" xfId="0" applyFont="1" applyBorder="1"/>
    <xf numFmtId="0" fontId="2" fillId="0" borderId="18" xfId="0" applyFont="1" applyBorder="1"/>
    <xf numFmtId="0" fontId="2" fillId="0" borderId="16" xfId="0" applyFont="1" applyBorder="1"/>
    <xf numFmtId="0" fontId="0" fillId="0" borderId="16" xfId="0" applyBorder="1"/>
    <xf numFmtId="0" fontId="2" fillId="0" borderId="18" xfId="0" applyFont="1" applyBorder="1" applyAlignment="1">
      <alignment horizontal="center" vertical="center"/>
    </xf>
    <xf numFmtId="0" fontId="2" fillId="0" borderId="16" xfId="0" applyFont="1" applyBorder="1" applyAlignment="1">
      <alignment horizontal="center" wrapText="1"/>
    </xf>
    <xf numFmtId="0" fontId="2" fillId="0" borderId="16" xfId="0" applyFont="1" applyBorder="1" applyAlignment="1">
      <alignment horizontal="left" wrapText="1"/>
    </xf>
    <xf numFmtId="0" fontId="2" fillId="0" borderId="23" xfId="0" applyFont="1" applyBorder="1" applyAlignment="1">
      <alignment vertical="center" wrapText="1"/>
    </xf>
    <xf numFmtId="0" fontId="0" fillId="0" borderId="39" xfId="0" applyBorder="1"/>
    <xf numFmtId="0" fontId="42" fillId="2" borderId="29" xfId="0" applyFont="1" applyFill="1" applyBorder="1" applyAlignment="1">
      <alignment vertical="center"/>
    </xf>
    <xf numFmtId="0" fontId="42" fillId="2" borderId="30" xfId="0" applyFont="1" applyFill="1" applyBorder="1" applyAlignment="1">
      <alignment vertical="center"/>
    </xf>
    <xf numFmtId="0" fontId="42" fillId="2" borderId="8" xfId="0" applyFont="1" applyFill="1" applyBorder="1" applyAlignment="1">
      <alignment vertical="center"/>
    </xf>
    <xf numFmtId="0" fontId="42" fillId="2" borderId="19" xfId="0" applyFont="1" applyFill="1" applyBorder="1" applyAlignment="1">
      <alignment vertical="center"/>
    </xf>
    <xf numFmtId="0" fontId="42" fillId="2" borderId="13" xfId="0" applyFont="1" applyFill="1" applyBorder="1" applyAlignment="1">
      <alignment vertical="center"/>
    </xf>
    <xf numFmtId="0" fontId="42" fillId="2" borderId="0" xfId="0" applyFont="1" applyFill="1" applyAlignment="1">
      <alignment vertical="center"/>
    </xf>
    <xf numFmtId="0" fontId="42" fillId="2" borderId="0" xfId="0" applyFont="1" applyFill="1" applyAlignment="1">
      <alignment horizontal="center" vertical="center"/>
    </xf>
    <xf numFmtId="0" fontId="42" fillId="2" borderId="16" xfId="0" applyFont="1" applyFill="1" applyBorder="1" applyAlignment="1">
      <alignment horizontal="center" vertical="center"/>
    </xf>
    <xf numFmtId="0" fontId="42" fillId="2" borderId="24" xfId="0" applyFont="1" applyFill="1" applyBorder="1" applyAlignment="1">
      <alignment vertical="center"/>
    </xf>
    <xf numFmtId="0" fontId="42" fillId="2" borderId="18" xfId="0" applyFont="1" applyFill="1" applyBorder="1" applyAlignment="1">
      <alignment vertical="center"/>
    </xf>
    <xf numFmtId="0" fontId="2" fillId="0" borderId="16" xfId="0" applyFont="1" applyBorder="1" applyAlignment="1">
      <alignment horizontal="left" vertical="center"/>
    </xf>
    <xf numFmtId="0" fontId="21" fillId="0" borderId="0" xfId="0" applyFont="1"/>
    <xf numFmtId="0" fontId="4" fillId="0" borderId="16" xfId="0" applyFont="1" applyBorder="1"/>
    <xf numFmtId="0" fontId="4" fillId="0" borderId="28" xfId="0" applyFont="1" applyBorder="1"/>
    <xf numFmtId="0" fontId="21" fillId="0" borderId="29" xfId="0" applyFont="1" applyBorder="1"/>
    <xf numFmtId="0" fontId="4" fillId="0" borderId="24" xfId="0" applyFont="1" applyBorder="1"/>
    <xf numFmtId="0" fontId="42" fillId="0" borderId="16" xfId="0" applyFont="1" applyBorder="1" applyAlignment="1">
      <alignment vertical="center"/>
    </xf>
    <xf numFmtId="0" fontId="43" fillId="2" borderId="29" xfId="0" applyFont="1" applyFill="1" applyBorder="1" applyAlignment="1" applyProtection="1">
      <alignment horizontal="center" vertical="center"/>
      <protection locked="0"/>
    </xf>
    <xf numFmtId="0" fontId="42" fillId="2" borderId="16" xfId="0" applyFont="1" applyFill="1" applyBorder="1" applyAlignment="1">
      <alignment vertical="center"/>
    </xf>
    <xf numFmtId="0" fontId="10" fillId="0" borderId="0" xfId="0" applyFont="1"/>
    <xf numFmtId="0" fontId="2" fillId="0" borderId="0" xfId="0" applyFont="1" applyAlignment="1">
      <alignment vertical="top"/>
    </xf>
    <xf numFmtId="0" fontId="42" fillId="2" borderId="0" xfId="0" applyFont="1" applyFill="1" applyAlignment="1">
      <alignment vertical="center" wrapText="1"/>
    </xf>
    <xf numFmtId="0" fontId="42" fillId="2" borderId="4" xfId="0" applyFont="1" applyFill="1" applyBorder="1" applyAlignment="1">
      <alignment vertical="center" wrapText="1"/>
    </xf>
    <xf numFmtId="0" fontId="42" fillId="2" borderId="16" xfId="0" applyFont="1" applyFill="1" applyBorder="1" applyAlignment="1">
      <alignment vertical="center" wrapText="1"/>
    </xf>
    <xf numFmtId="0" fontId="42" fillId="2" borderId="18" xfId="0" applyFont="1" applyFill="1" applyBorder="1" applyAlignment="1">
      <alignment vertical="center" wrapText="1"/>
    </xf>
    <xf numFmtId="0" fontId="45" fillId="2" borderId="0" xfId="0" applyFont="1" applyFill="1" applyAlignment="1">
      <alignment vertical="center"/>
    </xf>
    <xf numFmtId="0" fontId="45" fillId="2" borderId="24" xfId="0" applyFont="1" applyFill="1" applyBorder="1" applyAlignment="1">
      <alignment vertical="center"/>
    </xf>
    <xf numFmtId="0" fontId="48" fillId="0" borderId="0" xfId="0" applyFont="1" applyAlignment="1">
      <alignment horizontal="left" vertical="center"/>
    </xf>
    <xf numFmtId="0" fontId="48" fillId="0" borderId="0" xfId="0" applyFont="1"/>
    <xf numFmtId="0" fontId="44" fillId="2" borderId="0" xfId="0" applyFont="1" applyFill="1" applyAlignment="1">
      <alignment vertical="center"/>
    </xf>
    <xf numFmtId="0" fontId="49"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10" fillId="0" borderId="24" xfId="0" applyFont="1" applyBorder="1"/>
    <xf numFmtId="0" fontId="51" fillId="0" borderId="24" xfId="0" applyFont="1" applyBorder="1" applyAlignment="1">
      <alignment horizontal="left" vertical="center"/>
    </xf>
    <xf numFmtId="0" fontId="51" fillId="0" borderId="18" xfId="0" applyFont="1" applyBorder="1" applyAlignment="1">
      <alignment horizontal="left" vertical="center"/>
    </xf>
    <xf numFmtId="0" fontId="52" fillId="0" borderId="16" xfId="0" applyFont="1" applyBorder="1" applyAlignment="1">
      <alignment horizontal="left" vertical="center"/>
    </xf>
    <xf numFmtId="0" fontId="52" fillId="0" borderId="0" xfId="0" applyFont="1" applyAlignment="1">
      <alignment horizontal="left" vertical="center"/>
    </xf>
    <xf numFmtId="0" fontId="52" fillId="0" borderId="0" xfId="0" applyFont="1"/>
    <xf numFmtId="0" fontId="53" fillId="0" borderId="0" xfId="0" applyFont="1"/>
    <xf numFmtId="0" fontId="53" fillId="0" borderId="0" xfId="5" applyNumberFormat="1" applyFont="1"/>
    <xf numFmtId="0" fontId="54" fillId="0" borderId="0" xfId="0" applyFont="1"/>
    <xf numFmtId="0" fontId="21" fillId="0" borderId="23" xfId="0" applyFont="1" applyBorder="1"/>
    <xf numFmtId="0" fontId="51" fillId="0" borderId="0" xfId="0" applyFont="1" applyAlignment="1">
      <alignment horizontal="left" vertical="center"/>
    </xf>
    <xf numFmtId="0" fontId="21" fillId="0" borderId="40" xfId="0" applyFont="1" applyBorder="1"/>
    <xf numFmtId="0" fontId="4" fillId="0" borderId="39" xfId="0" applyFont="1" applyBorder="1"/>
    <xf numFmtId="0" fontId="42" fillId="2" borderId="39" xfId="0" applyFont="1" applyFill="1" applyBorder="1" applyAlignment="1">
      <alignment vertical="center"/>
    </xf>
    <xf numFmtId="0" fontId="42" fillId="2" borderId="36" xfId="0" applyFont="1" applyFill="1" applyBorder="1" applyAlignment="1">
      <alignment horizontal="center" vertical="center"/>
    </xf>
    <xf numFmtId="0" fontId="45" fillId="2" borderId="39" xfId="0" applyFont="1" applyFill="1" applyBorder="1" applyAlignment="1">
      <alignment vertical="center"/>
    </xf>
    <xf numFmtId="0" fontId="49" fillId="0" borderId="23" xfId="0" applyFont="1" applyBorder="1" applyAlignment="1">
      <alignment horizontal="left" vertical="top" wrapText="1"/>
    </xf>
    <xf numFmtId="0" fontId="44" fillId="2" borderId="23" xfId="0" applyFont="1" applyFill="1" applyBorder="1" applyAlignment="1">
      <alignment vertical="center"/>
    </xf>
    <xf numFmtId="1" fontId="0" fillId="0" borderId="0" xfId="0" applyNumberFormat="1"/>
    <xf numFmtId="2" fontId="2" fillId="0" borderId="0" xfId="0" applyNumberFormat="1" applyFont="1" applyAlignment="1">
      <alignment horizontal="center" vertical="center"/>
    </xf>
    <xf numFmtId="0" fontId="57" fillId="0" borderId="0" xfId="0" applyFont="1" applyAlignment="1">
      <alignment vertical="center"/>
    </xf>
    <xf numFmtId="0" fontId="18" fillId="0" borderId="22" xfId="0" applyFont="1" applyBorder="1"/>
    <xf numFmtId="0" fontId="57" fillId="0" borderId="22" xfId="0" applyFont="1" applyBorder="1" applyAlignment="1">
      <alignment horizontal="left" vertical="center" wrapText="1"/>
    </xf>
    <xf numFmtId="0" fontId="0" fillId="0" borderId="22" xfId="0" applyBorder="1" applyAlignment="1">
      <alignment vertical="center" wrapText="1"/>
    </xf>
    <xf numFmtId="0" fontId="0" fillId="0" borderId="0" xfId="0" applyAlignment="1">
      <alignment vertical="center" wrapText="1"/>
    </xf>
    <xf numFmtId="0" fontId="0" fillId="0" borderId="23" xfId="0" applyBorder="1" applyAlignment="1">
      <alignment vertical="center" wrapText="1"/>
    </xf>
    <xf numFmtId="0" fontId="18" fillId="0" borderId="0" xfId="0" applyFont="1"/>
    <xf numFmtId="0" fontId="18" fillId="0" borderId="23" xfId="0" applyFont="1" applyBorder="1"/>
    <xf numFmtId="0" fontId="18" fillId="0" borderId="42"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36" xfId="0" applyFont="1" applyBorder="1" applyAlignment="1">
      <alignment horizontal="center" vertical="center" wrapText="1"/>
    </xf>
    <xf numFmtId="0" fontId="0" fillId="0" borderId="42" xfId="0" applyBorder="1" applyAlignment="1">
      <alignment horizontal="center"/>
    </xf>
    <xf numFmtId="0" fontId="0" fillId="0" borderId="4" xfId="0" applyBorder="1" applyAlignment="1">
      <alignment horizontal="center"/>
    </xf>
    <xf numFmtId="0" fontId="0" fillId="0" borderId="36" xfId="0" applyBorder="1" applyAlignment="1">
      <alignment horizontal="center"/>
    </xf>
    <xf numFmtId="0" fontId="0" fillId="0" borderId="36" xfId="0" applyBorder="1"/>
    <xf numFmtId="0" fontId="14" fillId="0" borderId="0" xfId="0" applyFont="1"/>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7" fillId="0" borderId="22" xfId="0" applyFont="1" applyBorder="1" applyAlignment="1">
      <alignment horizontal="left" vertical="center"/>
    </xf>
    <xf numFmtId="0" fontId="7" fillId="0" borderId="0" xfId="0" applyFont="1" applyAlignment="1">
      <alignment horizontal="left" vertical="center"/>
    </xf>
    <xf numFmtId="0" fontId="7" fillId="0" borderId="23" xfId="0" applyFont="1" applyBorder="1" applyAlignment="1">
      <alignment horizontal="left" vertical="center"/>
    </xf>
    <xf numFmtId="0" fontId="0" fillId="0" borderId="23" xfId="0" applyBorder="1" applyAlignment="1">
      <alignment horizontal="left" vertical="center"/>
    </xf>
    <xf numFmtId="0" fontId="8" fillId="0" borderId="22" xfId="0" applyFont="1" applyBorder="1" applyAlignment="1">
      <alignment vertical="center"/>
    </xf>
    <xf numFmtId="0" fontId="18" fillId="0" borderId="0" xfId="0" applyFont="1" applyAlignment="1">
      <alignment horizontal="center"/>
    </xf>
    <xf numFmtId="1" fontId="10" fillId="0" borderId="0" xfId="0" applyNumberFormat="1" applyFont="1"/>
    <xf numFmtId="0" fontId="0" fillId="0" borderId="2" xfId="0" applyBorder="1"/>
    <xf numFmtId="0" fontId="18" fillId="0" borderId="10" xfId="0" applyFont="1" applyBorder="1"/>
    <xf numFmtId="0" fontId="2" fillId="0" borderId="11" xfId="0" applyFont="1" applyBorder="1"/>
    <xf numFmtId="0" fontId="0" fillId="0" borderId="42" xfId="0" applyBorder="1"/>
    <xf numFmtId="0" fontId="18" fillId="0" borderId="27" xfId="0" applyFont="1" applyBorder="1"/>
    <xf numFmtId="0" fontId="0" fillId="0" borderId="0" xfId="0" applyAlignment="1">
      <alignment horizontal="center" vertical="center"/>
    </xf>
    <xf numFmtId="0" fontId="8" fillId="0" borderId="0" xfId="0" applyFont="1" applyAlignment="1">
      <alignment horizontal="left"/>
    </xf>
    <xf numFmtId="0" fontId="0" fillId="0" borderId="4" xfId="0" applyBorder="1" applyAlignment="1">
      <alignment horizontal="center" vertical="center" wrapText="1"/>
    </xf>
    <xf numFmtId="0" fontId="58" fillId="0" borderId="42" xfId="0" applyFont="1" applyBorder="1" applyAlignment="1">
      <alignment horizontal="center"/>
    </xf>
    <xf numFmtId="0" fontId="58" fillId="0" borderId="4" xfId="0" applyFont="1" applyBorder="1" applyAlignment="1">
      <alignment horizontal="center"/>
    </xf>
    <xf numFmtId="0" fontId="58" fillId="0" borderId="36" xfId="0" applyFont="1" applyBorder="1" applyAlignment="1">
      <alignment horizontal="center"/>
    </xf>
    <xf numFmtId="0" fontId="7" fillId="0" borderId="11" xfId="0" applyFont="1" applyBorder="1"/>
    <xf numFmtId="14" fontId="0" fillId="0" borderId="0" xfId="0" applyNumberFormat="1"/>
    <xf numFmtId="9" fontId="0" fillId="0" borderId="4" xfId="0" applyNumberFormat="1" applyBorder="1"/>
    <xf numFmtId="0" fontId="53" fillId="0" borderId="16" xfId="0" applyFont="1" applyBorder="1"/>
    <xf numFmtId="14" fontId="0" fillId="0" borderId="25" xfId="0" applyNumberFormat="1" applyBorder="1"/>
    <xf numFmtId="1" fontId="21" fillId="0" borderId="29" xfId="0" applyNumberFormat="1" applyFont="1" applyBorder="1"/>
    <xf numFmtId="14" fontId="2" fillId="0" borderId="0" xfId="0" applyNumberFormat="1" applyFont="1"/>
    <xf numFmtId="1" fontId="10" fillId="0" borderId="24" xfId="0" applyNumberFormat="1" applyFont="1" applyBorder="1"/>
    <xf numFmtId="9" fontId="0" fillId="0" borderId="23" xfId="0" applyNumberFormat="1" applyBorder="1" applyAlignment="1">
      <alignment horizontal="center"/>
    </xf>
    <xf numFmtId="14" fontId="18" fillId="0" borderId="0" xfId="0" applyNumberFormat="1" applyFont="1"/>
    <xf numFmtId="1" fontId="0" fillId="0" borderId="22" xfId="0" applyNumberFormat="1" applyBorder="1"/>
    <xf numFmtId="0" fontId="0" fillId="0" borderId="44" xfId="0" applyBorder="1"/>
    <xf numFmtId="1" fontId="7" fillId="0" borderId="0" xfId="0" applyNumberFormat="1" applyFont="1"/>
    <xf numFmtId="0" fontId="7" fillId="0" borderId="44" xfId="0" applyFont="1" applyBorder="1"/>
    <xf numFmtId="1" fontId="7" fillId="0" borderId="44" xfId="0" applyNumberFormat="1" applyFont="1" applyBorder="1"/>
    <xf numFmtId="1" fontId="0" fillId="0" borderId="44" xfId="0" applyNumberFormat="1" applyBorder="1"/>
    <xf numFmtId="0" fontId="0" fillId="2" borderId="4" xfId="0" applyFill="1" applyBorder="1"/>
    <xf numFmtId="0" fontId="0" fillId="2" borderId="4" xfId="0" applyFill="1" applyBorder="1" applyAlignment="1">
      <alignment horizontal="center" vertical="center"/>
    </xf>
    <xf numFmtId="0" fontId="62" fillId="2" borderId="4" xfId="0" applyFont="1" applyFill="1" applyBorder="1" applyAlignment="1" applyProtection="1">
      <alignment vertical="top" wrapText="1" readingOrder="1"/>
      <protection locked="0"/>
    </xf>
    <xf numFmtId="0" fontId="58" fillId="2" borderId="4" xfId="0" applyFont="1" applyFill="1" applyBorder="1" applyAlignment="1">
      <alignment horizontal="center" vertical="center" wrapText="1"/>
    </xf>
    <xf numFmtId="0" fontId="58" fillId="0" borderId="0" xfId="0" applyFont="1"/>
    <xf numFmtId="0" fontId="7" fillId="0" borderId="0" xfId="0" applyNumberFormat="1" applyFont="1" applyFill="1" applyBorder="1" applyAlignment="1" applyProtection="1">
      <alignment vertical="top"/>
    </xf>
    <xf numFmtId="0" fontId="7" fillId="0" borderId="8" xfId="0" applyNumberFormat="1" applyFont="1" applyFill="1" applyBorder="1" applyAlignment="1" applyProtection="1">
      <alignment vertical="top"/>
    </xf>
    <xf numFmtId="0" fontId="7" fillId="0" borderId="19" xfId="0" applyNumberFormat="1" applyFont="1" applyFill="1" applyBorder="1" applyAlignment="1" applyProtection="1">
      <alignment vertical="top"/>
    </xf>
    <xf numFmtId="0" fontId="7" fillId="0" borderId="13" xfId="0" applyNumberFormat="1" applyFont="1" applyFill="1" applyBorder="1" applyAlignment="1" applyProtection="1">
      <alignment vertical="top"/>
    </xf>
    <xf numFmtId="0" fontId="12" fillId="2" borderId="50" xfId="0" applyFont="1" applyFill="1" applyBorder="1" applyAlignment="1">
      <alignment horizontal="left"/>
    </xf>
    <xf numFmtId="0" fontId="0" fillId="0" borderId="50" xfId="0" applyBorder="1"/>
    <xf numFmtId="0" fontId="0" fillId="2" borderId="50" xfId="0" applyFill="1" applyBorder="1"/>
    <xf numFmtId="0" fontId="8" fillId="3" borderId="50" xfId="0" applyNumberFormat="1" applyFont="1" applyFill="1" applyBorder="1" applyAlignment="1" applyProtection="1">
      <alignment horizontal="center" vertical="top"/>
    </xf>
    <xf numFmtId="0" fontId="0" fillId="2" borderId="50" xfId="0" applyFill="1" applyBorder="1" applyAlignment="1">
      <alignment horizontal="center" vertical="center"/>
    </xf>
    <xf numFmtId="0" fontId="64" fillId="2" borderId="50" xfId="0" applyFont="1" applyFill="1" applyBorder="1" applyAlignment="1" applyProtection="1">
      <alignment vertical="top" wrapText="1" readingOrder="1"/>
      <protection locked="0"/>
    </xf>
    <xf numFmtId="1" fontId="65" fillId="2" borderId="50" xfId="1" applyNumberFormat="1" applyFont="1" applyFill="1" applyBorder="1" applyAlignment="1">
      <alignment horizontal="center" vertical="center"/>
    </xf>
    <xf numFmtId="0" fontId="62" fillId="0" borderId="50" xfId="0" applyFont="1" applyBorder="1" applyAlignment="1" applyProtection="1">
      <alignment vertical="top" wrapText="1" readingOrder="1"/>
      <protection locked="0"/>
    </xf>
    <xf numFmtId="0" fontId="11" fillId="0" borderId="50" xfId="0" applyFont="1" applyBorder="1" applyAlignment="1" applyProtection="1">
      <alignment vertical="top" wrapText="1"/>
      <protection locked="0"/>
    </xf>
    <xf numFmtId="0" fontId="62" fillId="0" borderId="50" xfId="0" applyFont="1" applyBorder="1" applyAlignment="1" applyProtection="1">
      <alignment horizontal="center" vertical="top" wrapText="1" readingOrder="1"/>
      <protection locked="0"/>
    </xf>
    <xf numFmtId="0" fontId="42" fillId="2" borderId="50" xfId="0" applyFont="1" applyFill="1" applyBorder="1" applyAlignment="1" applyProtection="1">
      <alignment vertical="top" wrapText="1" readingOrder="1"/>
      <protection locked="0"/>
    </xf>
    <xf numFmtId="167" fontId="42" fillId="2" borderId="50" xfId="0" applyNumberFormat="1" applyFont="1" applyFill="1" applyBorder="1" applyAlignment="1" applyProtection="1">
      <alignment horizontal="center" vertical="center" wrapText="1" readingOrder="1"/>
      <protection locked="0"/>
    </xf>
    <xf numFmtId="14" fontId="42" fillId="2" borderId="50" xfId="0" applyNumberFormat="1" applyFont="1" applyFill="1" applyBorder="1" applyAlignment="1" applyProtection="1">
      <alignment vertical="top" wrapText="1" readingOrder="1"/>
      <protection locked="0"/>
    </xf>
    <xf numFmtId="1" fontId="61" fillId="2" borderId="4" xfId="4" applyNumberFormat="1" applyFont="1" applyFill="1" applyBorder="1" applyAlignment="1">
      <alignment horizontal="left"/>
    </xf>
    <xf numFmtId="0" fontId="68" fillId="0" borderId="4" xfId="0" applyFont="1" applyBorder="1" applyAlignment="1">
      <alignment horizontal="left" wrapText="1"/>
    </xf>
    <xf numFmtId="0" fontId="14" fillId="2" borderId="48" xfId="0" applyNumberFormat="1" applyFont="1" applyFill="1" applyBorder="1" applyAlignment="1" applyProtection="1">
      <alignment vertical="top"/>
    </xf>
    <xf numFmtId="0" fontId="7" fillId="0" borderId="50" xfId="0" applyNumberFormat="1" applyFont="1" applyFill="1" applyBorder="1" applyAlignment="1" applyProtection="1">
      <alignment vertical="top"/>
    </xf>
    <xf numFmtId="0" fontId="42" fillId="2" borderId="50" xfId="0" applyFont="1" applyFill="1" applyBorder="1" applyAlignment="1" applyProtection="1">
      <alignment horizontal="center" wrapText="1" readingOrder="1"/>
      <protection locked="0"/>
    </xf>
    <xf numFmtId="0" fontId="0" fillId="2" borderId="50" xfId="0" applyFill="1" applyBorder="1" applyAlignment="1">
      <alignment wrapText="1"/>
    </xf>
    <xf numFmtId="0" fontId="0" fillId="2" borderId="50" xfId="0" applyFill="1" applyBorder="1" applyAlignment="1">
      <alignment horizontal="center"/>
    </xf>
    <xf numFmtId="168" fontId="69" fillId="2" borderId="50" xfId="0" applyNumberFormat="1" applyFont="1" applyFill="1" applyBorder="1" applyAlignment="1">
      <alignment horizontal="left"/>
    </xf>
    <xf numFmtId="14" fontId="64" fillId="2" borderId="50" xfId="0" applyNumberFormat="1" applyFont="1" applyFill="1" applyBorder="1" applyAlignment="1" applyProtection="1">
      <alignment wrapText="1" readingOrder="1"/>
      <protection locked="0"/>
    </xf>
    <xf numFmtId="1" fontId="64" fillId="2" borderId="50" xfId="0" applyNumberFormat="1" applyFont="1" applyFill="1" applyBorder="1" applyAlignment="1" applyProtection="1">
      <alignment wrapText="1" readingOrder="1"/>
      <protection locked="0"/>
    </xf>
    <xf numFmtId="1" fontId="42" fillId="2" borderId="50" xfId="0" applyNumberFormat="1" applyFont="1" applyFill="1" applyBorder="1" applyAlignment="1" applyProtection="1">
      <alignment horizontal="left" vertical="top" wrapText="1" readingOrder="1"/>
      <protection locked="0"/>
    </xf>
    <xf numFmtId="1" fontId="0" fillId="0" borderId="24" xfId="0" applyNumberFormat="1" applyFont="1" applyBorder="1" applyAlignment="1">
      <alignment horizontal="center" vertical="center"/>
    </xf>
    <xf numFmtId="0" fontId="7" fillId="0" borderId="0" xfId="0" applyFont="1" applyBorder="1" applyAlignment="1">
      <alignment vertical="top"/>
    </xf>
    <xf numFmtId="0" fontId="0" fillId="0" borderId="0" xfId="0" applyBorder="1"/>
    <xf numFmtId="0" fontId="8" fillId="3" borderId="49" xfId="0" applyNumberFormat="1" applyFont="1" applyFill="1" applyBorder="1" applyAlignment="1" applyProtection="1">
      <alignment horizontal="center" vertical="top" wrapText="1"/>
    </xf>
    <xf numFmtId="0" fontId="8" fillId="3" borderId="13" xfId="0" applyNumberFormat="1" applyFont="1" applyFill="1" applyBorder="1" applyAlignment="1" applyProtection="1">
      <alignment horizontal="center" vertical="top" wrapText="1"/>
    </xf>
    <xf numFmtId="0" fontId="2" fillId="0" borderId="0" xfId="0" applyFont="1" applyBorder="1"/>
    <xf numFmtId="0" fontId="8" fillId="0" borderId="48" xfId="0" applyNumberFormat="1" applyFont="1" applyFill="1" applyBorder="1" applyAlignment="1" applyProtection="1">
      <alignment horizontal="center" vertical="top"/>
    </xf>
    <xf numFmtId="0" fontId="8" fillId="3" borderId="48" xfId="0" applyNumberFormat="1" applyFont="1" applyFill="1" applyBorder="1" applyAlignment="1" applyProtection="1">
      <alignment horizontal="left" vertical="center" textRotation="90" wrapText="1"/>
    </xf>
    <xf numFmtId="0" fontId="8" fillId="3" borderId="13" xfId="0" applyNumberFormat="1" applyFont="1" applyFill="1" applyBorder="1" applyAlignment="1" applyProtection="1">
      <alignment horizontal="center" vertical="top" textRotation="90" wrapText="1"/>
    </xf>
    <xf numFmtId="0" fontId="8" fillId="3" borderId="13" xfId="0" applyNumberFormat="1" applyFont="1" applyFill="1" applyBorder="1" applyAlignment="1" applyProtection="1">
      <alignment horizontal="center" vertical="top" textRotation="90"/>
    </xf>
    <xf numFmtId="0" fontId="8" fillId="3" borderId="3" xfId="0" applyNumberFormat="1" applyFont="1" applyFill="1" applyBorder="1" applyAlignment="1" applyProtection="1">
      <alignment vertical="center" textRotation="90" wrapText="1"/>
    </xf>
    <xf numFmtId="0" fontId="8" fillId="3" borderId="3" xfId="0" applyNumberFormat="1" applyFont="1" applyFill="1" applyBorder="1" applyAlignment="1" applyProtection="1">
      <alignment horizontal="center" vertical="center" textRotation="90"/>
    </xf>
    <xf numFmtId="0" fontId="7" fillId="4" borderId="50" xfId="0" applyNumberFormat="1" applyFont="1" applyFill="1" applyBorder="1" applyAlignment="1" applyProtection="1">
      <alignment vertical="top"/>
    </xf>
    <xf numFmtId="0" fontId="7" fillId="4" borderId="3" xfId="0" applyNumberFormat="1" applyFont="1" applyFill="1" applyBorder="1" applyAlignment="1" applyProtection="1">
      <alignment vertical="top"/>
    </xf>
    <xf numFmtId="0" fontId="7" fillId="0" borderId="53" xfId="0" applyNumberFormat="1" applyFont="1" applyFill="1" applyBorder="1" applyAlignment="1" applyProtection="1">
      <alignment vertical="top"/>
    </xf>
    <xf numFmtId="0" fontId="7" fillId="0" borderId="33" xfId="0" applyNumberFormat="1" applyFont="1" applyFill="1" applyBorder="1" applyAlignment="1" applyProtection="1">
      <alignment vertical="top"/>
    </xf>
    <xf numFmtId="0" fontId="7" fillId="0" borderId="34" xfId="0" applyNumberFormat="1" applyFont="1" applyFill="1" applyBorder="1" applyAlignment="1" applyProtection="1">
      <alignment vertical="top"/>
    </xf>
    <xf numFmtId="0" fontId="7" fillId="0" borderId="35" xfId="0" applyNumberFormat="1" applyFont="1" applyFill="1" applyBorder="1" applyAlignment="1" applyProtection="1">
      <alignment vertical="top"/>
    </xf>
    <xf numFmtId="0" fontId="7" fillId="0" borderId="3" xfId="0" applyNumberFormat="1" applyFont="1" applyFill="1" applyBorder="1" applyAlignment="1" applyProtection="1">
      <alignment vertical="top"/>
    </xf>
    <xf numFmtId="0" fontId="0" fillId="0" borderId="0" xfId="0"/>
    <xf numFmtId="1" fontId="0" fillId="0" borderId="50" xfId="0" applyNumberFormat="1" applyBorder="1"/>
    <xf numFmtId="0" fontId="22" fillId="0" borderId="46" xfId="0" applyFont="1" applyBorder="1"/>
    <xf numFmtId="0" fontId="22" fillId="0" borderId="54" xfId="0" applyFont="1" applyBorder="1"/>
    <xf numFmtId="0" fontId="2" fillId="0" borderId="51" xfId="0" applyFont="1" applyBorder="1"/>
    <xf numFmtId="0" fontId="2" fillId="0" borderId="49" xfId="0" applyFont="1" applyBorder="1"/>
    <xf numFmtId="0" fontId="0" fillId="0" borderId="48" xfId="0" applyBorder="1"/>
    <xf numFmtId="0" fontId="0" fillId="0" borderId="51" xfId="0" applyBorder="1"/>
    <xf numFmtId="0" fontId="7" fillId="0" borderId="11" xfId="0" applyFont="1" applyBorder="1" applyAlignment="1">
      <alignment vertical="top"/>
    </xf>
    <xf numFmtId="0" fontId="7" fillId="0" borderId="12" xfId="0" applyFont="1" applyBorder="1" applyAlignment="1">
      <alignment vertical="top"/>
    </xf>
    <xf numFmtId="17" fontId="7" fillId="0" borderId="18" xfId="0" applyNumberFormat="1" applyFont="1" applyBorder="1" applyAlignment="1">
      <alignment vertical="top"/>
    </xf>
    <xf numFmtId="0" fontId="7" fillId="0" borderId="50" xfId="0" applyFont="1" applyBorder="1" applyAlignment="1">
      <alignment vertical="top"/>
    </xf>
    <xf numFmtId="0" fontId="7" fillId="0" borderId="50" xfId="0" applyFont="1" applyBorder="1" applyAlignment="1" applyProtection="1">
      <alignment vertical="top"/>
      <protection locked="0"/>
    </xf>
    <xf numFmtId="14" fontId="12" fillId="2" borderId="50" xfId="0" applyNumberFormat="1" applyFont="1" applyFill="1" applyBorder="1" applyAlignment="1">
      <alignment horizontal="center"/>
    </xf>
    <xf numFmtId="0" fontId="3" fillId="2" borderId="0" xfId="0" applyFont="1" applyFill="1"/>
    <xf numFmtId="0" fontId="2" fillId="2" borderId="0" xfId="0" applyFont="1" applyFill="1"/>
    <xf numFmtId="0" fontId="5" fillId="2" borderId="0" xfId="0" applyFont="1" applyFill="1"/>
    <xf numFmtId="0" fontId="6" fillId="2" borderId="0" xfId="0" applyFont="1" applyFill="1"/>
    <xf numFmtId="0" fontId="7" fillId="2" borderId="0" xfId="0" applyFont="1" applyFill="1"/>
    <xf numFmtId="0" fontId="6" fillId="2" borderId="0" xfId="0" applyFont="1" applyFill="1" applyAlignment="1">
      <alignment horizontal="center"/>
    </xf>
    <xf numFmtId="0" fontId="8" fillId="2" borderId="0" xfId="0" applyFont="1" applyFill="1"/>
    <xf numFmtId="0" fontId="9" fillId="2" borderId="0" xfId="0" applyFont="1" applyFill="1" applyAlignment="1">
      <alignment horizontal="left"/>
    </xf>
    <xf numFmtId="0" fontId="9" fillId="2" borderId="0" xfId="0" applyFont="1" applyFill="1" applyAlignment="1">
      <alignment horizontal="center"/>
    </xf>
    <xf numFmtId="0" fontId="42" fillId="2" borderId="0" xfId="0" applyFont="1" applyFill="1" applyBorder="1" applyAlignment="1" applyProtection="1">
      <alignment horizontal="center" wrapText="1" readingOrder="1"/>
      <protection locked="0"/>
    </xf>
    <xf numFmtId="0" fontId="42" fillId="2" borderId="0" xfId="0" applyFont="1" applyFill="1" applyBorder="1" applyAlignment="1" applyProtection="1">
      <alignment vertical="top" wrapText="1" readingOrder="1"/>
      <protection locked="0"/>
    </xf>
    <xf numFmtId="167" fontId="42" fillId="2" borderId="0" xfId="0" applyNumberFormat="1" applyFont="1" applyFill="1" applyBorder="1" applyAlignment="1" applyProtection="1">
      <alignment horizontal="center" vertical="center" wrapText="1" readingOrder="1"/>
      <protection locked="0"/>
    </xf>
    <xf numFmtId="14" fontId="42" fillId="2" borderId="0" xfId="0" applyNumberFormat="1" applyFont="1" applyFill="1" applyBorder="1" applyAlignment="1" applyProtection="1">
      <alignment vertical="top" wrapText="1" readingOrder="1"/>
      <protection locked="0"/>
    </xf>
    <xf numFmtId="1" fontId="42" fillId="2" borderId="0" xfId="0" applyNumberFormat="1" applyFont="1" applyFill="1" applyBorder="1" applyAlignment="1" applyProtection="1">
      <alignment horizontal="left" vertical="top" wrapText="1" readingOrder="1"/>
      <protection locked="0"/>
    </xf>
    <xf numFmtId="0" fontId="22" fillId="0" borderId="22" xfId="0" applyFont="1" applyBorder="1"/>
    <xf numFmtId="0" fontId="2" fillId="0" borderId="31" xfId="0" applyFont="1" applyBorder="1"/>
    <xf numFmtId="17" fontId="7" fillId="0" borderId="50" xfId="0" applyNumberFormat="1" applyFont="1" applyBorder="1" applyAlignment="1">
      <alignment vertical="top"/>
    </xf>
    <xf numFmtId="0" fontId="0" fillId="2" borderId="50" xfId="0" applyFill="1" applyBorder="1" applyAlignment="1">
      <alignment horizontal="left"/>
    </xf>
    <xf numFmtId="0" fontId="2" fillId="0" borderId="42" xfId="0" applyFont="1" applyBorder="1" applyAlignment="1">
      <alignment horizontal="left" vertical="center"/>
    </xf>
    <xf numFmtId="0" fontId="2" fillId="0" borderId="50" xfId="0" applyFont="1" applyBorder="1" applyAlignment="1">
      <alignment horizontal="left" vertical="center"/>
    </xf>
    <xf numFmtId="0" fontId="2" fillId="0" borderId="50" xfId="0" applyFont="1" applyBorder="1" applyAlignment="1">
      <alignment horizontal="center" vertical="center"/>
    </xf>
    <xf numFmtId="0" fontId="2" fillId="0" borderId="16" xfId="0" applyFont="1" applyBorder="1" applyAlignment="1">
      <alignment horizontal="left" vertical="center"/>
    </xf>
    <xf numFmtId="1" fontId="2" fillId="0" borderId="50" xfId="0" applyNumberFormat="1" applyFont="1" applyBorder="1" applyAlignment="1">
      <alignment horizontal="center" vertical="center"/>
    </xf>
    <xf numFmtId="0" fontId="2" fillId="0" borderId="18" xfId="0" applyFont="1" applyBorder="1" applyAlignment="1">
      <alignment horizontal="left"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0" fontId="0" fillId="2" borderId="0" xfId="0" applyFill="1" applyBorder="1"/>
    <xf numFmtId="0" fontId="7" fillId="0" borderId="53" xfId="0" applyFont="1" applyBorder="1" applyAlignment="1">
      <alignment vertical="top"/>
    </xf>
    <xf numFmtId="0" fontId="16" fillId="0" borderId="53" xfId="0" applyFont="1" applyBorder="1" applyAlignment="1">
      <alignment vertical="top"/>
    </xf>
    <xf numFmtId="0" fontId="16" fillId="0" borderId="50" xfId="0" applyFont="1" applyBorder="1" applyAlignment="1">
      <alignment vertical="top"/>
    </xf>
    <xf numFmtId="0" fontId="7" fillId="0" borderId="16" xfId="0" applyNumberFormat="1" applyFont="1" applyFill="1" applyBorder="1" applyAlignment="1" applyProtection="1">
      <alignment vertical="top"/>
    </xf>
    <xf numFmtId="0" fontId="7" fillId="0" borderId="18" xfId="0" applyNumberFormat="1" applyFont="1" applyFill="1" applyBorder="1" applyAlignment="1" applyProtection="1">
      <alignment vertical="top"/>
    </xf>
    <xf numFmtId="0" fontId="2" fillId="0" borderId="42" xfId="0" applyFont="1" applyBorder="1" applyAlignment="1">
      <alignment horizontal="left" vertical="center"/>
    </xf>
    <xf numFmtId="0" fontId="2" fillId="0" borderId="50" xfId="0" applyFont="1" applyBorder="1" applyAlignment="1">
      <alignment horizontal="left" vertical="center"/>
    </xf>
    <xf numFmtId="0" fontId="2" fillId="0" borderId="16" xfId="0" applyFont="1" applyBorder="1" applyAlignment="1">
      <alignment horizontal="left" vertical="center"/>
    </xf>
    <xf numFmtId="1" fontId="2" fillId="0" borderId="50" xfId="0" applyNumberFormat="1" applyFont="1" applyBorder="1" applyAlignment="1">
      <alignment horizontal="center" vertical="center"/>
    </xf>
    <xf numFmtId="0" fontId="2" fillId="0" borderId="50" xfId="0" applyFont="1" applyBorder="1" applyAlignment="1">
      <alignment horizontal="center"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left" vertical="center"/>
    </xf>
    <xf numFmtId="0" fontId="2" fillId="0" borderId="50" xfId="0" applyFont="1" applyBorder="1" applyAlignment="1">
      <alignment horizontal="left" vertical="center"/>
    </xf>
    <xf numFmtId="0" fontId="2" fillId="0" borderId="50" xfId="0" applyFont="1" applyBorder="1" applyAlignment="1">
      <alignment horizontal="center" vertical="center"/>
    </xf>
    <xf numFmtId="1" fontId="2" fillId="0" borderId="50" xfId="0" applyNumberFormat="1" applyFont="1" applyBorder="1" applyAlignment="1">
      <alignment horizontal="center" vertical="center"/>
    </xf>
    <xf numFmtId="0" fontId="2" fillId="0" borderId="16" xfId="0" applyFont="1" applyBorder="1" applyAlignment="1">
      <alignment horizontal="left"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14" fontId="12" fillId="2" borderId="50" xfId="0" applyNumberFormat="1" applyFont="1" applyFill="1" applyBorder="1" applyAlignment="1">
      <alignment horizontal="left"/>
    </xf>
    <xf numFmtId="0" fontId="7" fillId="2" borderId="50" xfId="0" applyNumberFormat="1" applyFont="1" applyFill="1" applyBorder="1" applyAlignment="1" applyProtection="1">
      <alignment vertical="top"/>
    </xf>
    <xf numFmtId="0" fontId="0" fillId="2" borderId="50" xfId="0" applyFill="1" applyBorder="1" applyAlignment="1"/>
    <xf numFmtId="0" fontId="7" fillId="2" borderId="51" xfId="0" applyNumberFormat="1" applyFont="1" applyFill="1" applyBorder="1" applyAlignment="1" applyProtection="1">
      <alignment vertical="top"/>
    </xf>
    <xf numFmtId="0" fontId="7" fillId="2" borderId="49" xfId="0" applyNumberFormat="1" applyFont="1" applyFill="1" applyBorder="1" applyAlignment="1" applyProtection="1">
      <alignment vertical="top"/>
    </xf>
    <xf numFmtId="0" fontId="7" fillId="2" borderId="17" xfId="0" applyNumberFormat="1" applyFont="1" applyFill="1" applyBorder="1" applyAlignment="1" applyProtection="1">
      <alignment vertical="top"/>
    </xf>
    <xf numFmtId="0" fontId="7" fillId="2" borderId="0" xfId="0" applyNumberFormat="1" applyFont="1" applyFill="1" applyBorder="1" applyAlignment="1" applyProtection="1">
      <alignment vertical="top"/>
    </xf>
    <xf numFmtId="0" fontId="7" fillId="2" borderId="31" xfId="0" applyNumberFormat="1" applyFont="1" applyFill="1" applyBorder="1" applyAlignment="1" applyProtection="1">
      <alignment vertical="top"/>
    </xf>
    <xf numFmtId="0" fontId="7" fillId="2" borderId="8" xfId="0" applyNumberFormat="1" applyFont="1" applyFill="1" applyBorder="1" applyAlignment="1" applyProtection="1">
      <alignment vertical="top"/>
    </xf>
    <xf numFmtId="0" fontId="7" fillId="2" borderId="19" xfId="0" applyNumberFormat="1" applyFont="1" applyFill="1" applyBorder="1" applyAlignment="1" applyProtection="1">
      <alignment vertical="top"/>
    </xf>
    <xf numFmtId="0" fontId="7" fillId="2" borderId="13" xfId="0" applyNumberFormat="1" applyFont="1" applyFill="1" applyBorder="1" applyAlignment="1" applyProtection="1">
      <alignment vertical="top"/>
    </xf>
    <xf numFmtId="0" fontId="7" fillId="2" borderId="20" xfId="0" applyNumberFormat="1" applyFont="1" applyFill="1" applyBorder="1" applyAlignment="1" applyProtection="1">
      <alignment vertical="top"/>
    </xf>
    <xf numFmtId="0" fontId="7" fillId="2" borderId="9" xfId="0" applyNumberFormat="1" applyFont="1" applyFill="1" applyBorder="1" applyAlignment="1" applyProtection="1">
      <alignment vertical="top"/>
    </xf>
    <xf numFmtId="0" fontId="7" fillId="2" borderId="21" xfId="0" applyNumberFormat="1" applyFont="1" applyFill="1" applyBorder="1" applyAlignment="1" applyProtection="1">
      <alignment vertical="top"/>
    </xf>
    <xf numFmtId="0" fontId="8" fillId="2" borderId="22" xfId="0" applyNumberFormat="1" applyFont="1" applyFill="1" applyBorder="1" applyAlignment="1" applyProtection="1">
      <alignment vertical="top"/>
    </xf>
    <xf numFmtId="0" fontId="7" fillId="2" borderId="23" xfId="0" applyNumberFormat="1" applyFont="1" applyFill="1" applyBorder="1" applyAlignment="1" applyProtection="1">
      <alignment vertical="top"/>
    </xf>
    <xf numFmtId="0" fontId="9" fillId="2" borderId="0" xfId="0" applyFont="1" applyFill="1"/>
    <xf numFmtId="0" fontId="7" fillId="2" borderId="27" xfId="0" applyNumberFormat="1" applyFont="1" applyFill="1" applyBorder="1" applyAlignment="1" applyProtection="1">
      <alignment vertical="top"/>
    </xf>
    <xf numFmtId="0" fontId="7" fillId="2" borderId="25" xfId="0" applyNumberFormat="1" applyFont="1" applyFill="1" applyBorder="1" applyAlignment="1" applyProtection="1">
      <alignment vertical="top"/>
    </xf>
    <xf numFmtId="0" fontId="7" fillId="2" borderId="26" xfId="0" applyNumberFormat="1" applyFont="1" applyFill="1" applyBorder="1" applyAlignment="1" applyProtection="1">
      <alignment vertical="top"/>
    </xf>
    <xf numFmtId="0" fontId="8" fillId="2" borderId="50" xfId="0" applyNumberFormat="1" applyFont="1" applyFill="1" applyBorder="1" applyAlignment="1" applyProtection="1">
      <alignment horizontal="center" vertical="top" wrapText="1"/>
    </xf>
    <xf numFmtId="0" fontId="8" fillId="2" borderId="50" xfId="0" applyNumberFormat="1" applyFont="1" applyFill="1" applyBorder="1" applyAlignment="1" applyProtection="1">
      <alignment horizontal="center" vertical="top"/>
    </xf>
    <xf numFmtId="0" fontId="74" fillId="2" borderId="16" xfId="0" applyNumberFormat="1" applyFont="1" applyFill="1" applyBorder="1" applyAlignment="1" applyProtection="1">
      <alignment horizontal="center"/>
    </xf>
    <xf numFmtId="0" fontId="75" fillId="2" borderId="50" xfId="0" applyFont="1" applyFill="1" applyBorder="1" applyAlignment="1">
      <alignment horizontal="left" wrapText="1"/>
    </xf>
    <xf numFmtId="14" fontId="76" fillId="2" borderId="50" xfId="0" applyNumberFormat="1" applyFont="1" applyFill="1" applyBorder="1" applyAlignment="1">
      <alignment horizontal="center"/>
    </xf>
    <xf numFmtId="1" fontId="76" fillId="2" borderId="50" xfId="1" applyNumberFormat="1" applyFont="1" applyFill="1" applyBorder="1" applyAlignment="1">
      <alignment horizontal="center"/>
    </xf>
    <xf numFmtId="0" fontId="73" fillId="2" borderId="50" xfId="0" applyFont="1" applyFill="1" applyBorder="1" applyAlignment="1">
      <alignment horizontal="left"/>
    </xf>
    <xf numFmtId="0" fontId="75" fillId="2" borderId="50" xfId="0" applyFont="1" applyFill="1" applyBorder="1" applyAlignment="1">
      <alignment horizontal="left"/>
    </xf>
    <xf numFmtId="0" fontId="73" fillId="2" borderId="50" xfId="0" applyFont="1" applyFill="1" applyBorder="1" applyAlignment="1">
      <alignment horizontal="center" wrapText="1"/>
    </xf>
    <xf numFmtId="0" fontId="73" fillId="2" borderId="50" xfId="0" applyFont="1" applyFill="1" applyBorder="1" applyAlignment="1">
      <alignment horizontal="left" wrapText="1"/>
    </xf>
    <xf numFmtId="14" fontId="75" fillId="2" borderId="50" xfId="0" applyNumberFormat="1" applyFont="1" applyFill="1" applyBorder="1" applyAlignment="1">
      <alignment horizontal="center"/>
    </xf>
    <xf numFmtId="0" fontId="74" fillId="2" borderId="50" xfId="0" applyNumberFormat="1" applyFont="1" applyFill="1" applyBorder="1" applyAlignment="1" applyProtection="1">
      <alignment vertical="top"/>
    </xf>
    <xf numFmtId="14" fontId="74" fillId="2" borderId="50" xfId="0" applyNumberFormat="1" applyFont="1" applyFill="1" applyBorder="1" applyAlignment="1" applyProtection="1"/>
    <xf numFmtId="0" fontId="74" fillId="2" borderId="50" xfId="0" applyNumberFormat="1" applyFont="1" applyFill="1" applyBorder="1" applyAlignment="1" applyProtection="1"/>
    <xf numFmtId="0" fontId="76" fillId="2" borderId="50" xfId="0" applyFont="1" applyFill="1" applyBorder="1" applyAlignment="1">
      <alignment horizontal="center"/>
    </xf>
    <xf numFmtId="14" fontId="75" fillId="2" borderId="53" xfId="0" applyNumberFormat="1" applyFont="1" applyFill="1" applyBorder="1" applyAlignment="1">
      <alignment horizontal="center"/>
    </xf>
    <xf numFmtId="0" fontId="77" fillId="2" borderId="50" xfId="0" applyFont="1" applyFill="1" applyBorder="1" applyAlignment="1">
      <alignment horizontal="center"/>
    </xf>
    <xf numFmtId="0" fontId="73" fillId="2" borderId="50" xfId="8" applyFont="1" applyFill="1" applyBorder="1" applyAlignment="1">
      <alignment horizontal="left"/>
    </xf>
    <xf numFmtId="0" fontId="73" fillId="2" borderId="50" xfId="8" applyFont="1" applyFill="1" applyBorder="1" applyAlignment="1">
      <alignment horizontal="center" wrapText="1"/>
    </xf>
    <xf numFmtId="0" fontId="76" fillId="2" borderId="50" xfId="8" applyFont="1" applyFill="1" applyBorder="1" applyAlignment="1">
      <alignment horizontal="center"/>
    </xf>
    <xf numFmtId="0" fontId="74" fillId="2" borderId="50" xfId="0" applyFont="1" applyFill="1" applyBorder="1" applyAlignment="1">
      <alignment horizontal="left"/>
    </xf>
    <xf numFmtId="0" fontId="74" fillId="2" borderId="50" xfId="0" applyFont="1" applyFill="1" applyBorder="1" applyAlignment="1">
      <alignment vertical="top" wrapText="1"/>
    </xf>
    <xf numFmtId="0" fontId="73" fillId="2" borderId="50" xfId="0" applyFont="1" applyFill="1" applyBorder="1" applyAlignment="1"/>
    <xf numFmtId="14" fontId="73" fillId="2" borderId="50" xfId="0" applyNumberFormat="1" applyFont="1" applyFill="1" applyBorder="1" applyAlignment="1"/>
    <xf numFmtId="0" fontId="73" fillId="2" borderId="50" xfId="0" applyFont="1" applyFill="1" applyBorder="1"/>
    <xf numFmtId="14" fontId="73" fillId="2" borderId="50" xfId="0" applyNumberFormat="1" applyFont="1" applyFill="1" applyBorder="1"/>
    <xf numFmtId="0" fontId="78" fillId="2" borderId="50" xfId="0" applyFont="1" applyFill="1" applyBorder="1" applyAlignment="1">
      <alignment horizontal="center" wrapText="1"/>
    </xf>
    <xf numFmtId="14" fontId="75" fillId="2" borderId="50" xfId="0" applyNumberFormat="1" applyFont="1" applyFill="1" applyBorder="1" applyAlignment="1">
      <alignment horizontal="center" vertical="center"/>
    </xf>
    <xf numFmtId="0" fontId="79" fillId="2" borderId="50" xfId="0" applyFont="1" applyFill="1" applyBorder="1" applyAlignment="1">
      <alignment horizontal="center" wrapText="1"/>
    </xf>
    <xf numFmtId="0" fontId="78" fillId="2" borderId="50" xfId="0" applyFont="1" applyFill="1" applyBorder="1" applyAlignment="1">
      <alignment horizontal="center" vertical="center" wrapText="1"/>
    </xf>
    <xf numFmtId="0" fontId="80" fillId="2" borderId="50" xfId="0" applyFont="1" applyFill="1" applyBorder="1" applyAlignment="1">
      <alignment horizontal="center" wrapText="1"/>
    </xf>
    <xf numFmtId="0" fontId="74" fillId="2" borderId="50" xfId="0" applyFont="1" applyFill="1" applyBorder="1" applyAlignment="1">
      <alignment horizontal="center" wrapText="1"/>
    </xf>
    <xf numFmtId="0" fontId="73" fillId="2" borderId="50" xfId="0" applyFont="1" applyFill="1" applyBorder="1" applyAlignment="1">
      <alignment horizontal="center" vertical="center" wrapText="1"/>
    </xf>
    <xf numFmtId="0" fontId="74" fillId="2" borderId="50" xfId="0" applyFont="1" applyFill="1" applyBorder="1" applyAlignment="1">
      <alignment vertical="center" wrapText="1"/>
    </xf>
    <xf numFmtId="0" fontId="73" fillId="2" borderId="50" xfId="0" applyFont="1" applyFill="1" applyBorder="1" applyAlignment="1">
      <alignment horizontal="center"/>
    </xf>
    <xf numFmtId="0" fontId="73" fillId="2" borderId="50" xfId="0" applyFont="1" applyFill="1" applyBorder="1" applyAlignment="1">
      <alignment vertical="center" wrapText="1"/>
    </xf>
    <xf numFmtId="14" fontId="73" fillId="2" borderId="50" xfId="0" applyNumberFormat="1" applyFont="1" applyFill="1" applyBorder="1" applyAlignment="1">
      <alignment horizontal="center"/>
    </xf>
    <xf numFmtId="0" fontId="73" fillId="2" borderId="50" xfId="0" applyFont="1" applyFill="1" applyBorder="1" applyAlignment="1">
      <alignment wrapText="1"/>
    </xf>
    <xf numFmtId="0" fontId="12" fillId="2" borderId="16" xfId="3" applyFont="1" applyFill="1" applyBorder="1" applyAlignment="1">
      <alignment horizontal="left"/>
    </xf>
    <xf numFmtId="14" fontId="42" fillId="2" borderId="18" xfId="0" applyNumberFormat="1" applyFont="1" applyFill="1" applyBorder="1" applyAlignment="1" applyProtection="1">
      <alignment vertical="top" wrapText="1" readingOrder="1"/>
      <protection locked="0"/>
    </xf>
    <xf numFmtId="14" fontId="64" fillId="2" borderId="0" xfId="0" applyNumberFormat="1" applyFont="1" applyFill="1" applyBorder="1" applyAlignment="1" applyProtection="1">
      <alignment horizontal="center" wrapText="1" readingOrder="1"/>
      <protection locked="0"/>
    </xf>
    <xf numFmtId="1" fontId="64" fillId="2" borderId="0" xfId="0" applyNumberFormat="1" applyFont="1" applyFill="1" applyBorder="1" applyAlignment="1" applyProtection="1">
      <alignment wrapText="1" readingOrder="1"/>
      <protection locked="0"/>
    </xf>
    <xf numFmtId="168" fontId="69" fillId="2" borderId="0" xfId="0" applyNumberFormat="1" applyFont="1" applyFill="1" applyBorder="1" applyAlignment="1">
      <alignment horizontal="left"/>
    </xf>
    <xf numFmtId="0" fontId="64" fillId="2" borderId="0" xfId="0" applyFont="1" applyFill="1" applyBorder="1" applyAlignment="1" applyProtection="1">
      <alignment horizontal="center" vertical="top" wrapText="1" readingOrder="1"/>
      <protection locked="0"/>
    </xf>
    <xf numFmtId="0" fontId="71" fillId="2" borderId="0" xfId="0" applyFont="1" applyFill="1" applyBorder="1" applyAlignment="1">
      <alignment horizontal="center" vertical="center"/>
    </xf>
    <xf numFmtId="1" fontId="65" fillId="2" borderId="0" xfId="1" applyNumberFormat="1" applyFont="1" applyFill="1" applyBorder="1" applyAlignment="1">
      <alignment horizontal="center" vertical="center"/>
    </xf>
    <xf numFmtId="0" fontId="7" fillId="2" borderId="42" xfId="0" applyNumberFormat="1" applyFont="1" applyFill="1" applyBorder="1" applyAlignment="1" applyProtection="1">
      <alignment vertical="top"/>
    </xf>
    <xf numFmtId="0" fontId="7" fillId="2" borderId="50" xfId="0" applyNumberFormat="1" applyFont="1" applyFill="1" applyBorder="1" applyAlignment="1" applyProtection="1">
      <alignment horizontal="center" vertical="center"/>
    </xf>
    <xf numFmtId="0" fontId="7" fillId="2" borderId="36" xfId="0" applyNumberFormat="1" applyFont="1" applyFill="1" applyBorder="1" applyAlignment="1" applyProtection="1">
      <alignment horizontal="center" vertical="center"/>
    </xf>
    <xf numFmtId="0" fontId="0" fillId="2" borderId="0" xfId="0" applyFill="1" applyBorder="1" applyAlignment="1"/>
    <xf numFmtId="0" fontId="0" fillId="2" borderId="22" xfId="0" applyFill="1" applyBorder="1" applyAlignment="1"/>
    <xf numFmtId="0" fontId="0" fillId="2" borderId="23" xfId="0" applyFill="1" applyBorder="1"/>
    <xf numFmtId="0" fontId="0" fillId="2" borderId="27" xfId="0" applyFill="1" applyBorder="1" applyAlignment="1"/>
    <xf numFmtId="0" fontId="0" fillId="2" borderId="25" xfId="0" applyFill="1" applyBorder="1" applyAlignment="1"/>
    <xf numFmtId="0" fontId="0" fillId="2" borderId="25" xfId="0" applyFill="1" applyBorder="1"/>
    <xf numFmtId="0" fontId="0" fillId="2" borderId="26" xfId="0" applyFill="1" applyBorder="1"/>
    <xf numFmtId="0" fontId="0" fillId="2" borderId="20" xfId="0" applyFill="1" applyBorder="1"/>
    <xf numFmtId="0" fontId="0" fillId="2" borderId="21" xfId="0" applyFill="1" applyBorder="1"/>
    <xf numFmtId="0" fontId="0" fillId="2" borderId="22" xfId="0" applyFill="1" applyBorder="1"/>
    <xf numFmtId="0" fontId="14" fillId="2" borderId="20" xfId="0" applyNumberFormat="1" applyFont="1" applyFill="1" applyBorder="1" applyAlignment="1" applyProtection="1">
      <alignment vertical="top"/>
    </xf>
    <xf numFmtId="0" fontId="7" fillId="2" borderId="9" xfId="0" applyNumberFormat="1" applyFont="1" applyFill="1" applyBorder="1" applyAlignment="1" applyProtection="1">
      <alignment vertical="top" wrapText="1"/>
    </xf>
    <xf numFmtId="0" fontId="7" fillId="2" borderId="22" xfId="0" applyNumberFormat="1" applyFont="1" applyFill="1" applyBorder="1" applyAlignment="1" applyProtection="1">
      <alignment vertical="top"/>
    </xf>
    <xf numFmtId="0" fontId="7" fillId="2" borderId="22" xfId="0" applyNumberFormat="1" applyFont="1" applyFill="1" applyBorder="1" applyAlignment="1" applyProtection="1">
      <alignment vertical="top" wrapText="1"/>
    </xf>
    <xf numFmtId="0" fontId="7" fillId="2" borderId="0" xfId="0" applyNumberFormat="1" applyFont="1" applyFill="1" applyBorder="1" applyAlignment="1" applyProtection="1">
      <alignment vertical="top" wrapText="1"/>
    </xf>
    <xf numFmtId="14" fontId="7" fillId="2" borderId="9" xfId="0" applyNumberFormat="1" applyFont="1" applyFill="1" applyBorder="1" applyAlignment="1" applyProtection="1">
      <alignment vertical="top"/>
    </xf>
    <xf numFmtId="0" fontId="0" fillId="2" borderId="22" xfId="0" applyFill="1" applyBorder="1" applyAlignment="1">
      <alignment horizontal="left"/>
    </xf>
    <xf numFmtId="0" fontId="7" fillId="2" borderId="58" xfId="0" applyNumberFormat="1" applyFont="1" applyFill="1" applyBorder="1" applyAlignment="1" applyProtection="1">
      <alignment vertical="top"/>
    </xf>
    <xf numFmtId="0" fontId="7" fillId="2" borderId="38" xfId="0" applyNumberFormat="1" applyFont="1" applyFill="1" applyBorder="1" applyAlignment="1" applyProtection="1">
      <alignment vertical="top"/>
    </xf>
    <xf numFmtId="0" fontId="0" fillId="2" borderId="27" xfId="0" applyFill="1" applyBorder="1"/>
    <xf numFmtId="0" fontId="8" fillId="2" borderId="42" xfId="0" applyNumberFormat="1" applyFont="1" applyFill="1" applyBorder="1" applyAlignment="1" applyProtection="1">
      <alignment horizontal="center" vertical="top"/>
    </xf>
    <xf numFmtId="0" fontId="8" fillId="2" borderId="3"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center" vertical="center"/>
    </xf>
    <xf numFmtId="0" fontId="8" fillId="2" borderId="23" xfId="0" applyNumberFormat="1" applyFont="1" applyFill="1" applyBorder="1" applyAlignment="1" applyProtection="1">
      <alignment horizontal="center" vertical="center"/>
    </xf>
    <xf numFmtId="0" fontId="7" fillId="2" borderId="50" xfId="0" applyNumberFormat="1" applyFont="1" applyFill="1" applyBorder="1" applyAlignment="1" applyProtection="1">
      <alignment vertical="top" wrapText="1"/>
    </xf>
    <xf numFmtId="0" fontId="7" fillId="2" borderId="50" xfId="0" applyNumberFormat="1" applyFont="1" applyFill="1" applyBorder="1" applyAlignment="1" applyProtection="1">
      <alignment horizontal="center" vertical="center" wrapText="1"/>
    </xf>
    <xf numFmtId="0" fontId="7" fillId="2" borderId="36" xfId="0" applyNumberFormat="1" applyFont="1" applyFill="1" applyBorder="1" applyAlignment="1" applyProtection="1">
      <alignment horizontal="center" vertical="center" wrapText="1"/>
    </xf>
    <xf numFmtId="17" fontId="7" fillId="2" borderId="50" xfId="0" applyNumberFormat="1" applyFont="1" applyFill="1" applyBorder="1" applyAlignment="1" applyProtection="1">
      <alignment vertical="top"/>
    </xf>
    <xf numFmtId="17" fontId="7" fillId="2" borderId="42" xfId="0" applyNumberFormat="1" applyFont="1" applyFill="1" applyBorder="1" applyAlignment="1" applyProtection="1">
      <alignment vertical="top"/>
    </xf>
    <xf numFmtId="14" fontId="7" fillId="2" borderId="50" xfId="0" applyNumberFormat="1" applyFont="1" applyFill="1" applyBorder="1" applyAlignment="1" applyProtection="1">
      <alignment vertical="top"/>
    </xf>
    <xf numFmtId="16" fontId="7" fillId="2" borderId="42" xfId="0" applyNumberFormat="1" applyFont="1" applyFill="1" applyBorder="1" applyAlignment="1" applyProtection="1">
      <alignment vertical="top"/>
    </xf>
    <xf numFmtId="14" fontId="7" fillId="2" borderId="50" xfId="0" applyNumberFormat="1" applyFont="1" applyFill="1" applyBorder="1" applyAlignment="1" applyProtection="1">
      <alignment horizontal="center" vertical="center"/>
    </xf>
    <xf numFmtId="0" fontId="7" fillId="2" borderId="0" xfId="0" applyNumberFormat="1" applyFont="1" applyFill="1" applyBorder="1" applyAlignment="1" applyProtection="1">
      <alignment horizontal="center" vertical="center"/>
    </xf>
    <xf numFmtId="0" fontId="7" fillId="2" borderId="23" xfId="0" applyNumberFormat="1" applyFont="1" applyFill="1" applyBorder="1" applyAlignment="1" applyProtection="1">
      <alignment horizontal="center" vertical="center"/>
    </xf>
    <xf numFmtId="14" fontId="68" fillId="2" borderId="50" xfId="0" applyNumberFormat="1" applyFont="1" applyFill="1" applyBorder="1" applyAlignment="1">
      <alignment horizontal="center"/>
    </xf>
    <xf numFmtId="0" fontId="47" fillId="2" borderId="50" xfId="0" applyFont="1" applyFill="1" applyBorder="1" applyAlignment="1">
      <alignment horizontal="left" wrapText="1"/>
    </xf>
    <xf numFmtId="0" fontId="9" fillId="2" borderId="0" xfId="0" applyFont="1" applyFill="1" applyAlignment="1">
      <alignment wrapText="1"/>
    </xf>
    <xf numFmtId="0" fontId="82" fillId="2" borderId="0" xfId="0" applyFont="1" applyFill="1"/>
    <xf numFmtId="17" fontId="33" fillId="2" borderId="0" xfId="0" applyNumberFormat="1" applyFont="1" applyFill="1"/>
    <xf numFmtId="0" fontId="9" fillId="2" borderId="0" xfId="0" applyFont="1" applyFill="1" applyAlignment="1">
      <alignment vertical="center"/>
    </xf>
    <xf numFmtId="0" fontId="9" fillId="2" borderId="50" xfId="0" applyFont="1" applyFill="1" applyBorder="1" applyAlignment="1">
      <alignment wrapText="1"/>
    </xf>
    <xf numFmtId="0" fontId="9" fillId="2" borderId="50" xfId="0" applyFont="1" applyFill="1" applyBorder="1"/>
    <xf numFmtId="0" fontId="9" fillId="2" borderId="0" xfId="0" applyFont="1" applyFill="1" applyBorder="1"/>
    <xf numFmtId="0" fontId="0" fillId="2" borderId="50" xfId="0" applyFill="1" applyBorder="1" applyAlignment="1">
      <alignment horizontal="right"/>
    </xf>
    <xf numFmtId="0" fontId="36" fillId="2" borderId="50" xfId="0" applyFont="1" applyFill="1" applyBorder="1" applyAlignment="1">
      <alignment horizontal="center" vertical="center" wrapText="1"/>
    </xf>
    <xf numFmtId="0" fontId="86" fillId="2" borderId="50" xfId="0" applyFont="1" applyFill="1" applyBorder="1" applyAlignment="1">
      <alignment horizontal="left" wrapText="1"/>
    </xf>
    <xf numFmtId="0" fontId="88" fillId="2" borderId="0" xfId="0" applyFont="1" applyFill="1" applyBorder="1" applyAlignment="1" applyProtection="1">
      <alignment vertical="top" wrapText="1" readingOrder="1"/>
      <protection locked="0"/>
    </xf>
    <xf numFmtId="0" fontId="0" fillId="0" borderId="0" xfId="0" applyFont="1"/>
    <xf numFmtId="0" fontId="89" fillId="0" borderId="50" xfId="0" applyFont="1" applyBorder="1" applyAlignment="1" applyProtection="1">
      <alignment vertical="top" wrapText="1" readingOrder="1"/>
      <protection locked="0"/>
    </xf>
    <xf numFmtId="0" fontId="89" fillId="0" borderId="50" xfId="0" applyFont="1" applyBorder="1" applyAlignment="1" applyProtection="1">
      <alignment horizontal="left" textRotation="90" wrapText="1" readingOrder="1"/>
      <protection locked="0"/>
    </xf>
    <xf numFmtId="0" fontId="47" fillId="0" borderId="0" xfId="0" applyFont="1" applyAlignment="1">
      <alignment wrapText="1"/>
    </xf>
    <xf numFmtId="0" fontId="64" fillId="2" borderId="50" xfId="0" applyFont="1" applyFill="1" applyBorder="1" applyAlignment="1" applyProtection="1">
      <alignment wrapText="1" readingOrder="1"/>
      <protection locked="0"/>
    </xf>
    <xf numFmtId="0" fontId="0" fillId="0" borderId="50" xfId="0" applyBorder="1" applyAlignment="1">
      <alignment horizontal="center" wrapText="1"/>
    </xf>
    <xf numFmtId="0" fontId="83" fillId="2" borderId="53" xfId="0" applyFont="1" applyFill="1" applyBorder="1" applyAlignment="1">
      <alignment vertical="center" wrapText="1"/>
    </xf>
    <xf numFmtId="0" fontId="91" fillId="2" borderId="50" xfId="0" applyFont="1" applyFill="1" applyBorder="1" applyAlignment="1">
      <alignment horizontal="left" vertical="center"/>
    </xf>
    <xf numFmtId="14" fontId="75" fillId="2" borderId="50" xfId="0" applyNumberFormat="1" applyFont="1" applyFill="1" applyBorder="1" applyAlignment="1">
      <alignment horizontal="left"/>
    </xf>
    <xf numFmtId="0" fontId="73" fillId="2" borderId="50" xfId="0" applyFont="1" applyFill="1" applyBorder="1" applyAlignment="1">
      <alignment horizontal="right"/>
    </xf>
    <xf numFmtId="14" fontId="0" fillId="2" borderId="50" xfId="0" applyNumberFormat="1" applyFill="1" applyBorder="1"/>
    <xf numFmtId="0" fontId="87" fillId="2" borderId="50" xfId="0" applyFont="1" applyFill="1" applyBorder="1"/>
    <xf numFmtId="14" fontId="68" fillId="2" borderId="50" xfId="0" applyNumberFormat="1" applyFont="1" applyFill="1" applyBorder="1" applyAlignment="1">
      <alignment horizontal="left"/>
    </xf>
    <xf numFmtId="15" fontId="0" fillId="2" borderId="50" xfId="0" applyNumberFormat="1" applyFill="1" applyBorder="1"/>
    <xf numFmtId="14" fontId="0" fillId="2" borderId="53" xfId="0" applyNumberFormat="1" applyFill="1" applyBorder="1" applyAlignment="1">
      <alignment horizontal="left"/>
    </xf>
    <xf numFmtId="1" fontId="0" fillId="2" borderId="50" xfId="0" applyNumberFormat="1" applyFill="1" applyBorder="1" applyAlignment="1">
      <alignment horizontal="center"/>
    </xf>
    <xf numFmtId="0" fontId="7" fillId="2" borderId="50" xfId="0" applyNumberFormat="1" applyFont="1" applyFill="1" applyBorder="1" applyAlignment="1" applyProtection="1">
      <alignment horizontal="center" vertical="top"/>
    </xf>
    <xf numFmtId="0" fontId="8" fillId="2" borderId="3" xfId="0" applyNumberFormat="1" applyFont="1" applyFill="1" applyBorder="1" applyAlignment="1" applyProtection="1">
      <alignment horizontal="center" vertical="top" wrapText="1"/>
    </xf>
    <xf numFmtId="0" fontId="8" fillId="2" borderId="6" xfId="0" applyNumberFormat="1" applyFont="1" applyFill="1" applyBorder="1" applyAlignment="1" applyProtection="1">
      <alignment horizontal="center" vertical="top" wrapText="1"/>
    </xf>
    <xf numFmtId="0" fontId="83" fillId="2" borderId="50" xfId="0" applyFont="1" applyFill="1" applyBorder="1" applyAlignment="1">
      <alignment horizontal="center" vertical="center" wrapText="1"/>
    </xf>
    <xf numFmtId="0" fontId="2" fillId="0" borderId="42" xfId="0" applyFont="1" applyBorder="1" applyAlignment="1">
      <alignment horizontal="left" vertical="center"/>
    </xf>
    <xf numFmtId="0" fontId="2" fillId="0" borderId="50" xfId="0" applyFont="1" applyBorder="1" applyAlignment="1">
      <alignment horizontal="left" vertical="center"/>
    </xf>
    <xf numFmtId="0" fontId="2" fillId="0" borderId="50" xfId="0" applyFont="1" applyBorder="1" applyAlignment="1">
      <alignment horizontal="center" vertical="center"/>
    </xf>
    <xf numFmtId="1" fontId="2" fillId="0" borderId="50" xfId="0" applyNumberFormat="1" applyFont="1" applyBorder="1" applyAlignment="1">
      <alignment horizontal="center" vertical="center"/>
    </xf>
    <xf numFmtId="0" fontId="2" fillId="0" borderId="16" xfId="0" applyFont="1" applyBorder="1" applyAlignment="1">
      <alignment horizontal="left"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16" fontId="7" fillId="2" borderId="42" xfId="0" applyNumberFormat="1" applyFont="1" applyFill="1" applyBorder="1" applyAlignment="1">
      <alignment vertical="center"/>
    </xf>
    <xf numFmtId="0" fontId="73" fillId="2" borderId="0" xfId="0" applyFont="1" applyFill="1" applyBorder="1"/>
    <xf numFmtId="0" fontId="2" fillId="2" borderId="0" xfId="0" applyFont="1" applyFill="1" applyBorder="1"/>
    <xf numFmtId="14" fontId="0" fillId="5" borderId="50" xfId="0" applyNumberFormat="1" applyFill="1" applyBorder="1" applyAlignment="1">
      <alignment horizontal="left"/>
    </xf>
    <xf numFmtId="0" fontId="0" fillId="2" borderId="16" xfId="0" applyFill="1" applyBorder="1" applyAlignment="1">
      <alignment horizontal="center"/>
    </xf>
    <xf numFmtId="16" fontId="7" fillId="2" borderId="42" xfId="0" applyNumberFormat="1" applyFont="1" applyFill="1" applyBorder="1" applyAlignment="1" applyProtection="1">
      <alignment horizontal="center" vertical="center"/>
    </xf>
    <xf numFmtId="0" fontId="0" fillId="2" borderId="0" xfId="0" applyFill="1" applyAlignment="1">
      <alignment horizontal="center" vertical="center"/>
    </xf>
    <xf numFmtId="0" fontId="89" fillId="2" borderId="52" xfId="0" applyFont="1" applyFill="1" applyBorder="1" applyAlignment="1" applyProtection="1">
      <alignment vertical="top" wrapText="1" readingOrder="1"/>
      <protection locked="0"/>
    </xf>
    <xf numFmtId="0" fontId="89" fillId="2" borderId="47" xfId="0" applyFont="1" applyFill="1" applyBorder="1" applyAlignment="1" applyProtection="1">
      <alignment vertical="top" wrapText="1" readingOrder="1"/>
      <protection locked="0"/>
    </xf>
    <xf numFmtId="0" fontId="89" fillId="2" borderId="50" xfId="0" applyFont="1" applyFill="1" applyBorder="1" applyAlignment="1" applyProtection="1">
      <alignment vertical="top" wrapText="1" readingOrder="1"/>
      <protection locked="0"/>
    </xf>
    <xf numFmtId="0" fontId="89" fillId="2" borderId="50" xfId="0" applyFont="1" applyFill="1" applyBorder="1" applyAlignment="1" applyProtection="1">
      <alignment horizontal="center" vertical="center" wrapText="1" readingOrder="1"/>
      <protection locked="0"/>
    </xf>
    <xf numFmtId="0" fontId="47" fillId="2" borderId="0" xfId="0" applyFont="1" applyFill="1"/>
    <xf numFmtId="0" fontId="47" fillId="0" borderId="0" xfId="0" applyFont="1"/>
    <xf numFmtId="0" fontId="96" fillId="0" borderId="50" xfId="0" applyFont="1" applyBorder="1" applyAlignment="1" applyProtection="1">
      <alignment vertical="top" wrapText="1" readingOrder="1"/>
      <protection locked="0"/>
    </xf>
    <xf numFmtId="0" fontId="96" fillId="0" borderId="50" xfId="0" applyFont="1" applyBorder="1" applyAlignment="1" applyProtection="1">
      <alignment horizontal="left" textRotation="90" wrapText="1" readingOrder="1"/>
      <protection locked="0"/>
    </xf>
    <xf numFmtId="0" fontId="7" fillId="2" borderId="50" xfId="0" applyNumberFormat="1" applyFont="1" applyFill="1" applyBorder="1" applyAlignment="1" applyProtection="1">
      <alignment horizontal="center" vertical="top"/>
    </xf>
    <xf numFmtId="0" fontId="7" fillId="2" borderId="50" xfId="0" applyFont="1" applyFill="1" applyBorder="1" applyAlignment="1">
      <alignment vertical="top"/>
    </xf>
    <xf numFmtId="0" fontId="9" fillId="0" borderId="23" xfId="0" applyFont="1" applyBorder="1"/>
    <xf numFmtId="0" fontId="9" fillId="0" borderId="22" xfId="0" applyFont="1" applyBorder="1"/>
    <xf numFmtId="0" fontId="9" fillId="0" borderId="27" xfId="0" applyFont="1" applyBorder="1"/>
    <xf numFmtId="0" fontId="9" fillId="0" borderId="25" xfId="0" applyFont="1" applyBorder="1"/>
    <xf numFmtId="0" fontId="9" fillId="0" borderId="26" xfId="0" applyFont="1" applyBorder="1"/>
    <xf numFmtId="0" fontId="9" fillId="0" borderId="0" xfId="0" applyFont="1"/>
    <xf numFmtId="0" fontId="2" fillId="0" borderId="42" xfId="0" applyFont="1" applyBorder="1" applyAlignment="1">
      <alignment horizontal="left" vertical="center"/>
    </xf>
    <xf numFmtId="0" fontId="2" fillId="0" borderId="50" xfId="0" applyFont="1" applyBorder="1" applyAlignment="1">
      <alignment horizontal="left" vertical="center"/>
    </xf>
    <xf numFmtId="0" fontId="2" fillId="0" borderId="50" xfId="0" applyFont="1" applyBorder="1" applyAlignment="1">
      <alignment horizontal="center" vertical="center"/>
    </xf>
    <xf numFmtId="1" fontId="2" fillId="0" borderId="50" xfId="0" applyNumberFormat="1" applyFont="1" applyBorder="1" applyAlignment="1">
      <alignment horizontal="center" vertical="center"/>
    </xf>
    <xf numFmtId="0" fontId="2" fillId="0" borderId="16" xfId="0" applyFont="1" applyBorder="1" applyAlignment="1">
      <alignment horizontal="left" vertical="center"/>
    </xf>
    <xf numFmtId="0" fontId="7" fillId="0" borderId="0" xfId="0" applyFont="1" applyAlignment="1">
      <alignment horizontal="left"/>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14" fontId="72" fillId="2" borderId="53" xfId="0" applyNumberFormat="1" applyFont="1" applyFill="1" applyBorder="1" applyAlignment="1">
      <alignment horizontal="left"/>
    </xf>
    <xf numFmtId="14" fontId="72" fillId="2" borderId="50" xfId="0" applyNumberFormat="1" applyFont="1" applyFill="1" applyBorder="1" applyAlignment="1">
      <alignment horizontal="left"/>
    </xf>
    <xf numFmtId="0" fontId="9" fillId="2" borderId="0" xfId="0" applyFont="1" applyFill="1" applyAlignment="1">
      <alignment horizontal="right"/>
    </xf>
    <xf numFmtId="0" fontId="83" fillId="2" borderId="50" xfId="0" applyFont="1" applyFill="1" applyBorder="1" applyAlignment="1">
      <alignment horizontal="left" vertical="center"/>
    </xf>
    <xf numFmtId="0" fontId="9" fillId="2" borderId="50" xfId="0" applyFont="1" applyFill="1" applyBorder="1" applyAlignment="1">
      <alignment horizontal="left"/>
    </xf>
    <xf numFmtId="0" fontId="9" fillId="2" borderId="0" xfId="0" applyFont="1" applyFill="1" applyAlignment="1">
      <alignment horizontal="center" vertical="center"/>
    </xf>
    <xf numFmtId="0" fontId="3"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17" fontId="33" fillId="2" borderId="0" xfId="0" applyNumberFormat="1" applyFont="1" applyFill="1" applyAlignment="1">
      <alignment horizontal="center" vertical="center"/>
    </xf>
    <xf numFmtId="0" fontId="32" fillId="2" borderId="0" xfId="0" applyFont="1" applyFill="1"/>
    <xf numFmtId="0" fontId="57" fillId="2" borderId="0" xfId="0" applyFont="1" applyFill="1" applyAlignment="1">
      <alignment horizontal="center"/>
    </xf>
    <xf numFmtId="0" fontId="32" fillId="2" borderId="0" xfId="0" applyFont="1" applyFill="1" applyAlignment="1">
      <alignment horizontal="left"/>
    </xf>
    <xf numFmtId="0" fontId="6" fillId="2" borderId="0" xfId="0" applyFont="1" applyFill="1" applyAlignment="1">
      <alignment horizontal="right"/>
    </xf>
    <xf numFmtId="0" fontId="0" fillId="2" borderId="53" xfId="0" applyFill="1" applyBorder="1" applyAlignment="1">
      <alignment horizontal="center" vertical="center"/>
    </xf>
    <xf numFmtId="0" fontId="7" fillId="2" borderId="50" xfId="0" applyFont="1" applyFill="1" applyBorder="1" applyAlignment="1">
      <alignment horizontal="center" vertical="center" wrapText="1"/>
    </xf>
    <xf numFmtId="0" fontId="101" fillId="2" borderId="16" xfId="0" applyFont="1" applyFill="1" applyBorder="1" applyAlignment="1">
      <alignment horizontal="center"/>
    </xf>
    <xf numFmtId="3" fontId="2" fillId="0" borderId="24" xfId="0" applyNumberFormat="1" applyFont="1" applyBorder="1" applyAlignment="1">
      <alignment horizontal="center" vertical="center"/>
    </xf>
    <xf numFmtId="0" fontId="0" fillId="0" borderId="58" xfId="0" applyBorder="1"/>
    <xf numFmtId="0" fontId="28" fillId="0" borderId="50" xfId="0" applyFont="1" applyBorder="1" applyAlignment="1">
      <alignment horizontal="center" wrapText="1"/>
    </xf>
    <xf numFmtId="0" fontId="0" fillId="0" borderId="50" xfId="0" applyBorder="1" applyAlignment="1">
      <alignment horizontal="center"/>
    </xf>
    <xf numFmtId="0" fontId="68" fillId="0" borderId="50" xfId="0" applyFont="1" applyBorder="1" applyAlignment="1">
      <alignment horizontal="center" wrapText="1"/>
    </xf>
    <xf numFmtId="1" fontId="69" fillId="2" borderId="50" xfId="0" applyNumberFormat="1" applyFont="1" applyFill="1" applyBorder="1" applyAlignment="1"/>
    <xf numFmtId="1" fontId="68" fillId="0" borderId="50" xfId="0" applyNumberFormat="1" applyFont="1" applyBorder="1" applyAlignment="1">
      <alignment horizontal="center" wrapText="1"/>
    </xf>
    <xf numFmtId="1" fontId="61" fillId="2" borderId="50" xfId="4" applyNumberFormat="1" applyFont="1" applyFill="1" applyBorder="1" applyAlignment="1">
      <alignment horizontal="left"/>
    </xf>
    <xf numFmtId="1" fontId="61" fillId="2" borderId="50" xfId="0" quotePrefix="1" applyNumberFormat="1" applyFont="1" applyFill="1" applyBorder="1" applyAlignment="1">
      <alignment horizontal="left"/>
    </xf>
    <xf numFmtId="0" fontId="11" fillId="2" borderId="0" xfId="0" applyFont="1" applyFill="1" applyAlignment="1">
      <alignment horizontal="center" vertical="center"/>
    </xf>
    <xf numFmtId="0" fontId="3" fillId="2" borderId="0" xfId="0" applyFont="1" applyFill="1" applyAlignment="1">
      <alignment wrapText="1"/>
    </xf>
    <xf numFmtId="0" fontId="7" fillId="2" borderId="0" xfId="0" applyFont="1" applyFill="1" applyAlignment="1">
      <alignment wrapText="1"/>
    </xf>
    <xf numFmtId="0" fontId="8" fillId="2" borderId="0" xfId="0" applyFont="1" applyFill="1" applyAlignment="1">
      <alignment wrapText="1"/>
    </xf>
    <xf numFmtId="17" fontId="33" fillId="2" borderId="0" xfId="0" applyNumberFormat="1" applyFont="1" applyFill="1" applyAlignment="1">
      <alignment wrapText="1"/>
    </xf>
    <xf numFmtId="0" fontId="11" fillId="2" borderId="0" xfId="0" applyFont="1" applyFill="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Alignment="1">
      <alignment horizontal="left" wrapText="1"/>
    </xf>
    <xf numFmtId="0" fontId="7" fillId="2" borderId="0" xfId="0" applyFont="1" applyFill="1" applyAlignment="1">
      <alignment horizontal="left" wrapText="1"/>
    </xf>
    <xf numFmtId="0" fontId="93" fillId="2" borderId="50" xfId="0" applyFont="1" applyFill="1" applyBorder="1" applyAlignment="1">
      <alignment vertical="center" wrapText="1"/>
    </xf>
    <xf numFmtId="0" fontId="95" fillId="2" borderId="50" xfId="0" applyFont="1" applyFill="1" applyBorder="1" applyAlignment="1">
      <alignment vertical="center" wrapText="1"/>
    </xf>
    <xf numFmtId="14" fontId="0" fillId="2" borderId="50" xfId="0" applyNumberFormat="1" applyFill="1" applyBorder="1" applyAlignment="1">
      <alignment horizontal="center"/>
    </xf>
    <xf numFmtId="0" fontId="33" fillId="2" borderId="50" xfId="0" applyFont="1" applyFill="1" applyBorder="1" applyAlignment="1">
      <alignment horizontal="center" vertical="center" wrapText="1"/>
    </xf>
    <xf numFmtId="0" fontId="83" fillId="2" borderId="50" xfId="0" applyFont="1" applyFill="1" applyBorder="1" applyAlignment="1">
      <alignment horizontal="left" vertical="center" wrapText="1"/>
    </xf>
    <xf numFmtId="0" fontId="33" fillId="2" borderId="0" xfId="0" applyFont="1" applyFill="1" applyAlignment="1">
      <alignment horizontal="left"/>
    </xf>
    <xf numFmtId="0" fontId="33" fillId="2" borderId="50" xfId="0" applyFont="1" applyFill="1" applyBorder="1" applyAlignment="1">
      <alignment horizontal="center" vertical="center"/>
    </xf>
    <xf numFmtId="0" fontId="105" fillId="2" borderId="50" xfId="0" applyFont="1" applyFill="1" applyBorder="1" applyAlignment="1">
      <alignment horizontal="left" vertical="center"/>
    </xf>
    <xf numFmtId="14" fontId="73" fillId="2" borderId="50" xfId="0" applyNumberFormat="1" applyFont="1" applyFill="1" applyBorder="1" applyAlignment="1">
      <alignment horizontal="left"/>
    </xf>
    <xf numFmtId="0" fontId="73" fillId="2" borderId="50" xfId="0" applyFont="1" applyFill="1" applyBorder="1" applyAlignment="1">
      <alignment horizontal="center" vertical="center"/>
    </xf>
    <xf numFmtId="14" fontId="0" fillId="5" borderId="50" xfId="0" applyNumberFormat="1" applyFont="1" applyFill="1" applyBorder="1" applyAlignment="1">
      <alignment horizontal="left"/>
    </xf>
    <xf numFmtId="0" fontId="47" fillId="6" borderId="50" xfId="0" applyFont="1" applyFill="1" applyBorder="1"/>
    <xf numFmtId="0" fontId="98" fillId="2" borderId="0" xfId="0" applyFont="1" applyFill="1" applyAlignment="1">
      <alignment horizontal="right"/>
    </xf>
    <xf numFmtId="0" fontId="98" fillId="2" borderId="0" xfId="0" applyFont="1" applyFill="1" applyAlignment="1">
      <alignment horizontal="right" vertical="center"/>
    </xf>
    <xf numFmtId="0" fontId="106" fillId="2" borderId="50" xfId="0" applyFont="1" applyFill="1" applyBorder="1" applyAlignment="1">
      <alignment horizontal="right" vertical="center" wrapText="1"/>
    </xf>
    <xf numFmtId="0" fontId="0" fillId="2" borderId="0" xfId="0" applyFill="1" applyBorder="1" applyAlignment="1">
      <alignment horizontal="center" vertical="center"/>
    </xf>
    <xf numFmtId="0" fontId="0" fillId="2" borderId="16" xfId="0" applyFill="1" applyBorder="1" applyAlignment="1">
      <alignment horizontal="center" vertical="center"/>
    </xf>
    <xf numFmtId="1" fontId="0" fillId="2" borderId="18" xfId="0" applyNumberFormat="1" applyFill="1" applyBorder="1" applyAlignment="1">
      <alignment horizontal="center" vertical="center"/>
    </xf>
    <xf numFmtId="3" fontId="92" fillId="2" borderId="50" xfId="3" applyNumberFormat="1" applyFont="1" applyFill="1" applyBorder="1" applyAlignment="1">
      <alignment horizontal="left"/>
    </xf>
    <xf numFmtId="0" fontId="11" fillId="2" borderId="0" xfId="0" applyFont="1" applyFill="1" applyAlignment="1">
      <alignment horizontal="right"/>
    </xf>
    <xf numFmtId="0" fontId="3" fillId="2" borderId="0" xfId="0" applyFont="1" applyFill="1" applyAlignment="1">
      <alignment horizontal="right"/>
    </xf>
    <xf numFmtId="0" fontId="7" fillId="2" borderId="0" xfId="0" applyFont="1" applyFill="1" applyAlignment="1">
      <alignment horizontal="right"/>
    </xf>
    <xf numFmtId="0" fontId="8" fillId="2" borderId="0" xfId="0" applyFont="1" applyFill="1" applyAlignment="1">
      <alignment horizontal="right"/>
    </xf>
    <xf numFmtId="17" fontId="107" fillId="2" borderId="0" xfId="0" applyNumberFormat="1" applyFont="1" applyFill="1" applyAlignment="1">
      <alignment horizontal="right"/>
    </xf>
    <xf numFmtId="0" fontId="11" fillId="2" borderId="0" xfId="0" applyFont="1" applyFill="1" applyAlignment="1">
      <alignment horizontal="right" vertical="center"/>
    </xf>
    <xf numFmtId="0" fontId="107" fillId="2" borderId="50" xfId="0" applyFont="1" applyFill="1" applyBorder="1" applyAlignment="1">
      <alignment horizontal="right" vertical="center" wrapText="1"/>
    </xf>
    <xf numFmtId="14" fontId="9" fillId="2" borderId="50" xfId="0" applyNumberFormat="1" applyFont="1" applyFill="1" applyBorder="1" applyAlignment="1">
      <alignment horizontal="left" vertical="center"/>
    </xf>
    <xf numFmtId="0" fontId="9" fillId="2" borderId="50" xfId="0" applyFont="1" applyFill="1" applyBorder="1" applyAlignment="1">
      <alignment vertical="center"/>
    </xf>
    <xf numFmtId="16" fontId="37" fillId="2" borderId="42" xfId="0" applyNumberFormat="1" applyFont="1" applyFill="1" applyBorder="1" applyAlignment="1" applyProtection="1">
      <alignment horizontal="right" vertical="top"/>
    </xf>
    <xf numFmtId="0" fontId="12" fillId="2" borderId="0" xfId="0" applyFont="1" applyFill="1" applyBorder="1" applyAlignment="1">
      <alignment horizontal="left"/>
    </xf>
    <xf numFmtId="0" fontId="12" fillId="2" borderId="0" xfId="3" applyFont="1" applyFill="1" applyBorder="1" applyAlignment="1">
      <alignment horizontal="left"/>
    </xf>
    <xf numFmtId="167" fontId="66" fillId="2" borderId="50" xfId="1" applyNumberFormat="1" applyFont="1" applyFill="1" applyBorder="1" applyAlignment="1">
      <alignment vertical="center"/>
    </xf>
    <xf numFmtId="167" fontId="12" fillId="2" borderId="50" xfId="1" applyNumberFormat="1" applyFont="1" applyFill="1" applyBorder="1" applyAlignment="1">
      <alignment vertical="center"/>
    </xf>
    <xf numFmtId="3" fontId="61" fillId="2" borderId="50" xfId="0" applyNumberFormat="1" applyFont="1" applyFill="1" applyBorder="1" applyAlignment="1">
      <alignment horizontal="center" vertical="center"/>
    </xf>
    <xf numFmtId="167" fontId="58" fillId="2" borderId="50" xfId="0" applyNumberFormat="1" applyFont="1" applyFill="1" applyBorder="1" applyAlignment="1">
      <alignment vertical="center"/>
    </xf>
    <xf numFmtId="167" fontId="90" fillId="2" borderId="50" xfId="1" applyNumberFormat="1" applyFont="1" applyFill="1" applyBorder="1" applyAlignment="1">
      <alignment vertical="center"/>
    </xf>
    <xf numFmtId="0" fontId="49" fillId="0" borderId="0" xfId="0" applyFont="1"/>
    <xf numFmtId="0" fontId="108" fillId="0" borderId="50" xfId="0" applyFont="1" applyBorder="1" applyAlignment="1" applyProtection="1">
      <alignment horizontal="center" vertical="center" textRotation="90" wrapText="1" readingOrder="1"/>
      <protection locked="0"/>
    </xf>
    <xf numFmtId="0" fontId="109" fillId="2" borderId="50" xfId="0" applyNumberFormat="1" applyFont="1" applyFill="1" applyBorder="1" applyAlignment="1" applyProtection="1">
      <alignment horizontal="center" vertical="center" wrapText="1" readingOrder="1"/>
      <protection locked="0"/>
    </xf>
    <xf numFmtId="0" fontId="22" fillId="0" borderId="50" xfId="0" applyFont="1" applyBorder="1"/>
    <xf numFmtId="0" fontId="2" fillId="0" borderId="50" xfId="0" applyFont="1" applyBorder="1"/>
    <xf numFmtId="0" fontId="0" fillId="0" borderId="9" xfId="0" applyFont="1" applyBorder="1"/>
    <xf numFmtId="0" fontId="0" fillId="0" borderId="25" xfId="0" applyFont="1" applyBorder="1"/>
    <xf numFmtId="0" fontId="0" fillId="0" borderId="22" xfId="0" applyFont="1" applyBorder="1"/>
    <xf numFmtId="0" fontId="0" fillId="0" borderId="23" xfId="0" applyFont="1" applyBorder="1"/>
    <xf numFmtId="0" fontId="111" fillId="0" borderId="22" xfId="0" applyFont="1" applyBorder="1"/>
    <xf numFmtId="0" fontId="111" fillId="0" borderId="0" xfId="0" applyFont="1"/>
    <xf numFmtId="0" fontId="112" fillId="0" borderId="0" xfId="0" applyFont="1"/>
    <xf numFmtId="0" fontId="111" fillId="0" borderId="19" xfId="0" applyFont="1" applyBorder="1"/>
    <xf numFmtId="0" fontId="0" fillId="0" borderId="19" xfId="0" applyFont="1" applyBorder="1"/>
    <xf numFmtId="17" fontId="112" fillId="0" borderId="19" xfId="0" applyNumberFormat="1" applyFont="1" applyBorder="1"/>
    <xf numFmtId="0" fontId="112" fillId="0" borderId="22" xfId="0" applyFont="1" applyBorder="1"/>
    <xf numFmtId="2" fontId="111" fillId="0" borderId="19" xfId="0" applyNumberFormat="1" applyFont="1" applyBorder="1"/>
    <xf numFmtId="0" fontId="112" fillId="0" borderId="19" xfId="0" applyFont="1" applyBorder="1"/>
    <xf numFmtId="1" fontId="111" fillId="0" borderId="0" xfId="0" applyNumberFormat="1" applyFont="1"/>
    <xf numFmtId="0" fontId="111" fillId="0" borderId="44" xfId="0" applyFont="1" applyBorder="1"/>
    <xf numFmtId="0" fontId="0" fillId="0" borderId="44" xfId="0" applyFont="1" applyBorder="1"/>
    <xf numFmtId="0" fontId="111" fillId="0" borderId="0" xfId="0" applyFont="1" applyAlignment="1">
      <alignment horizontal="left"/>
    </xf>
    <xf numFmtId="1" fontId="111" fillId="0" borderId="44" xfId="0" applyNumberFormat="1" applyFont="1" applyBorder="1"/>
    <xf numFmtId="1" fontId="0" fillId="0" borderId="44" xfId="0" applyNumberFormat="1" applyFont="1" applyBorder="1"/>
    <xf numFmtId="1" fontId="111" fillId="0" borderId="19" xfId="0" applyNumberFormat="1" applyFont="1" applyBorder="1"/>
    <xf numFmtId="0" fontId="0" fillId="0" borderId="26" xfId="0" applyFont="1" applyBorder="1"/>
    <xf numFmtId="0" fontId="0" fillId="0" borderId="27" xfId="0" applyFont="1" applyBorder="1"/>
    <xf numFmtId="3" fontId="0" fillId="0" borderId="0" xfId="0" applyNumberFormat="1" applyFont="1"/>
    <xf numFmtId="3" fontId="0" fillId="0" borderId="19" xfId="0" applyNumberFormat="1" applyFont="1" applyBorder="1"/>
    <xf numFmtId="0" fontId="0" fillId="2" borderId="9" xfId="0" applyFill="1" applyBorder="1"/>
    <xf numFmtId="0" fontId="7" fillId="2" borderId="22" xfId="0" applyFont="1" applyFill="1" applyBorder="1"/>
    <xf numFmtId="0" fontId="7" fillId="2" borderId="19" xfId="0" applyFont="1" applyFill="1" applyBorder="1"/>
    <xf numFmtId="0" fontId="0" fillId="2" borderId="19" xfId="0" applyFill="1" applyBorder="1"/>
    <xf numFmtId="17" fontId="8" fillId="2" borderId="19" xfId="0" applyNumberFormat="1" applyFont="1" applyFill="1" applyBorder="1"/>
    <xf numFmtId="0" fontId="8" fillId="2" borderId="22" xfId="0" applyFont="1" applyFill="1" applyBorder="1"/>
    <xf numFmtId="2" fontId="7" fillId="2" borderId="19" xfId="0" applyNumberFormat="1" applyFont="1" applyFill="1" applyBorder="1"/>
    <xf numFmtId="0" fontId="8" fillId="2" borderId="19" xfId="0" applyFont="1" applyFill="1" applyBorder="1"/>
    <xf numFmtId="1" fontId="7" fillId="2" borderId="0" xfId="0" applyNumberFormat="1" applyFont="1" applyFill="1"/>
    <xf numFmtId="0" fontId="7" fillId="2" borderId="44" xfId="0" applyFont="1" applyFill="1" applyBorder="1"/>
    <xf numFmtId="0" fontId="0" fillId="2" borderId="44" xfId="0" applyFill="1" applyBorder="1"/>
    <xf numFmtId="0" fontId="7" fillId="2" borderId="0" xfId="0" applyFont="1" applyFill="1" applyAlignment="1">
      <alignment horizontal="left"/>
    </xf>
    <xf numFmtId="1" fontId="7" fillId="2" borderId="44" xfId="0" applyNumberFormat="1" applyFont="1" applyFill="1" applyBorder="1"/>
    <xf numFmtId="1" fontId="0" fillId="2" borderId="44" xfId="0" applyNumberFormat="1" applyFill="1" applyBorder="1"/>
    <xf numFmtId="1" fontId="7" fillId="2" borderId="19" xfId="0" applyNumberFormat="1" applyFont="1" applyFill="1" applyBorder="1"/>
    <xf numFmtId="0" fontId="83" fillId="2" borderId="6" xfId="0" applyFont="1" applyFill="1" applyBorder="1" applyAlignment="1">
      <alignment vertical="center" wrapText="1"/>
    </xf>
    <xf numFmtId="0" fontId="70" fillId="2" borderId="53" xfId="0" applyFont="1" applyFill="1" applyBorder="1" applyAlignment="1">
      <alignment horizontal="right"/>
    </xf>
    <xf numFmtId="0" fontId="69" fillId="2" borderId="53" xfId="0" applyFont="1" applyFill="1" applyBorder="1" applyAlignment="1">
      <alignment horizontal="left"/>
    </xf>
    <xf numFmtId="0" fontId="69" fillId="2" borderId="53" xfId="0" applyFont="1" applyFill="1" applyBorder="1" applyAlignment="1">
      <alignment horizontal="left" wrapText="1"/>
    </xf>
    <xf numFmtId="0" fontId="83" fillId="2" borderId="53" xfId="0" applyFont="1" applyFill="1" applyBorder="1" applyAlignment="1">
      <alignment horizontal="center" vertical="center" wrapText="1"/>
    </xf>
    <xf numFmtId="0" fontId="33" fillId="2" borderId="53" xfId="0" applyFont="1" applyFill="1" applyBorder="1" applyAlignment="1">
      <alignment horizontal="center" vertical="center" wrapText="1"/>
    </xf>
    <xf numFmtId="0" fontId="107" fillId="2" borderId="53" xfId="0" applyFont="1" applyFill="1" applyBorder="1" applyAlignment="1">
      <alignment horizontal="right" vertical="center" wrapText="1"/>
    </xf>
    <xf numFmtId="0" fontId="33" fillId="2" borderId="53" xfId="0" applyFont="1" applyFill="1" applyBorder="1" applyAlignment="1">
      <alignment horizontal="center" vertical="center"/>
    </xf>
    <xf numFmtId="0" fontId="33" fillId="2" borderId="53" xfId="0" applyFont="1" applyFill="1" applyBorder="1" applyAlignment="1">
      <alignment horizontal="center"/>
    </xf>
    <xf numFmtId="0" fontId="33" fillId="2" borderId="53" xfId="0" applyFont="1" applyFill="1" applyBorder="1" applyAlignment="1">
      <alignment horizontal="center" wrapText="1"/>
    </xf>
    <xf numFmtId="0" fontId="0" fillId="2" borderId="50" xfId="0" applyFill="1" applyBorder="1" applyAlignment="1">
      <alignment vertical="center" wrapText="1"/>
    </xf>
    <xf numFmtId="0" fontId="9" fillId="2" borderId="50" xfId="0" applyFont="1" applyFill="1" applyBorder="1" applyAlignment="1">
      <alignment vertical="center" wrapText="1"/>
    </xf>
    <xf numFmtId="14" fontId="68" fillId="2" borderId="50" xfId="0" applyNumberFormat="1" applyFont="1" applyFill="1" applyBorder="1" applyAlignment="1">
      <alignment vertical="center" wrapText="1"/>
    </xf>
    <xf numFmtId="14" fontId="0" fillId="2" borderId="50" xfId="0" applyNumberFormat="1" applyFill="1" applyBorder="1" applyAlignment="1">
      <alignment vertical="center" wrapText="1"/>
    </xf>
    <xf numFmtId="0" fontId="11" fillId="2" borderId="50" xfId="0" applyFont="1" applyFill="1" applyBorder="1" applyAlignment="1">
      <alignment vertical="center" wrapText="1"/>
    </xf>
    <xf numFmtId="14" fontId="72" fillId="2" borderId="50" xfId="0" applyNumberFormat="1" applyFont="1" applyFill="1" applyBorder="1" applyAlignment="1">
      <alignment vertical="center" wrapText="1"/>
    </xf>
    <xf numFmtId="0" fontId="12" fillId="2" borderId="50" xfId="0" applyFont="1" applyFill="1" applyBorder="1" applyAlignment="1">
      <alignment vertical="center" wrapText="1"/>
    </xf>
    <xf numFmtId="1" fontId="67" fillId="2" borderId="50" xfId="0" applyNumberFormat="1" applyFont="1" applyFill="1" applyBorder="1" applyAlignment="1">
      <alignment vertical="center" wrapText="1"/>
    </xf>
    <xf numFmtId="1" fontId="12" fillId="2" borderId="50" xfId="1" applyNumberFormat="1" applyFont="1" applyFill="1" applyBorder="1" applyAlignment="1">
      <alignment vertical="center" wrapText="1"/>
    </xf>
    <xf numFmtId="1" fontId="99" fillId="2" borderId="50" xfId="0" applyNumberFormat="1" applyFont="1" applyFill="1" applyBorder="1" applyAlignment="1">
      <alignment vertical="center" wrapText="1"/>
    </xf>
    <xf numFmtId="3" fontId="83" fillId="2" borderId="50" xfId="0" applyNumberFormat="1" applyFont="1" applyFill="1" applyBorder="1" applyAlignment="1">
      <alignment vertical="center" wrapText="1"/>
    </xf>
    <xf numFmtId="1" fontId="99" fillId="2" borderId="50" xfId="1" applyNumberFormat="1" applyFont="1" applyFill="1" applyBorder="1" applyAlignment="1">
      <alignment vertical="center" wrapText="1"/>
    </xf>
    <xf numFmtId="14" fontId="52" fillId="2" borderId="50" xfId="0" applyNumberFormat="1" applyFont="1" applyFill="1" applyBorder="1" applyAlignment="1">
      <alignment vertical="center" wrapText="1"/>
    </xf>
    <xf numFmtId="0" fontId="47" fillId="2" borderId="50" xfId="0" applyFont="1" applyFill="1" applyBorder="1" applyAlignment="1">
      <alignment vertical="center" wrapText="1"/>
    </xf>
    <xf numFmtId="0" fontId="11" fillId="2" borderId="50" xfId="0" quotePrefix="1" applyFont="1" applyFill="1" applyBorder="1" applyAlignment="1">
      <alignment vertical="center" wrapText="1"/>
    </xf>
    <xf numFmtId="0" fontId="61" fillId="2" borderId="50" xfId="0" applyFont="1" applyFill="1" applyBorder="1" applyAlignment="1">
      <alignment vertical="center" wrapText="1"/>
    </xf>
    <xf numFmtId="0" fontId="47" fillId="2" borderId="50" xfId="0" quotePrefix="1" applyFont="1" applyFill="1" applyBorder="1" applyAlignment="1">
      <alignment vertical="center" wrapText="1"/>
    </xf>
    <xf numFmtId="15" fontId="52" fillId="2" borderId="50" xfId="0" applyNumberFormat="1" applyFont="1" applyFill="1" applyBorder="1" applyAlignment="1">
      <alignment vertical="center" wrapText="1"/>
    </xf>
    <xf numFmtId="0" fontId="51" fillId="2" borderId="50" xfId="0" applyFont="1" applyFill="1" applyBorder="1" applyAlignment="1">
      <alignment vertical="center" wrapText="1"/>
    </xf>
    <xf numFmtId="0" fontId="82" fillId="2" borderId="50" xfId="0" applyFont="1" applyFill="1" applyBorder="1" applyAlignment="1">
      <alignment vertical="center" wrapText="1"/>
    </xf>
    <xf numFmtId="0" fontId="9" fillId="2" borderId="50" xfId="0" quotePrefix="1" applyFont="1" applyFill="1" applyBorder="1" applyAlignment="1">
      <alignment vertical="center" wrapText="1"/>
    </xf>
    <xf numFmtId="0" fontId="104" fillId="2" borderId="50" xfId="0" applyFont="1" applyFill="1" applyBorder="1" applyAlignment="1">
      <alignment vertical="center" wrapText="1"/>
    </xf>
    <xf numFmtId="14" fontId="0" fillId="2" borderId="50" xfId="0" applyNumberFormat="1" applyFont="1" applyFill="1" applyBorder="1" applyAlignment="1">
      <alignment vertical="center" wrapText="1"/>
    </xf>
    <xf numFmtId="0" fontId="0" fillId="2" borderId="50" xfId="0" applyFont="1" applyFill="1" applyBorder="1" applyAlignment="1">
      <alignment vertical="center" wrapText="1"/>
    </xf>
    <xf numFmtId="0" fontId="0" fillId="2" borderId="50" xfId="0" quotePrefix="1" applyFont="1" applyFill="1" applyBorder="1" applyAlignment="1">
      <alignment vertical="center" wrapText="1"/>
    </xf>
    <xf numFmtId="0" fontId="41" fillId="8" borderId="50" xfId="0" applyFont="1" applyFill="1" applyBorder="1" applyAlignment="1">
      <alignment horizontal="center" wrapText="1"/>
    </xf>
    <xf numFmtId="0" fontId="51" fillId="8" borderId="50" xfId="0" applyFont="1" applyFill="1" applyBorder="1" applyAlignment="1">
      <alignment horizontal="center" wrapText="1"/>
    </xf>
    <xf numFmtId="0" fontId="39" fillId="8" borderId="50" xfId="0" applyFont="1" applyFill="1" applyBorder="1" applyAlignment="1">
      <alignment wrapText="1"/>
    </xf>
    <xf numFmtId="14" fontId="39" fillId="8" borderId="50" xfId="0" quotePrefix="1" applyNumberFormat="1" applyFont="1" applyFill="1" applyBorder="1" applyAlignment="1">
      <alignment wrapText="1"/>
    </xf>
    <xf numFmtId="0" fontId="2" fillId="8" borderId="50" xfId="0" applyFont="1" applyFill="1" applyBorder="1" applyAlignment="1">
      <alignment wrapText="1"/>
    </xf>
    <xf numFmtId="0" fontId="72" fillId="8" borderId="50" xfId="0" applyFont="1" applyFill="1" applyBorder="1" applyAlignment="1">
      <alignment wrapText="1"/>
    </xf>
    <xf numFmtId="0" fontId="2" fillId="0" borderId="0" xfId="0" applyFont="1" applyAlignment="1">
      <alignment horizontal="center"/>
    </xf>
    <xf numFmtId="0" fontId="7" fillId="2" borderId="50" xfId="0" applyNumberFormat="1" applyFont="1" applyFill="1" applyBorder="1" applyAlignment="1" applyProtection="1">
      <alignment horizontal="center" vertical="top"/>
    </xf>
    <xf numFmtId="0" fontId="2" fillId="0" borderId="42" xfId="0" applyFont="1" applyBorder="1" applyAlignment="1">
      <alignment horizontal="left" vertical="center"/>
    </xf>
    <xf numFmtId="0" fontId="2" fillId="0" borderId="50" xfId="0" applyFont="1" applyBorder="1" applyAlignment="1">
      <alignment horizontal="left" vertical="center"/>
    </xf>
    <xf numFmtId="0" fontId="2" fillId="0" borderId="50" xfId="0" applyFont="1" applyBorder="1" applyAlignment="1">
      <alignment horizontal="center" vertical="center"/>
    </xf>
    <xf numFmtId="0" fontId="2" fillId="0" borderId="16" xfId="0" applyFont="1" applyBorder="1" applyAlignment="1">
      <alignment horizontal="left" vertical="center"/>
    </xf>
    <xf numFmtId="1" fontId="2" fillId="0" borderId="50" xfId="0" applyNumberFormat="1" applyFont="1" applyBorder="1" applyAlignment="1">
      <alignment horizontal="center" vertical="center"/>
    </xf>
    <xf numFmtId="0" fontId="7" fillId="0" borderId="0" xfId="0" applyFont="1" applyAlignment="1">
      <alignment horizontal="left"/>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14" fontId="4" fillId="9" borderId="50" xfId="0" applyNumberFormat="1" applyFont="1" applyFill="1" applyBorder="1"/>
    <xf numFmtId="0" fontId="9" fillId="2" borderId="18" xfId="0" applyFont="1" applyFill="1" applyBorder="1" applyAlignment="1">
      <alignment vertical="center" wrapText="1"/>
    </xf>
    <xf numFmtId="0" fontId="51" fillId="9" borderId="50" xfId="0" applyFont="1" applyFill="1" applyBorder="1" applyAlignment="1">
      <alignment wrapText="1"/>
    </xf>
    <xf numFmtId="0" fontId="64" fillId="2" borderId="50" xfId="0" applyFont="1" applyFill="1" applyBorder="1" applyAlignment="1">
      <alignment vertical="center" wrapText="1"/>
    </xf>
    <xf numFmtId="0" fontId="101" fillId="2" borderId="50" xfId="0" applyFont="1" applyFill="1" applyBorder="1" applyAlignment="1">
      <alignment horizontal="center"/>
    </xf>
    <xf numFmtId="0" fontId="4" fillId="9" borderId="50" xfId="0" applyFont="1" applyFill="1" applyBorder="1" applyAlignment="1">
      <alignment horizontal="left"/>
    </xf>
    <xf numFmtId="0" fontId="0" fillId="9" borderId="50" xfId="0" applyFill="1" applyBorder="1" applyAlignment="1">
      <alignment horizontal="left" wrapText="1"/>
    </xf>
    <xf numFmtId="0" fontId="51" fillId="9" borderId="50" xfId="0" applyFont="1" applyFill="1" applyBorder="1" applyAlignment="1">
      <alignment horizontal="left"/>
    </xf>
    <xf numFmtId="0" fontId="0" fillId="9" borderId="50" xfId="0" applyFill="1" applyBorder="1" applyAlignment="1">
      <alignment horizontal="left"/>
    </xf>
    <xf numFmtId="0" fontId="0" fillId="0" borderId="50" xfId="0" applyBorder="1" applyAlignment="1">
      <alignment horizontal="left" vertical="center"/>
    </xf>
    <xf numFmtId="0" fontId="9" fillId="2" borderId="24" xfId="0" applyFont="1" applyFill="1" applyBorder="1" applyAlignment="1">
      <alignment horizontal="left" wrapText="1"/>
    </xf>
    <xf numFmtId="0" fontId="51" fillId="0" borderId="50" xfId="0" applyFont="1" applyBorder="1" applyAlignment="1">
      <alignment vertical="center" wrapText="1"/>
    </xf>
    <xf numFmtId="0" fontId="84" fillId="2" borderId="16" xfId="0" applyFont="1" applyFill="1" applyBorder="1" applyAlignment="1">
      <alignment horizontal="center"/>
    </xf>
    <xf numFmtId="0" fontId="84" fillId="2" borderId="50" xfId="0" applyFont="1" applyFill="1" applyBorder="1" applyAlignment="1">
      <alignment horizontal="center"/>
    </xf>
    <xf numFmtId="0" fontId="11" fillId="2" borderId="50" xfId="0" applyFont="1" applyFill="1" applyBorder="1" applyAlignment="1">
      <alignment horizontal="left" wrapText="1"/>
    </xf>
    <xf numFmtId="1" fontId="99" fillId="2" borderId="50" xfId="0" applyNumberFormat="1" applyFont="1" applyFill="1" applyBorder="1" applyAlignment="1">
      <alignment horizontal="center" vertical="center" wrapText="1"/>
    </xf>
    <xf numFmtId="1" fontId="99" fillId="2" borderId="50" xfId="10" applyNumberFormat="1" applyFont="1" applyFill="1" applyBorder="1" applyAlignment="1">
      <alignment horizontal="center" vertical="center" wrapText="1"/>
    </xf>
    <xf numFmtId="0" fontId="9" fillId="10" borderId="50" xfId="0" applyFont="1" applyFill="1" applyBorder="1" applyAlignment="1">
      <alignment horizontal="left"/>
    </xf>
    <xf numFmtId="0" fontId="11" fillId="10" borderId="50" xfId="0" applyFont="1" applyFill="1" applyBorder="1" applyAlignment="1">
      <alignment vertical="center" wrapText="1"/>
    </xf>
    <xf numFmtId="1" fontId="67" fillId="10" borderId="50" xfId="0" applyNumberFormat="1" applyFont="1" applyFill="1" applyBorder="1" applyAlignment="1">
      <alignment vertical="center" wrapText="1"/>
    </xf>
    <xf numFmtId="0" fontId="11" fillId="10" borderId="50" xfId="0" applyFont="1" applyFill="1" applyBorder="1" applyAlignment="1">
      <alignment horizontal="left" wrapText="1"/>
    </xf>
    <xf numFmtId="1" fontId="99" fillId="10" borderId="50" xfId="0" applyNumberFormat="1" applyFont="1" applyFill="1" applyBorder="1" applyAlignment="1">
      <alignment horizontal="center" vertical="center" wrapText="1"/>
    </xf>
    <xf numFmtId="0" fontId="9" fillId="10" borderId="50" xfId="0" applyFont="1" applyFill="1" applyBorder="1"/>
    <xf numFmtId="0" fontId="9" fillId="10" borderId="0" xfId="0" applyFont="1" applyFill="1"/>
    <xf numFmtId="0" fontId="84" fillId="10" borderId="16" xfId="0" applyFont="1" applyFill="1" applyBorder="1" applyAlignment="1">
      <alignment horizontal="center"/>
    </xf>
    <xf numFmtId="1" fontId="70" fillId="2" borderId="16" xfId="0" applyNumberFormat="1" applyFont="1" applyFill="1" applyBorder="1" applyAlignment="1">
      <alignment vertical="center" wrapText="1"/>
    </xf>
    <xf numFmtId="0" fontId="9" fillId="10" borderId="16" xfId="0" applyFont="1" applyFill="1" applyBorder="1" applyAlignment="1">
      <alignment horizontal="center"/>
    </xf>
    <xf numFmtId="1" fontId="70" fillId="2" borderId="18" xfId="0" applyNumberFormat="1" applyFont="1" applyFill="1" applyBorder="1" applyAlignment="1">
      <alignment vertical="center" wrapText="1"/>
    </xf>
    <xf numFmtId="1" fontId="0" fillId="2" borderId="0" xfId="0" applyNumberFormat="1" applyFill="1" applyBorder="1" applyAlignment="1">
      <alignment horizontal="center" vertical="center"/>
    </xf>
    <xf numFmtId="1" fontId="0" fillId="2" borderId="0" xfId="0" applyNumberFormat="1" applyFill="1" applyBorder="1" applyAlignment="1">
      <alignment horizontal="center"/>
    </xf>
    <xf numFmtId="166" fontId="0" fillId="2" borderId="0" xfId="0" applyNumberFormat="1" applyFill="1" applyBorder="1" applyAlignment="1">
      <alignment horizontal="center" vertical="center"/>
    </xf>
    <xf numFmtId="0" fontId="0" fillId="2" borderId="0" xfId="0" applyFill="1" applyBorder="1" applyAlignment="1">
      <alignment vertical="center"/>
    </xf>
    <xf numFmtId="0" fontId="0" fillId="2" borderId="0" xfId="0" applyFill="1" applyBorder="1" applyAlignment="1">
      <alignment horizontal="center"/>
    </xf>
    <xf numFmtId="0" fontId="64" fillId="2" borderId="0" xfId="0" applyFont="1" applyFill="1" applyBorder="1" applyAlignment="1" applyProtection="1">
      <alignment wrapText="1" readingOrder="1"/>
      <protection locked="0"/>
    </xf>
    <xf numFmtId="3" fontId="92" fillId="2" borderId="0" xfId="3" applyNumberFormat="1" applyFont="1" applyFill="1" applyBorder="1" applyAlignment="1">
      <alignment horizontal="left"/>
    </xf>
    <xf numFmtId="14" fontId="64" fillId="2" borderId="0" xfId="0" applyNumberFormat="1" applyFont="1" applyFill="1" applyBorder="1" applyAlignment="1" applyProtection="1">
      <alignment wrapText="1" readingOrder="1"/>
      <protection locked="0"/>
    </xf>
    <xf numFmtId="0" fontId="64" fillId="2" borderId="0" xfId="0" applyFont="1" applyFill="1" applyBorder="1" applyAlignment="1" applyProtection="1">
      <alignment vertical="top" wrapText="1" readingOrder="1"/>
      <protection locked="0"/>
    </xf>
    <xf numFmtId="0" fontId="115" fillId="2" borderId="50" xfId="0" applyFont="1" applyFill="1" applyBorder="1" applyAlignment="1">
      <alignment horizontal="center" vertical="center"/>
    </xf>
    <xf numFmtId="0" fontId="39" fillId="2" borderId="0" xfId="0" applyFont="1" applyFill="1"/>
    <xf numFmtId="0" fontId="2" fillId="2" borderId="4" xfId="0" applyFont="1" applyFill="1" applyBorder="1"/>
    <xf numFmtId="3" fontId="116" fillId="2" borderId="0" xfId="3" applyNumberFormat="1" applyFont="1" applyFill="1" applyBorder="1" applyAlignment="1">
      <alignment horizontal="left"/>
    </xf>
    <xf numFmtId="3" fontId="114" fillId="2" borderId="0" xfId="3" applyNumberFormat="1" applyFont="1" applyFill="1" applyBorder="1" applyAlignment="1">
      <alignment horizontal="left"/>
    </xf>
    <xf numFmtId="14" fontId="0" fillId="10" borderId="50" xfId="0" applyNumberFormat="1" applyFill="1" applyBorder="1" applyAlignment="1">
      <alignment horizontal="right"/>
    </xf>
    <xf numFmtId="0" fontId="50" fillId="2" borderId="50" xfId="0" applyFont="1" applyFill="1" applyBorder="1" applyAlignment="1" applyProtection="1">
      <alignment vertical="top" wrapText="1" readingOrder="1"/>
      <protection locked="0"/>
    </xf>
    <xf numFmtId="167" fontId="66" fillId="2" borderId="0" xfId="1" applyNumberFormat="1" applyFont="1" applyFill="1" applyBorder="1" applyAlignment="1">
      <alignment vertical="center"/>
    </xf>
    <xf numFmtId="167" fontId="12" fillId="2" borderId="0" xfId="1" applyNumberFormat="1" applyFont="1" applyFill="1" applyBorder="1" applyAlignment="1">
      <alignment vertical="center"/>
    </xf>
    <xf numFmtId="3" fontId="61" fillId="2" borderId="0" xfId="0" applyNumberFormat="1" applyFont="1" applyFill="1" applyBorder="1" applyAlignment="1">
      <alignment horizontal="center" vertical="center"/>
    </xf>
    <xf numFmtId="167" fontId="58" fillId="2" borderId="0" xfId="0" applyNumberFormat="1" applyFont="1" applyFill="1" applyBorder="1" applyAlignment="1">
      <alignment vertical="center"/>
    </xf>
    <xf numFmtId="167" fontId="90" fillId="2" borderId="0" xfId="1" applyNumberFormat="1" applyFont="1" applyFill="1" applyBorder="1" applyAlignment="1">
      <alignment vertical="center"/>
    </xf>
    <xf numFmtId="0" fontId="109" fillId="2" borderId="0" xfId="0" applyNumberFormat="1" applyFont="1" applyFill="1" applyBorder="1" applyAlignment="1" applyProtection="1">
      <alignment horizontal="center" vertical="center" wrapText="1" readingOrder="1"/>
      <protection locked="0"/>
    </xf>
    <xf numFmtId="0" fontId="0" fillId="7" borderId="50" xfId="0" applyFill="1" applyBorder="1"/>
    <xf numFmtId="14" fontId="0" fillId="7" borderId="50" xfId="0" applyNumberFormat="1" applyFill="1" applyBorder="1" applyAlignment="1">
      <alignment horizontal="right" vertical="center"/>
    </xf>
    <xf numFmtId="14" fontId="4" fillId="2" borderId="50" xfId="0" applyNumberFormat="1" applyFont="1" applyFill="1" applyBorder="1" applyAlignment="1">
      <alignment horizontal="right"/>
    </xf>
    <xf numFmtId="0" fontId="4" fillId="2" borderId="50" xfId="0" applyFont="1" applyFill="1" applyBorder="1"/>
    <xf numFmtId="0" fontId="4" fillId="2" borderId="50" xfId="0" applyFont="1" applyFill="1" applyBorder="1" applyAlignment="1">
      <alignment wrapText="1"/>
    </xf>
    <xf numFmtId="14" fontId="0" fillId="2" borderId="50" xfId="0" applyNumberFormat="1" applyFont="1" applyFill="1" applyBorder="1" applyAlignment="1">
      <alignment horizontal="left"/>
    </xf>
    <xf numFmtId="0" fontId="61" fillId="2" borderId="50" xfId="0" applyFont="1" applyFill="1" applyBorder="1" applyAlignment="1"/>
    <xf numFmtId="1" fontId="9" fillId="2" borderId="16" xfId="0" applyNumberFormat="1" applyFont="1" applyFill="1" applyBorder="1" applyAlignment="1">
      <alignment horizontal="center"/>
    </xf>
    <xf numFmtId="0" fontId="12" fillId="2" borderId="53" xfId="0" applyFont="1" applyFill="1" applyBorder="1" applyAlignment="1">
      <alignment horizontal="left"/>
    </xf>
    <xf numFmtId="0" fontId="51" fillId="2" borderId="50" xfId="0" applyFont="1" applyFill="1" applyBorder="1" applyAlignment="1">
      <alignment wrapText="1"/>
    </xf>
    <xf numFmtId="14" fontId="0" fillId="2" borderId="50" xfId="0" quotePrefix="1" applyNumberFormat="1" applyFill="1" applyBorder="1"/>
    <xf numFmtId="0" fontId="9" fillId="2" borderId="16" xfId="0" applyFont="1" applyFill="1" applyBorder="1" applyAlignment="1">
      <alignment horizontal="center"/>
    </xf>
    <xf numFmtId="14" fontId="51" fillId="2" borderId="50" xfId="0" applyNumberFormat="1" applyFont="1" applyFill="1" applyBorder="1" applyAlignment="1">
      <alignment horizontal="right"/>
    </xf>
    <xf numFmtId="0" fontId="51" fillId="2" borderId="50" xfId="0" applyFont="1" applyFill="1" applyBorder="1"/>
    <xf numFmtId="1" fontId="61" fillId="2" borderId="0" xfId="4" applyNumberFormat="1" applyFont="1" applyFill="1" applyBorder="1" applyAlignment="1">
      <alignment horizontal="left"/>
    </xf>
    <xf numFmtId="0" fontId="68" fillId="0" borderId="0" xfId="0" applyFont="1" applyBorder="1" applyAlignment="1">
      <alignment horizontal="left" wrapText="1"/>
    </xf>
    <xf numFmtId="0" fontId="68" fillId="0" borderId="0" xfId="0" applyFont="1" applyBorder="1" applyAlignment="1">
      <alignment horizontal="center" wrapText="1"/>
    </xf>
    <xf numFmtId="1" fontId="69" fillId="2" borderId="0" xfId="0" applyNumberFormat="1" applyFont="1" applyFill="1" applyBorder="1" applyAlignment="1"/>
    <xf numFmtId="1" fontId="68" fillId="0" borderId="0" xfId="0" applyNumberFormat="1" applyFont="1" applyBorder="1" applyAlignment="1">
      <alignment horizontal="center" wrapText="1"/>
    </xf>
    <xf numFmtId="1" fontId="61" fillId="2" borderId="0" xfId="0" quotePrefix="1" applyNumberFormat="1" applyFont="1" applyFill="1" applyBorder="1" applyAlignment="1">
      <alignment horizontal="left"/>
    </xf>
    <xf numFmtId="0" fontId="7" fillId="2" borderId="50" xfId="0" applyNumberFormat="1" applyFont="1" applyFill="1" applyBorder="1" applyAlignment="1" applyProtection="1">
      <alignment horizontal="center" vertical="top"/>
    </xf>
    <xf numFmtId="0" fontId="0" fillId="0" borderId="0" xfId="0" applyAlignment="1">
      <alignment horizontal="center"/>
    </xf>
    <xf numFmtId="0" fontId="11" fillId="10" borderId="50" xfId="0" quotePrefix="1" applyFont="1" applyFill="1" applyBorder="1" applyAlignment="1">
      <alignment vertical="center" wrapText="1"/>
    </xf>
    <xf numFmtId="14" fontId="7" fillId="2" borderId="50" xfId="0" applyNumberFormat="1" applyFont="1" applyFill="1" applyBorder="1" applyAlignment="1" applyProtection="1">
      <alignment horizontal="center" vertical="top"/>
    </xf>
    <xf numFmtId="0" fontId="0" fillId="0" borderId="0" xfId="0" applyFill="1"/>
    <xf numFmtId="0" fontId="8" fillId="2" borderId="0" xfId="3" applyFont="1" applyFill="1" applyBorder="1" applyAlignment="1">
      <alignment horizontal="left" vertical="center"/>
    </xf>
    <xf numFmtId="0" fontId="2" fillId="0" borderId="42" xfId="0" applyFont="1" applyBorder="1" applyAlignment="1">
      <alignment horizontal="left" vertical="center"/>
    </xf>
    <xf numFmtId="0" fontId="2" fillId="0" borderId="50" xfId="0" applyFont="1" applyBorder="1" applyAlignment="1">
      <alignment horizontal="left" vertical="center"/>
    </xf>
    <xf numFmtId="0" fontId="2" fillId="0" borderId="50" xfId="0" applyFont="1" applyBorder="1" applyAlignment="1">
      <alignment horizontal="center" vertical="center"/>
    </xf>
    <xf numFmtId="0" fontId="2" fillId="0" borderId="16" xfId="0" applyFont="1" applyBorder="1" applyAlignment="1">
      <alignment horizontal="left" vertical="center"/>
    </xf>
    <xf numFmtId="1" fontId="2" fillId="0" borderId="50" xfId="0" applyNumberFormat="1" applyFont="1" applyBorder="1" applyAlignment="1">
      <alignment horizontal="center"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14" fontId="0" fillId="2" borderId="50" xfId="0" applyNumberFormat="1" applyFill="1" applyBorder="1" applyAlignment="1">
      <alignment horizontal="left"/>
    </xf>
    <xf numFmtId="14" fontId="0" fillId="10" borderId="53" xfId="0" applyNumberFormat="1" applyFill="1" applyBorder="1" applyAlignment="1">
      <alignment horizontal="right"/>
    </xf>
    <xf numFmtId="0" fontId="9" fillId="10" borderId="53" xfId="0" applyFont="1" applyFill="1" applyBorder="1" applyAlignment="1">
      <alignment horizontal="left"/>
    </xf>
    <xf numFmtId="0" fontId="0" fillId="10" borderId="53" xfId="0" applyFill="1" applyBorder="1"/>
    <xf numFmtId="0" fontId="9" fillId="2" borderId="51" xfId="0" applyFont="1" applyFill="1" applyBorder="1" applyAlignment="1">
      <alignment horizontal="left" wrapText="1"/>
    </xf>
    <xf numFmtId="0" fontId="0" fillId="10" borderId="53" xfId="0" applyFill="1" applyBorder="1" applyAlignment="1">
      <alignment wrapText="1"/>
    </xf>
    <xf numFmtId="14" fontId="0" fillId="10" borderId="53" xfId="0" applyNumberFormat="1" applyFont="1" applyFill="1" applyBorder="1" applyAlignment="1">
      <alignment horizontal="left"/>
    </xf>
    <xf numFmtId="0" fontId="11" fillId="10" borderId="53" xfId="0" applyFont="1" applyFill="1" applyBorder="1" applyAlignment="1">
      <alignment vertical="center" wrapText="1"/>
    </xf>
    <xf numFmtId="0" fontId="11" fillId="10" borderId="53" xfId="0" quotePrefix="1" applyFont="1" applyFill="1" applyBorder="1" applyAlignment="1">
      <alignment vertical="center" wrapText="1"/>
    </xf>
    <xf numFmtId="1" fontId="67" fillId="10" borderId="53" xfId="0" applyNumberFormat="1" applyFont="1" applyFill="1" applyBorder="1" applyAlignment="1">
      <alignment vertical="center" wrapText="1"/>
    </xf>
    <xf numFmtId="0" fontId="11" fillId="10" borderId="53" xfId="0" applyFont="1" applyFill="1" applyBorder="1" applyAlignment="1">
      <alignment horizontal="left" wrapText="1"/>
    </xf>
    <xf numFmtId="3" fontId="83" fillId="2" borderId="53" xfId="0" applyNumberFormat="1" applyFont="1" applyFill="1" applyBorder="1" applyAlignment="1">
      <alignment vertical="center" wrapText="1"/>
    </xf>
    <xf numFmtId="0" fontId="9" fillId="10" borderId="48" xfId="0" applyFont="1" applyFill="1" applyBorder="1" applyAlignment="1">
      <alignment horizontal="center"/>
    </xf>
    <xf numFmtId="0" fontId="9" fillId="10" borderId="53" xfId="0" applyFont="1" applyFill="1" applyBorder="1"/>
    <xf numFmtId="0" fontId="84" fillId="10" borderId="53" xfId="0" applyFont="1" applyFill="1" applyBorder="1" applyAlignment="1">
      <alignment horizontal="center"/>
    </xf>
    <xf numFmtId="0" fontId="9" fillId="2" borderId="50" xfId="0" applyFont="1" applyFill="1" applyBorder="1" applyAlignment="1">
      <alignment horizontal="left" wrapText="1"/>
    </xf>
    <xf numFmtId="0" fontId="82" fillId="2" borderId="50" xfId="0" applyFont="1" applyFill="1" applyBorder="1"/>
    <xf numFmtId="0" fontId="9" fillId="2" borderId="50" xfId="0" applyFont="1" applyFill="1" applyBorder="1" applyAlignment="1">
      <alignment horizontal="center"/>
    </xf>
    <xf numFmtId="0" fontId="9" fillId="2" borderId="50" xfId="0" applyFont="1" applyFill="1" applyBorder="1" applyAlignment="1">
      <alignment horizontal="right"/>
    </xf>
    <xf numFmtId="14" fontId="0" fillId="7" borderId="50" xfId="0" applyNumberFormat="1" applyFill="1" applyBorder="1"/>
    <xf numFmtId="0" fontId="117" fillId="2" borderId="0" xfId="0" applyFont="1" applyFill="1" applyBorder="1"/>
    <xf numFmtId="0" fontId="97" fillId="2" borderId="50" xfId="0" applyFont="1" applyFill="1" applyBorder="1" applyAlignment="1">
      <alignment horizontal="left"/>
    </xf>
    <xf numFmtId="1" fontId="99" fillId="5" borderId="50" xfId="10" applyNumberFormat="1" applyFont="1" applyFill="1" applyBorder="1" applyAlignment="1">
      <alignment horizontal="center" vertical="center" wrapText="1"/>
    </xf>
    <xf numFmtId="1" fontId="118" fillId="2" borderId="50" xfId="10" applyNumberFormat="1" applyFont="1" applyFill="1" applyBorder="1" applyAlignment="1">
      <alignment horizontal="center" vertical="center" wrapText="1"/>
    </xf>
    <xf numFmtId="0" fontId="69" fillId="2" borderId="16" xfId="0" applyFont="1" applyFill="1" applyBorder="1" applyAlignment="1">
      <alignment vertical="center" wrapText="1"/>
    </xf>
    <xf numFmtId="0" fontId="69" fillId="10" borderId="16" xfId="0" applyFont="1" applyFill="1" applyBorder="1" applyAlignment="1">
      <alignment vertical="center" wrapText="1"/>
    </xf>
    <xf numFmtId="0" fontId="69" fillId="10" borderId="48" xfId="0" applyFont="1" applyFill="1" applyBorder="1" applyAlignment="1">
      <alignment vertical="center" wrapText="1"/>
    </xf>
    <xf numFmtId="1" fontId="70" fillId="2" borderId="50" xfId="0" applyNumberFormat="1" applyFont="1" applyFill="1" applyBorder="1" applyAlignment="1">
      <alignment vertical="center" wrapText="1"/>
    </xf>
    <xf numFmtId="1" fontId="67" fillId="2" borderId="50" xfId="1" applyNumberFormat="1" applyFont="1" applyFill="1" applyBorder="1" applyAlignment="1">
      <alignment vertical="center" wrapText="1"/>
    </xf>
    <xf numFmtId="0" fontId="39" fillId="2" borderId="50" xfId="0" applyFont="1" applyFill="1" applyBorder="1" applyAlignment="1">
      <alignment horizontal="center"/>
    </xf>
    <xf numFmtId="0" fontId="39" fillId="2" borderId="50" xfId="0" applyFont="1" applyFill="1" applyBorder="1" applyAlignment="1">
      <alignment horizontal="center" vertical="center"/>
    </xf>
    <xf numFmtId="0" fontId="62" fillId="2" borderId="50" xfId="0" applyFont="1" applyFill="1" applyBorder="1" applyAlignment="1" applyProtection="1">
      <alignment horizontal="center" vertical="center" readingOrder="1"/>
      <protection locked="0"/>
    </xf>
    <xf numFmtId="0" fontId="7" fillId="2" borderId="50" xfId="0" applyNumberFormat="1" applyFont="1" applyFill="1" applyBorder="1" applyAlignment="1" applyProtection="1">
      <alignment horizontal="center" vertical="top"/>
    </xf>
    <xf numFmtId="0" fontId="0" fillId="0" borderId="0" xfId="0" applyAlignment="1">
      <alignment horizontal="center"/>
    </xf>
    <xf numFmtId="0" fontId="73" fillId="2" borderId="16" xfId="0" applyFont="1" applyFill="1" applyBorder="1" applyAlignment="1">
      <alignment horizontal="center"/>
    </xf>
    <xf numFmtId="0" fontId="119" fillId="2" borderId="50" xfId="0" applyFont="1" applyFill="1" applyBorder="1" applyAlignment="1">
      <alignment horizontal="left" vertical="center"/>
    </xf>
    <xf numFmtId="0" fontId="7" fillId="2" borderId="50" xfId="0" applyNumberFormat="1" applyFont="1" applyFill="1" applyBorder="1" applyAlignment="1" applyProtection="1">
      <alignment horizontal="center" vertical="top"/>
    </xf>
    <xf numFmtId="0" fontId="33" fillId="2" borderId="50" xfId="0" applyFont="1" applyFill="1" applyBorder="1" applyAlignment="1">
      <alignment horizontal="center" vertical="center" wrapText="1"/>
    </xf>
    <xf numFmtId="1" fontId="83" fillId="2" borderId="50" xfId="0" applyNumberFormat="1" applyFont="1" applyFill="1" applyBorder="1" applyAlignment="1">
      <alignment vertical="center" wrapText="1"/>
    </xf>
    <xf numFmtId="0" fontId="111" fillId="0" borderId="0" xfId="0" applyFont="1" applyAlignment="1">
      <alignment horizontal="left"/>
    </xf>
    <xf numFmtId="0" fontId="61" fillId="5" borderId="50" xfId="0" applyFont="1" applyFill="1" applyBorder="1"/>
    <xf numFmtId="0" fontId="41" fillId="5" borderId="50" xfId="0" applyFont="1" applyFill="1" applyBorder="1" applyAlignment="1">
      <alignment horizontal="left"/>
    </xf>
    <xf numFmtId="14" fontId="73" fillId="2" borderId="50" xfId="0" applyNumberFormat="1" applyFont="1" applyFill="1" applyBorder="1" applyAlignment="1">
      <alignment horizontal="left" vertical="center"/>
    </xf>
    <xf numFmtId="0" fontId="105" fillId="2" borderId="50" xfId="0" applyFont="1" applyFill="1" applyBorder="1" applyAlignment="1">
      <alignment vertical="center"/>
    </xf>
    <xf numFmtId="0" fontId="73" fillId="2" borderId="50" xfId="0" applyFont="1" applyFill="1" applyBorder="1" applyAlignment="1">
      <alignment horizontal="right" vertical="center"/>
    </xf>
    <xf numFmtId="0" fontId="73" fillId="2" borderId="50" xfId="0" applyFont="1" applyFill="1" applyBorder="1" applyAlignment="1">
      <alignment vertical="center"/>
    </xf>
    <xf numFmtId="0" fontId="73" fillId="2" borderId="0" xfId="0" applyFont="1" applyFill="1" applyBorder="1" applyAlignment="1">
      <alignment vertical="center"/>
    </xf>
    <xf numFmtId="0" fontId="94" fillId="5" borderId="50" xfId="0" applyFont="1" applyFill="1" applyBorder="1" applyAlignment="1">
      <alignment vertical="center"/>
    </xf>
    <xf numFmtId="0" fontId="102" fillId="5" borderId="50" xfId="0" applyFont="1" applyFill="1" applyBorder="1" applyAlignment="1">
      <alignment vertical="center"/>
    </xf>
    <xf numFmtId="0" fontId="103" fillId="5" borderId="50" xfId="0" applyFont="1" applyFill="1" applyBorder="1" applyAlignment="1">
      <alignment vertical="center"/>
    </xf>
    <xf numFmtId="0" fontId="121" fillId="5" borderId="50" xfId="0" applyFont="1" applyFill="1" applyBorder="1" applyAlignment="1">
      <alignment horizontal="left" vertical="center"/>
    </xf>
    <xf numFmtId="0" fontId="32" fillId="5" borderId="50" xfId="0" applyFont="1" applyFill="1" applyBorder="1" applyAlignment="1">
      <alignment horizontal="left"/>
    </xf>
    <xf numFmtId="0" fontId="122" fillId="5" borderId="50" xfId="0" applyFont="1" applyFill="1" applyBorder="1" applyAlignment="1">
      <alignment horizontal="left"/>
    </xf>
    <xf numFmtId="0" fontId="10" fillId="5" borderId="50" xfId="0" applyFont="1" applyFill="1" applyBorder="1" applyAlignment="1">
      <alignment horizontal="left"/>
    </xf>
    <xf numFmtId="0" fontId="123" fillId="2" borderId="16" xfId="0" applyFont="1" applyFill="1" applyBorder="1" applyAlignment="1">
      <alignment horizontal="center"/>
    </xf>
    <xf numFmtId="15" fontId="73" fillId="2" borderId="50" xfId="0" applyNumberFormat="1" applyFont="1" applyFill="1" applyBorder="1" applyAlignment="1">
      <alignment horizontal="right" vertical="center" wrapText="1"/>
    </xf>
    <xf numFmtId="0" fontId="73" fillId="2" borderId="24" xfId="0" applyFont="1" applyFill="1" applyBorder="1" applyAlignment="1">
      <alignment horizontal="left" wrapText="1"/>
    </xf>
    <xf numFmtId="0" fontId="84" fillId="5" borderId="16" xfId="0" applyFont="1" applyFill="1" applyBorder="1" applyAlignment="1">
      <alignment horizontal="center"/>
    </xf>
    <xf numFmtId="14" fontId="73" fillId="2" borderId="50" xfId="0" applyNumberFormat="1" applyFont="1" applyFill="1" applyBorder="1" applyAlignment="1">
      <alignment horizontal="right"/>
    </xf>
    <xf numFmtId="0" fontId="123" fillId="2" borderId="50" xfId="0" applyFont="1" applyFill="1" applyBorder="1" applyAlignment="1">
      <alignment horizontal="center"/>
    </xf>
    <xf numFmtId="14" fontId="73" fillId="2" borderId="50" xfId="0" applyNumberFormat="1" applyFont="1" applyFill="1" applyBorder="1" applyAlignment="1">
      <alignment horizontal="right" vertical="center"/>
    </xf>
    <xf numFmtId="0" fontId="123" fillId="2" borderId="50" xfId="0" applyFont="1" applyFill="1" applyBorder="1" applyAlignment="1">
      <alignment horizontal="left"/>
    </xf>
    <xf numFmtId="0" fontId="124" fillId="2" borderId="50" xfId="0" applyFont="1" applyFill="1" applyBorder="1" applyAlignment="1">
      <alignment wrapText="1"/>
    </xf>
    <xf numFmtId="0" fontId="73" fillId="2" borderId="50" xfId="0" applyFont="1" applyFill="1" applyBorder="1" applyAlignment="1">
      <alignment horizontal="left" vertical="center"/>
    </xf>
    <xf numFmtId="0" fontId="124" fillId="2" borderId="50" xfId="0" applyFont="1" applyFill="1" applyBorder="1" applyAlignment="1">
      <alignment horizontal="center" vertical="center" wrapText="1"/>
    </xf>
    <xf numFmtId="14" fontId="125" fillId="2" borderId="50" xfId="0" applyNumberFormat="1" applyFont="1" applyFill="1" applyBorder="1" applyAlignment="1">
      <alignment horizontal="right"/>
    </xf>
    <xf numFmtId="0" fontId="124" fillId="2" borderId="50" xfId="0" applyFont="1" applyFill="1" applyBorder="1"/>
    <xf numFmtId="0" fontId="124" fillId="2" borderId="50" xfId="0" applyFont="1" applyFill="1" applyBorder="1" applyAlignment="1">
      <alignment vertical="center" wrapText="1"/>
    </xf>
    <xf numFmtId="0" fontId="73" fillId="2" borderId="50" xfId="0" applyFont="1" applyFill="1" applyBorder="1" applyAlignment="1">
      <alignment horizontal="left" vertical="center" wrapText="1"/>
    </xf>
    <xf numFmtId="0" fontId="87" fillId="5" borderId="50" xfId="0" applyFont="1" applyFill="1" applyBorder="1" applyAlignment="1">
      <alignment horizontal="left" wrapText="1" indent="1"/>
    </xf>
    <xf numFmtId="14" fontId="9" fillId="2" borderId="50" xfId="0" applyNumberFormat="1" applyFont="1" applyFill="1" applyBorder="1" applyAlignment="1">
      <alignment horizontal="right"/>
    </xf>
    <xf numFmtId="0" fontId="64" fillId="2" borderId="50" xfId="0" applyFont="1" applyFill="1" applyBorder="1" applyAlignment="1">
      <alignment wrapText="1"/>
    </xf>
    <xf numFmtId="14" fontId="9" fillId="2" borderId="50" xfId="0" applyNumberFormat="1" applyFont="1" applyFill="1" applyBorder="1" applyAlignment="1">
      <alignment horizontal="left"/>
    </xf>
    <xf numFmtId="0" fontId="84" fillId="5" borderId="50" xfId="0" applyFont="1" applyFill="1" applyBorder="1" applyAlignment="1">
      <alignment horizontal="left"/>
    </xf>
    <xf numFmtId="0" fontId="99" fillId="2" borderId="50" xfId="0" applyFont="1" applyFill="1" applyBorder="1" applyAlignment="1">
      <alignment vertical="center" wrapText="1"/>
    </xf>
    <xf numFmtId="0" fontId="32" fillId="2" borderId="50" xfId="0" applyFont="1" applyFill="1" applyBorder="1" applyAlignment="1">
      <alignment vertical="center" wrapText="1"/>
    </xf>
    <xf numFmtId="0" fontId="34" fillId="2" borderId="50" xfId="0" applyFont="1" applyFill="1" applyBorder="1" applyAlignment="1">
      <alignment vertical="center" wrapText="1"/>
    </xf>
    <xf numFmtId="0" fontId="113" fillId="2" borderId="50" xfId="0" applyFont="1" applyFill="1" applyBorder="1" applyAlignment="1">
      <alignment vertical="center" wrapText="1"/>
    </xf>
    <xf numFmtId="0" fontId="55" fillId="2" borderId="50" xfId="0" applyFont="1" applyFill="1" applyBorder="1" applyAlignment="1">
      <alignment vertical="center" wrapText="1"/>
    </xf>
    <xf numFmtId="0" fontId="123" fillId="11" borderId="50" xfId="0" applyFont="1" applyFill="1" applyBorder="1" applyAlignment="1">
      <alignment horizontal="left"/>
    </xf>
    <xf numFmtId="0" fontId="75" fillId="2" borderId="53" xfId="0" applyFont="1" applyFill="1" applyBorder="1" applyAlignment="1">
      <alignment horizontal="left"/>
    </xf>
    <xf numFmtId="0" fontId="126" fillId="2" borderId="50" xfId="0" applyFont="1" applyFill="1" applyBorder="1" applyAlignment="1">
      <alignment vertical="center" wrapText="1"/>
    </xf>
    <xf numFmtId="0" fontId="75" fillId="2" borderId="50" xfId="0" applyFont="1" applyFill="1" applyBorder="1" applyAlignment="1">
      <alignment vertical="center" wrapText="1"/>
    </xf>
    <xf numFmtId="14" fontId="125" fillId="2" borderId="50" xfId="0" applyNumberFormat="1" applyFont="1" applyFill="1" applyBorder="1" applyAlignment="1">
      <alignment vertical="center" wrapText="1"/>
    </xf>
    <xf numFmtId="0" fontId="105" fillId="2" borderId="50" xfId="0" applyFont="1" applyFill="1" applyBorder="1" applyAlignment="1">
      <alignment vertical="center" wrapText="1"/>
    </xf>
    <xf numFmtId="14" fontId="73" fillId="2" borderId="50" xfId="0" applyNumberFormat="1" applyFont="1" applyFill="1" applyBorder="1" applyAlignment="1">
      <alignment vertical="center" wrapText="1"/>
    </xf>
    <xf numFmtId="0" fontId="127" fillId="2" borderId="50" xfId="0" applyFont="1" applyFill="1" applyBorder="1" applyAlignment="1">
      <alignment vertical="center" wrapText="1"/>
    </xf>
    <xf numFmtId="14" fontId="75" fillId="2" borderId="50" xfId="0" applyNumberFormat="1" applyFont="1" applyFill="1" applyBorder="1" applyAlignment="1">
      <alignment vertical="center" wrapText="1"/>
    </xf>
    <xf numFmtId="1" fontId="79" fillId="2" borderId="50" xfId="0" applyNumberFormat="1" applyFont="1" applyFill="1" applyBorder="1" applyAlignment="1">
      <alignment vertical="center" wrapText="1"/>
    </xf>
    <xf numFmtId="1" fontId="76" fillId="2" borderId="50" xfId="0" applyNumberFormat="1" applyFont="1" applyFill="1" applyBorder="1" applyAlignment="1">
      <alignment vertical="center" wrapText="1"/>
    </xf>
    <xf numFmtId="1" fontId="75" fillId="2" borderId="50" xfId="1" applyNumberFormat="1" applyFont="1" applyFill="1" applyBorder="1" applyAlignment="1">
      <alignment vertical="center" wrapText="1"/>
    </xf>
    <xf numFmtId="0" fontId="128" fillId="2" borderId="16" xfId="0" applyFont="1" applyFill="1" applyBorder="1" applyAlignment="1">
      <alignment vertical="center" wrapText="1"/>
    </xf>
    <xf numFmtId="1" fontId="75" fillId="2" borderId="50" xfId="0" applyNumberFormat="1" applyFont="1" applyFill="1" applyBorder="1" applyAlignment="1">
      <alignment vertical="center" wrapText="1"/>
    </xf>
    <xf numFmtId="1" fontId="118" fillId="2" borderId="50" xfId="0" applyNumberFormat="1" applyFont="1" applyFill="1" applyBorder="1" applyAlignment="1">
      <alignment vertical="center" wrapText="1"/>
    </xf>
    <xf numFmtId="1" fontId="129" fillId="2" borderId="50" xfId="0" applyNumberFormat="1" applyFont="1" applyFill="1" applyBorder="1" applyAlignment="1">
      <alignment vertical="center" wrapText="1"/>
    </xf>
    <xf numFmtId="1" fontId="76" fillId="2" borderId="50" xfId="1" applyNumberFormat="1" applyFont="1" applyFill="1" applyBorder="1" applyAlignment="1">
      <alignment vertical="center" wrapText="1"/>
    </xf>
    <xf numFmtId="3" fontId="130" fillId="2" borderId="50" xfId="0" applyNumberFormat="1" applyFont="1" applyFill="1" applyBorder="1" applyAlignment="1">
      <alignment vertical="center" wrapText="1"/>
    </xf>
    <xf numFmtId="1" fontId="129" fillId="2" borderId="16" xfId="0" applyNumberFormat="1" applyFont="1" applyFill="1" applyBorder="1" applyAlignment="1">
      <alignment vertical="center" wrapText="1"/>
    </xf>
    <xf numFmtId="1" fontId="129" fillId="2" borderId="18" xfId="0" applyNumberFormat="1" applyFont="1" applyFill="1" applyBorder="1" applyAlignment="1">
      <alignment vertical="center" wrapText="1"/>
    </xf>
    <xf numFmtId="1" fontId="118" fillId="2" borderId="50" xfId="1" applyNumberFormat="1" applyFont="1" applyFill="1" applyBorder="1" applyAlignment="1">
      <alignment vertical="center" wrapText="1"/>
    </xf>
    <xf numFmtId="1" fontId="130" fillId="2" borderId="50" xfId="0" applyNumberFormat="1" applyFont="1" applyFill="1" applyBorder="1" applyAlignment="1">
      <alignment vertical="center" wrapText="1"/>
    </xf>
    <xf numFmtId="0" fontId="131" fillId="2" borderId="50" xfId="0" quotePrefix="1" applyFont="1" applyFill="1" applyBorder="1" applyAlignment="1">
      <alignment vertical="center" wrapText="1"/>
    </xf>
    <xf numFmtId="14" fontId="9" fillId="2" borderId="50" xfId="0" applyNumberFormat="1" applyFont="1" applyFill="1" applyBorder="1" applyAlignment="1">
      <alignment horizontal="right" vertical="center"/>
    </xf>
    <xf numFmtId="0" fontId="12" fillId="2" borderId="50" xfId="0" applyFont="1" applyFill="1" applyBorder="1" applyAlignment="1"/>
    <xf numFmtId="14" fontId="9" fillId="10" borderId="50" xfId="0" applyNumberFormat="1" applyFont="1" applyFill="1" applyBorder="1" applyAlignment="1">
      <alignment horizontal="right"/>
    </xf>
    <xf numFmtId="0" fontId="9" fillId="10" borderId="50" xfId="0" applyFont="1" applyFill="1" applyBorder="1" applyAlignment="1">
      <alignment wrapText="1"/>
    </xf>
    <xf numFmtId="0" fontId="9" fillId="10" borderId="50" xfId="0" applyFont="1" applyFill="1" applyBorder="1" applyAlignment="1">
      <alignment vertical="center" wrapText="1"/>
    </xf>
    <xf numFmtId="14" fontId="9" fillId="10" borderId="50" xfId="0" applyNumberFormat="1" applyFont="1" applyFill="1" applyBorder="1" applyAlignment="1">
      <alignment horizontal="left"/>
    </xf>
    <xf numFmtId="0" fontId="12" fillId="10" borderId="50" xfId="0" applyFont="1" applyFill="1" applyBorder="1" applyAlignment="1"/>
    <xf numFmtId="0" fontId="79" fillId="2" borderId="50" xfId="0" applyFont="1" applyFill="1" applyBorder="1" applyAlignment="1">
      <alignment vertical="center" wrapText="1"/>
    </xf>
    <xf numFmtId="14" fontId="73" fillId="2" borderId="50" xfId="0" quotePrefix="1" applyNumberFormat="1" applyFont="1" applyFill="1" applyBorder="1"/>
    <xf numFmtId="0" fontId="79" fillId="2" borderId="50" xfId="0" quotePrefix="1" applyFont="1" applyFill="1" applyBorder="1" applyAlignment="1">
      <alignment vertical="center" wrapText="1"/>
    </xf>
    <xf numFmtId="0" fontId="79" fillId="2" borderId="50" xfId="0" applyFont="1" applyFill="1" applyBorder="1" applyAlignment="1">
      <alignment horizontal="left" wrapText="1"/>
    </xf>
    <xf numFmtId="0" fontId="75" fillId="2" borderId="50" xfId="0" applyFont="1" applyFill="1" applyBorder="1" applyAlignment="1"/>
    <xf numFmtId="1" fontId="118" fillId="5" borderId="50" xfId="10" applyNumberFormat="1" applyFont="1" applyFill="1" applyBorder="1" applyAlignment="1">
      <alignment horizontal="center" vertical="center" wrapText="1"/>
    </xf>
    <xf numFmtId="1" fontId="118" fillId="2" borderId="50" xfId="0" applyNumberFormat="1" applyFont="1" applyFill="1" applyBorder="1" applyAlignment="1">
      <alignment horizontal="center" vertical="center" wrapText="1"/>
    </xf>
    <xf numFmtId="0" fontId="73" fillId="2" borderId="0" xfId="0" applyFont="1" applyFill="1"/>
    <xf numFmtId="0" fontId="61" fillId="10" borderId="53" xfId="0" applyFont="1" applyFill="1" applyBorder="1" applyAlignment="1"/>
    <xf numFmtId="1" fontId="99" fillId="10" borderId="53" xfId="0" applyNumberFormat="1" applyFont="1" applyFill="1" applyBorder="1" applyAlignment="1">
      <alignment horizontal="center" vertical="center" wrapText="1"/>
    </xf>
    <xf numFmtId="1" fontId="83" fillId="2" borderId="53" xfId="0" applyNumberFormat="1" applyFont="1" applyFill="1" applyBorder="1" applyAlignment="1">
      <alignment vertical="center" wrapText="1"/>
    </xf>
    <xf numFmtId="0" fontId="69" fillId="10" borderId="50" xfId="0" applyFont="1" applyFill="1" applyBorder="1" applyAlignment="1">
      <alignment vertical="center" wrapText="1"/>
    </xf>
    <xf numFmtId="14" fontId="72" fillId="11" borderId="50" xfId="0" applyNumberFormat="1" applyFont="1" applyFill="1" applyBorder="1" applyAlignment="1">
      <alignment horizontal="left"/>
    </xf>
    <xf numFmtId="1" fontId="99" fillId="11" borderId="50" xfId="10" applyNumberFormat="1" applyFont="1" applyFill="1" applyBorder="1" applyAlignment="1">
      <alignment horizontal="center" vertical="center" wrapText="1"/>
    </xf>
    <xf numFmtId="0" fontId="100" fillId="7" borderId="50" xfId="0" applyFont="1" applyFill="1" applyBorder="1" applyAlignment="1">
      <alignment horizontal="center" vertical="center"/>
    </xf>
    <xf numFmtId="0" fontId="32" fillId="2" borderId="50" xfId="0" applyFont="1" applyFill="1" applyBorder="1" applyAlignment="1">
      <alignment horizontal="left"/>
    </xf>
    <xf numFmtId="0" fontId="32" fillId="2" borderId="53" xfId="0" applyFont="1" applyFill="1" applyBorder="1" applyAlignment="1">
      <alignment horizontal="left"/>
    </xf>
    <xf numFmtId="0" fontId="73" fillId="0" borderId="0" xfId="0" applyFont="1"/>
    <xf numFmtId="0" fontId="7" fillId="2" borderId="50" xfId="0" applyNumberFormat="1" applyFont="1" applyFill="1" applyBorder="1" applyAlignment="1" applyProtection="1">
      <alignment horizontal="center" vertical="top"/>
    </xf>
    <xf numFmtId="0" fontId="35" fillId="2" borderId="22" xfId="0" applyFont="1" applyFill="1" applyBorder="1" applyAlignment="1">
      <alignment horizontal="left" vertical="top" wrapText="1"/>
    </xf>
    <xf numFmtId="0" fontId="31" fillId="2" borderId="22" xfId="0" applyFont="1" applyFill="1" applyBorder="1" applyAlignment="1">
      <alignment horizontal="center" vertical="top" wrapText="1"/>
    </xf>
    <xf numFmtId="0" fontId="7" fillId="0" borderId="0" xfId="0" applyFont="1" applyAlignment="1">
      <alignment horizontal="left"/>
    </xf>
    <xf numFmtId="1" fontId="57" fillId="2" borderId="50" xfId="0" applyNumberFormat="1" applyFont="1" applyFill="1" applyBorder="1" applyAlignment="1">
      <alignment vertical="top"/>
    </xf>
    <xf numFmtId="0" fontId="132" fillId="2" borderId="0" xfId="0" applyFont="1" applyFill="1" applyAlignment="1">
      <alignment horizontal="center"/>
    </xf>
    <xf numFmtId="0" fontId="132" fillId="2" borderId="0" xfId="0" applyFont="1" applyFill="1"/>
    <xf numFmtId="0" fontId="132" fillId="2" borderId="0" xfId="0" applyFont="1" applyFill="1" applyAlignment="1">
      <alignment horizontal="right"/>
    </xf>
    <xf numFmtId="0" fontId="132" fillId="2" borderId="0" xfId="0" applyFont="1" applyFill="1" applyAlignment="1">
      <alignment horizontal="left"/>
    </xf>
    <xf numFmtId="0" fontId="132" fillId="2" borderId="0" xfId="0" applyFont="1" applyFill="1" applyAlignment="1">
      <alignment horizontal="left" wrapText="1"/>
    </xf>
    <xf numFmtId="0" fontId="132" fillId="2" borderId="0" xfId="0" applyFont="1" applyFill="1" applyAlignment="1">
      <alignment wrapText="1"/>
    </xf>
    <xf numFmtId="0" fontId="132" fillId="2" borderId="0" xfId="0" applyFont="1" applyFill="1" applyAlignment="1">
      <alignment horizontal="center" vertical="center"/>
    </xf>
    <xf numFmtId="1" fontId="132" fillId="2" borderId="0" xfId="0" applyNumberFormat="1" applyFont="1" applyFill="1"/>
    <xf numFmtId="1" fontId="132" fillId="2" borderId="3" xfId="0" applyNumberFormat="1" applyFont="1" applyFill="1" applyBorder="1"/>
    <xf numFmtId="1" fontId="57" fillId="2" borderId="50" xfId="0" applyNumberFormat="1" applyFont="1" applyFill="1" applyBorder="1"/>
    <xf numFmtId="1" fontId="57" fillId="2" borderId="50" xfId="10" applyNumberFormat="1" applyFont="1" applyFill="1" applyBorder="1" applyAlignment="1">
      <alignment horizontal="center" vertical="center" wrapText="1"/>
    </xf>
    <xf numFmtId="1" fontId="57" fillId="2" borderId="3" xfId="0" applyNumberFormat="1" applyFont="1" applyFill="1" applyBorder="1" applyAlignment="1">
      <alignment vertical="center" wrapText="1"/>
    </xf>
    <xf numFmtId="0" fontId="133" fillId="0" borderId="50" xfId="0" applyFont="1" applyBorder="1" applyAlignment="1" applyProtection="1">
      <alignment horizontal="left" textRotation="90" wrapText="1" readingOrder="1"/>
      <protection locked="0"/>
    </xf>
    <xf numFmtId="0" fontId="29" fillId="0" borderId="50" xfId="0" applyFont="1" applyBorder="1" applyAlignment="1">
      <alignment vertical="center" wrapText="1"/>
    </xf>
    <xf numFmtId="0" fontId="28" fillId="0" borderId="50" xfId="0" applyFont="1" applyBorder="1" applyAlignment="1">
      <alignment wrapText="1"/>
    </xf>
    <xf numFmtId="0" fontId="29" fillId="0" borderId="0" xfId="0" applyFont="1" applyAlignment="1">
      <alignment vertical="center" wrapText="1"/>
    </xf>
    <xf numFmtId="0" fontId="2" fillId="0" borderId="0" xfId="0" applyFont="1" applyAlignment="1"/>
    <xf numFmtId="0" fontId="19" fillId="2" borderId="43" xfId="0" applyNumberFormat="1" applyFont="1" applyFill="1" applyBorder="1" applyAlignment="1" applyProtection="1">
      <alignment horizontal="center" vertical="center"/>
    </xf>
    <xf numFmtId="0" fontId="19" fillId="2" borderId="7" xfId="0" applyNumberFormat="1" applyFont="1" applyFill="1" applyBorder="1" applyAlignment="1" applyProtection="1">
      <alignment horizontal="center" vertical="center"/>
    </xf>
    <xf numFmtId="0" fontId="19" fillId="2" borderId="1" xfId="0" applyNumberFormat="1" applyFont="1" applyFill="1" applyBorder="1" applyAlignment="1" applyProtection="1">
      <alignment horizontal="center" vertical="center"/>
    </xf>
    <xf numFmtId="0" fontId="19" fillId="2" borderId="41" xfId="0" applyNumberFormat="1" applyFont="1" applyFill="1" applyBorder="1" applyAlignment="1" applyProtection="1">
      <alignment horizontal="center" vertical="center"/>
    </xf>
    <xf numFmtId="0" fontId="19" fillId="2" borderId="42" xfId="0" applyNumberFormat="1" applyFont="1" applyFill="1" applyBorder="1" applyAlignment="1" applyProtection="1">
      <alignment horizontal="center" vertical="center"/>
    </xf>
    <xf numFmtId="0" fontId="19" fillId="2" borderId="50" xfId="0" applyNumberFormat="1" applyFont="1" applyFill="1" applyBorder="1" applyAlignment="1" applyProtection="1">
      <alignment horizontal="center" vertical="center"/>
    </xf>
    <xf numFmtId="0" fontId="19" fillId="2" borderId="16" xfId="0" applyNumberFormat="1" applyFont="1" applyFill="1" applyBorder="1" applyAlignment="1" applyProtection="1">
      <alignment horizontal="center" vertical="center"/>
    </xf>
    <xf numFmtId="0" fontId="19" fillId="2" borderId="36" xfId="0" applyNumberFormat="1" applyFont="1" applyFill="1" applyBorder="1" applyAlignment="1" applyProtection="1">
      <alignment horizontal="center" vertical="center"/>
    </xf>
    <xf numFmtId="0" fontId="7" fillId="2" borderId="42" xfId="0" applyNumberFormat="1" applyFont="1" applyFill="1" applyBorder="1" applyAlignment="1" applyProtection="1">
      <alignment horizontal="center" vertical="top"/>
    </xf>
    <xf numFmtId="0" fontId="7" fillId="2" borderId="50" xfId="0" applyNumberFormat="1" applyFont="1" applyFill="1" applyBorder="1" applyAlignment="1" applyProtection="1">
      <alignment horizontal="center" vertical="top"/>
    </xf>
    <xf numFmtId="0" fontId="7" fillId="2" borderId="16" xfId="0" applyNumberFormat="1" applyFont="1" applyFill="1" applyBorder="1" applyAlignment="1" applyProtection="1">
      <alignment horizontal="center" vertical="top"/>
    </xf>
    <xf numFmtId="0" fontId="7" fillId="2" borderId="36" xfId="0" applyNumberFormat="1" applyFont="1" applyFill="1" applyBorder="1" applyAlignment="1" applyProtection="1">
      <alignment horizontal="center" vertical="top"/>
    </xf>
    <xf numFmtId="0" fontId="7" fillId="2" borderId="50" xfId="0" applyNumberFormat="1" applyFont="1" applyFill="1" applyBorder="1" applyAlignment="1" applyProtection="1">
      <alignment horizontal="left" vertical="top" wrapText="1"/>
    </xf>
    <xf numFmtId="0" fontId="7" fillId="2" borderId="53" xfId="0" applyNumberFormat="1" applyFont="1" applyFill="1" applyBorder="1" applyAlignment="1" applyProtection="1">
      <alignment horizontal="left" vertical="top" wrapText="1"/>
    </xf>
    <xf numFmtId="0" fontId="7" fillId="2" borderId="50" xfId="0" applyNumberFormat="1" applyFont="1" applyFill="1" applyBorder="1" applyAlignment="1" applyProtection="1">
      <alignment horizontal="left" vertical="top"/>
    </xf>
    <xf numFmtId="0" fontId="7" fillId="2" borderId="16" xfId="0" applyNumberFormat="1" applyFont="1" applyFill="1" applyBorder="1" applyAlignment="1" applyProtection="1">
      <alignment horizontal="left" vertical="top"/>
    </xf>
    <xf numFmtId="0" fontId="8" fillId="2" borderId="3" xfId="0" applyNumberFormat="1" applyFont="1" applyFill="1" applyBorder="1" applyAlignment="1" applyProtection="1">
      <alignment horizontal="center" vertical="top" wrapText="1"/>
    </xf>
    <xf numFmtId="0" fontId="8" fillId="2" borderId="50" xfId="0" applyNumberFormat="1" applyFont="1" applyFill="1" applyBorder="1" applyAlignment="1" applyProtection="1">
      <alignment horizontal="center" vertical="top" wrapText="1"/>
    </xf>
    <xf numFmtId="0" fontId="8" fillId="2" borderId="3" xfId="0" applyNumberFormat="1" applyFont="1" applyFill="1" applyBorder="1" applyAlignment="1" applyProtection="1">
      <alignment horizontal="left" vertical="top" wrapText="1"/>
    </xf>
    <xf numFmtId="0" fontId="8" fillId="2" borderId="50" xfId="0" applyNumberFormat="1" applyFont="1" applyFill="1" applyBorder="1" applyAlignment="1" applyProtection="1">
      <alignment horizontal="left" vertical="top" wrapText="1"/>
    </xf>
    <xf numFmtId="0" fontId="8" fillId="2" borderId="6" xfId="0" applyNumberFormat="1" applyFont="1" applyFill="1" applyBorder="1" applyAlignment="1" applyProtection="1">
      <alignment horizontal="center" vertical="top" wrapText="1"/>
    </xf>
    <xf numFmtId="0" fontId="83" fillId="2" borderId="50" xfId="0" applyFont="1" applyFill="1" applyBorder="1" applyAlignment="1">
      <alignment horizontal="right" vertical="center" wrapText="1"/>
    </xf>
    <xf numFmtId="0" fontId="83" fillId="2" borderId="50" xfId="0" applyFont="1" applyFill="1" applyBorder="1" applyAlignment="1">
      <alignment horizontal="left" vertical="center" wrapText="1"/>
    </xf>
    <xf numFmtId="0" fontId="33" fillId="2" borderId="50" xfId="0" applyFont="1" applyFill="1" applyBorder="1" applyAlignment="1">
      <alignment horizontal="center" vertical="center" wrapText="1"/>
    </xf>
    <xf numFmtId="0" fontId="33" fillId="2" borderId="0" xfId="0" applyFont="1" applyFill="1" applyAlignment="1">
      <alignment horizontal="left"/>
    </xf>
    <xf numFmtId="0" fontId="85" fillId="2" borderId="50" xfId="0" applyFont="1" applyFill="1" applyBorder="1" applyAlignment="1">
      <alignment horizontal="center" vertical="center" wrapText="1"/>
    </xf>
    <xf numFmtId="0" fontId="33" fillId="2" borderId="50" xfId="0" applyFont="1" applyFill="1" applyBorder="1" applyAlignment="1">
      <alignment horizontal="center" vertical="center"/>
    </xf>
    <xf numFmtId="0" fontId="32" fillId="2" borderId="50" xfId="0" applyFont="1" applyFill="1" applyBorder="1" applyAlignment="1">
      <alignment horizontal="center" vertical="center" wrapText="1"/>
    </xf>
    <xf numFmtId="0" fontId="33" fillId="2" borderId="0" xfId="0" applyFont="1" applyFill="1" applyAlignment="1">
      <alignment horizontal="right" vertical="center" wrapText="1"/>
    </xf>
    <xf numFmtId="0" fontId="33" fillId="2" borderId="0" xfId="0" applyFont="1" applyFill="1" applyAlignment="1">
      <alignment horizontal="center" wrapText="1"/>
    </xf>
    <xf numFmtId="0" fontId="85" fillId="2" borderId="53" xfId="0" applyFont="1" applyFill="1" applyBorder="1" applyAlignment="1">
      <alignment horizontal="center" vertical="center" wrapText="1"/>
    </xf>
    <xf numFmtId="0" fontId="85" fillId="2" borderId="3" xfId="0" applyFont="1" applyFill="1" applyBorder="1" applyAlignment="1">
      <alignment horizontal="center" vertical="center" wrapText="1"/>
    </xf>
    <xf numFmtId="0" fontId="84" fillId="2" borderId="50" xfId="0" applyFont="1" applyFill="1" applyBorder="1" applyAlignment="1">
      <alignment horizontal="center" vertical="center" wrapText="1"/>
    </xf>
    <xf numFmtId="0" fontId="7" fillId="2" borderId="0" xfId="0" applyFont="1" applyFill="1" applyAlignment="1">
      <alignment horizontal="left" wrapText="1"/>
    </xf>
    <xf numFmtId="0" fontId="8" fillId="2" borderId="0" xfId="0" applyFont="1" applyFill="1" applyAlignment="1">
      <alignment horizontal="left" wrapText="1"/>
    </xf>
    <xf numFmtId="0" fontId="3" fillId="2" borderId="0" xfId="0" applyFont="1" applyFill="1" applyAlignment="1">
      <alignment horizontal="left" wrapText="1"/>
    </xf>
    <xf numFmtId="17" fontId="32" fillId="2" borderId="17" xfId="0" quotePrefix="1" applyNumberFormat="1" applyFont="1" applyFill="1" applyBorder="1" applyAlignment="1">
      <alignment horizontal="center" wrapText="1"/>
    </xf>
    <xf numFmtId="17" fontId="32" fillId="2" borderId="0" xfId="0" applyNumberFormat="1" applyFont="1" applyFill="1" applyBorder="1" applyAlignment="1">
      <alignment horizontal="center" wrapText="1"/>
    </xf>
    <xf numFmtId="165" fontId="33" fillId="2" borderId="23" xfId="0" applyNumberFormat="1" applyFont="1" applyFill="1" applyBorder="1" applyAlignment="1">
      <alignment horizontal="left" vertical="center" wrapText="1"/>
    </xf>
    <xf numFmtId="0" fontId="38" fillId="2" borderId="20" xfId="0" applyFont="1" applyFill="1" applyBorder="1" applyAlignment="1">
      <alignment horizontal="center" vertical="top" wrapText="1"/>
    </xf>
    <xf numFmtId="0" fontId="38" fillId="2" borderId="9" xfId="0" applyFont="1" applyFill="1" applyBorder="1" applyAlignment="1">
      <alignment horizontal="center" vertical="top" wrapText="1"/>
    </xf>
    <xf numFmtId="0" fontId="30" fillId="2" borderId="22" xfId="0" applyFont="1" applyFill="1" applyBorder="1" applyAlignment="1">
      <alignment horizontal="center" vertical="top" wrapText="1"/>
    </xf>
    <xf numFmtId="0" fontId="0" fillId="2" borderId="22" xfId="0" applyFill="1" applyBorder="1" applyAlignment="1">
      <alignment horizontal="center" vertical="top" wrapText="1"/>
    </xf>
    <xf numFmtId="0" fontId="31" fillId="2" borderId="22" xfId="0" applyFont="1" applyFill="1" applyBorder="1" applyAlignment="1">
      <alignment horizontal="center" vertical="top" wrapText="1"/>
    </xf>
    <xf numFmtId="0" fontId="36" fillId="2" borderId="19" xfId="0" applyFont="1" applyFill="1" applyBorder="1" applyAlignment="1">
      <alignment horizontal="center" vertical="top" wrapText="1"/>
    </xf>
    <xf numFmtId="0" fontId="35" fillId="2" borderId="22" xfId="0" applyFont="1" applyFill="1" applyBorder="1" applyAlignment="1">
      <alignment horizontal="left" vertical="top" wrapText="1"/>
    </xf>
    <xf numFmtId="0" fontId="0" fillId="2" borderId="22" xfId="0" applyFill="1" applyBorder="1" applyAlignment="1">
      <alignment horizontal="justify" vertical="top" wrapText="1"/>
    </xf>
    <xf numFmtId="0" fontId="8" fillId="2" borderId="0" xfId="3" applyFont="1" applyFill="1" applyBorder="1" applyAlignment="1">
      <alignment horizontal="left" vertical="center"/>
    </xf>
    <xf numFmtId="0" fontId="62" fillId="2" borderId="4" xfId="0" applyFont="1" applyFill="1" applyBorder="1" applyAlignment="1" applyProtection="1">
      <alignment horizontal="center" vertical="top" wrapText="1" readingOrder="1"/>
      <protection locked="0"/>
    </xf>
    <xf numFmtId="0" fontId="62" fillId="2" borderId="50" xfId="0" applyFont="1" applyFill="1" applyBorder="1" applyAlignment="1" applyProtection="1">
      <alignment horizontal="center" vertical="top" wrapText="1" readingOrder="1"/>
      <protection locked="0"/>
    </xf>
    <xf numFmtId="0" fontId="63" fillId="2" borderId="4" xfId="0" applyFont="1" applyFill="1" applyBorder="1" applyAlignment="1" applyProtection="1">
      <alignment horizontal="center" vertical="center" wrapText="1" readingOrder="1"/>
      <protection locked="0"/>
    </xf>
    <xf numFmtId="0" fontId="63" fillId="2" borderId="50" xfId="0" applyFont="1" applyFill="1" applyBorder="1" applyAlignment="1" applyProtection="1">
      <alignment horizontal="center" vertical="center" wrapText="1" readingOrder="1"/>
      <protection locked="0"/>
    </xf>
    <xf numFmtId="0" fontId="62" fillId="2" borderId="4" xfId="0" applyFont="1" applyFill="1" applyBorder="1" applyAlignment="1" applyProtection="1">
      <alignment horizontal="center" vertical="center" wrapText="1" readingOrder="1"/>
      <protection locked="0"/>
    </xf>
    <xf numFmtId="0" fontId="62" fillId="2" borderId="50" xfId="0" applyFont="1" applyFill="1" applyBorder="1" applyAlignment="1" applyProtection="1">
      <alignment horizontal="center" vertical="center" wrapText="1" readingOrder="1"/>
      <protection locked="0"/>
    </xf>
    <xf numFmtId="0" fontId="62" fillId="2" borderId="4" xfId="0" applyFont="1" applyFill="1" applyBorder="1" applyAlignment="1" applyProtection="1">
      <alignment horizontal="center" vertical="center" readingOrder="1"/>
      <protection locked="0"/>
    </xf>
    <xf numFmtId="0" fontId="62" fillId="2" borderId="46" xfId="0" applyFont="1" applyFill="1" applyBorder="1" applyAlignment="1" applyProtection="1">
      <alignment horizontal="center" vertical="top" wrapText="1" readingOrder="1"/>
      <protection locked="0"/>
    </xf>
    <xf numFmtId="0" fontId="62" fillId="2" borderId="24" xfId="0" applyFont="1" applyFill="1" applyBorder="1" applyAlignment="1" applyProtection="1">
      <alignment horizontal="center" vertical="top" wrapText="1" readingOrder="1"/>
      <protection locked="0"/>
    </xf>
    <xf numFmtId="0" fontId="62" fillId="2" borderId="18" xfId="0" applyFont="1" applyFill="1" applyBorder="1" applyAlignment="1" applyProtection="1">
      <alignment horizontal="center" vertical="top" wrapText="1" readingOrder="1"/>
      <protection locked="0"/>
    </xf>
    <xf numFmtId="0" fontId="8" fillId="2" borderId="45" xfId="0" applyNumberFormat="1" applyFont="1" applyFill="1" applyBorder="1" applyAlignment="1" applyProtection="1">
      <alignment horizontal="center" vertical="center" wrapText="1"/>
    </xf>
    <xf numFmtId="0" fontId="8" fillId="2" borderId="15" xfId="0" applyNumberFormat="1" applyFont="1" applyFill="1" applyBorder="1" applyAlignment="1" applyProtection="1">
      <alignment horizontal="center" vertical="center" wrapText="1"/>
    </xf>
    <xf numFmtId="0" fontId="8" fillId="2" borderId="25" xfId="3" applyFont="1" applyFill="1" applyBorder="1" applyAlignment="1">
      <alignment horizontal="left" vertical="center"/>
    </xf>
    <xf numFmtId="0" fontId="19" fillId="2" borderId="20" xfId="0" applyNumberFormat="1" applyFont="1" applyFill="1" applyBorder="1" applyAlignment="1" applyProtection="1">
      <alignment horizontal="center" vertical="center"/>
    </xf>
    <xf numFmtId="0" fontId="19" fillId="2" borderId="9" xfId="0" applyNumberFormat="1" applyFont="1" applyFill="1" applyBorder="1" applyAlignment="1" applyProtection="1">
      <alignment horizontal="center" vertical="center"/>
    </xf>
    <xf numFmtId="0" fontId="19" fillId="2" borderId="27" xfId="0" applyNumberFormat="1" applyFont="1" applyFill="1" applyBorder="1" applyAlignment="1" applyProtection="1">
      <alignment horizontal="center" vertical="center"/>
    </xf>
    <xf numFmtId="0" fontId="19" fillId="2" borderId="25" xfId="0" applyNumberFormat="1" applyFont="1" applyFill="1" applyBorder="1" applyAlignment="1" applyProtection="1">
      <alignment horizontal="center" vertical="center"/>
    </xf>
    <xf numFmtId="0" fontId="7" fillId="2" borderId="10" xfId="0" applyNumberFormat="1" applyFont="1" applyFill="1" applyBorder="1" applyAlignment="1" applyProtection="1">
      <alignment horizontal="center" vertical="top"/>
    </xf>
    <xf numFmtId="0" fontId="7" fillId="2" borderId="11" xfId="0" applyNumberFormat="1" applyFont="1" applyFill="1" applyBorder="1" applyAlignment="1" applyProtection="1">
      <alignment horizontal="center" vertical="top"/>
    </xf>
    <xf numFmtId="0" fontId="7" fillId="2" borderId="20" xfId="0" applyNumberFormat="1" applyFont="1" applyFill="1" applyBorder="1" applyAlignment="1" applyProtection="1">
      <alignment horizontal="center" vertical="top" wrapText="1"/>
    </xf>
    <xf numFmtId="0" fontId="7" fillId="2" borderId="9"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center" vertical="top" wrapText="1"/>
    </xf>
    <xf numFmtId="0" fontId="8" fillId="2" borderId="2" xfId="0" applyNumberFormat="1" applyFont="1" applyFill="1" applyBorder="1" applyAlignment="1" applyProtection="1">
      <alignment horizontal="center" vertical="top" wrapText="1"/>
    </xf>
    <xf numFmtId="0" fontId="8" fillId="2" borderId="42" xfId="0" applyNumberFormat="1" applyFont="1" applyFill="1" applyBorder="1" applyAlignment="1" applyProtection="1">
      <alignment horizontal="center" vertical="top" wrapText="1"/>
    </xf>
    <xf numFmtId="0" fontId="8" fillId="2" borderId="48" xfId="0" applyNumberFormat="1" applyFont="1" applyFill="1" applyBorder="1" applyAlignment="1" applyProtection="1">
      <alignment horizontal="center" vertical="top" wrapText="1"/>
    </xf>
    <xf numFmtId="0" fontId="8" fillId="2" borderId="49" xfId="0" applyNumberFormat="1" applyFont="1" applyFill="1" applyBorder="1" applyAlignment="1" applyProtection="1">
      <alignment horizontal="center" vertical="top" wrapText="1"/>
    </xf>
    <xf numFmtId="0" fontId="8" fillId="2" borderId="17" xfId="0" applyNumberFormat="1" applyFont="1" applyFill="1" applyBorder="1" applyAlignment="1" applyProtection="1">
      <alignment horizontal="center" vertical="top" wrapText="1"/>
    </xf>
    <xf numFmtId="0" fontId="8" fillId="2" borderId="31" xfId="0" applyNumberFormat="1" applyFont="1" applyFill="1" applyBorder="1" applyAlignment="1" applyProtection="1">
      <alignment horizontal="center" vertical="top" wrapText="1"/>
    </xf>
    <xf numFmtId="0" fontId="8" fillId="2" borderId="8" xfId="0" applyNumberFormat="1" applyFont="1" applyFill="1" applyBorder="1" applyAlignment="1" applyProtection="1">
      <alignment horizontal="center" vertical="top" wrapText="1"/>
    </xf>
    <xf numFmtId="0" fontId="8" fillId="2" borderId="13"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top" wrapText="1"/>
    </xf>
    <xf numFmtId="0" fontId="8" fillId="2" borderId="22" xfId="0" applyNumberFormat="1" applyFont="1" applyFill="1" applyBorder="1" applyAlignment="1" applyProtection="1">
      <alignment horizontal="center" vertical="top" wrapText="1"/>
    </xf>
    <xf numFmtId="0" fontId="8" fillId="2" borderId="23" xfId="0" applyNumberFormat="1" applyFont="1" applyFill="1" applyBorder="1" applyAlignment="1" applyProtection="1">
      <alignment horizontal="center" vertical="top" wrapText="1"/>
    </xf>
    <xf numFmtId="0" fontId="8" fillId="2" borderId="27" xfId="0" applyNumberFormat="1" applyFont="1" applyFill="1" applyBorder="1" applyAlignment="1" applyProtection="1">
      <alignment horizontal="center" vertical="top" wrapText="1"/>
    </xf>
    <xf numFmtId="0" fontId="8" fillId="2" borderId="25" xfId="0" applyNumberFormat="1" applyFont="1" applyFill="1" applyBorder="1" applyAlignment="1" applyProtection="1">
      <alignment horizontal="center" vertical="top" wrapText="1"/>
    </xf>
    <xf numFmtId="0" fontId="8" fillId="2" borderId="26" xfId="0" applyNumberFormat="1" applyFont="1" applyFill="1" applyBorder="1" applyAlignment="1" applyProtection="1">
      <alignment horizontal="center" vertical="top" wrapText="1"/>
    </xf>
    <xf numFmtId="14" fontId="7" fillId="2" borderId="0" xfId="0" applyNumberFormat="1" applyFont="1" applyFill="1" applyBorder="1" applyAlignment="1" applyProtection="1">
      <alignment horizontal="center" vertical="top" wrapText="1"/>
    </xf>
    <xf numFmtId="0" fontId="7" fillId="2" borderId="9" xfId="0" applyNumberFormat="1" applyFont="1" applyFill="1" applyBorder="1" applyAlignment="1" applyProtection="1">
      <alignment horizontal="left" vertical="center" wrapText="1"/>
    </xf>
    <xf numFmtId="0" fontId="62" fillId="0" borderId="55" xfId="0" applyFont="1" applyBorder="1" applyAlignment="1" applyProtection="1">
      <alignment horizontal="center" vertical="top" wrapText="1" readingOrder="1"/>
      <protection locked="0"/>
    </xf>
    <xf numFmtId="0" fontId="62" fillId="0" borderId="56" xfId="0" applyFont="1" applyBorder="1" applyAlignment="1" applyProtection="1">
      <alignment horizontal="center" vertical="top" wrapText="1" readingOrder="1"/>
      <protection locked="0"/>
    </xf>
    <xf numFmtId="0" fontId="62" fillId="0" borderId="57" xfId="0" applyFont="1" applyBorder="1" applyAlignment="1" applyProtection="1">
      <alignment horizontal="center" vertical="top" wrapText="1" readingOrder="1"/>
      <protection locked="0"/>
    </xf>
    <xf numFmtId="0" fontId="8" fillId="0" borderId="0" xfId="3" applyFont="1" applyBorder="1" applyAlignment="1">
      <alignment horizontal="left" vertical="center"/>
    </xf>
    <xf numFmtId="0" fontId="63" fillId="0" borderId="46" xfId="0" applyFont="1" applyBorder="1" applyAlignment="1" applyProtection="1">
      <alignment horizontal="center" vertical="top" wrapText="1" readingOrder="1"/>
      <protection locked="0"/>
    </xf>
    <xf numFmtId="0" fontId="63" fillId="0" borderId="24" xfId="0" applyFont="1" applyBorder="1" applyAlignment="1" applyProtection="1">
      <alignment horizontal="center" vertical="top" wrapText="1" readingOrder="1"/>
      <protection locked="0"/>
    </xf>
    <xf numFmtId="0" fontId="63" fillId="0" borderId="39" xfId="0" applyFont="1" applyBorder="1" applyAlignment="1" applyProtection="1">
      <alignment horizontal="center" vertical="top" wrapText="1" readingOrder="1"/>
      <protection locked="0"/>
    </xf>
    <xf numFmtId="0" fontId="62" fillId="0" borderId="46" xfId="0" applyFont="1" applyBorder="1" applyAlignment="1" applyProtection="1">
      <alignment horizontal="center" vertical="top" wrapText="1" readingOrder="1"/>
      <protection locked="0"/>
    </xf>
    <xf numFmtId="0" fontId="62" fillId="0" borderId="24" xfId="0" applyFont="1" applyBorder="1" applyAlignment="1" applyProtection="1">
      <alignment horizontal="center" vertical="top" wrapText="1" readingOrder="1"/>
      <protection locked="0"/>
    </xf>
    <xf numFmtId="0" fontId="62" fillId="0" borderId="39" xfId="0" applyFont="1" applyBorder="1" applyAlignment="1" applyProtection="1">
      <alignment horizontal="center" vertical="top" wrapText="1" readingOrder="1"/>
      <protection locked="0"/>
    </xf>
    <xf numFmtId="0" fontId="62" fillId="0" borderId="54" xfId="0" applyFont="1" applyBorder="1" applyAlignment="1" applyProtection="1">
      <alignment horizontal="center" vertical="top" wrapText="1" readingOrder="1"/>
      <protection locked="0"/>
    </xf>
    <xf numFmtId="0" fontId="62" fillId="0" borderId="51" xfId="0" applyFont="1" applyBorder="1" applyAlignment="1" applyProtection="1">
      <alignment horizontal="center" vertical="top" wrapText="1" readingOrder="1"/>
      <protection locked="0"/>
    </xf>
    <xf numFmtId="0" fontId="62" fillId="0" borderId="40" xfId="0" applyFont="1" applyBorder="1" applyAlignment="1" applyProtection="1">
      <alignment horizontal="center" vertical="top" wrapText="1" readingOrder="1"/>
      <protection locked="0"/>
    </xf>
    <xf numFmtId="0" fontId="2" fillId="0" borderId="42" xfId="0" applyFont="1" applyBorder="1" applyAlignment="1">
      <alignment horizontal="left" vertical="center"/>
    </xf>
    <xf numFmtId="0" fontId="2" fillId="0" borderId="50" xfId="0" applyFont="1" applyBorder="1" applyAlignment="1">
      <alignment horizontal="left" vertical="center"/>
    </xf>
    <xf numFmtId="0" fontId="2" fillId="0" borderId="50" xfId="0" applyFont="1" applyBorder="1" applyAlignment="1">
      <alignment horizontal="center" vertical="center"/>
    </xf>
    <xf numFmtId="0" fontId="2" fillId="0" borderId="36" xfId="0" applyFont="1" applyBorder="1" applyAlignment="1">
      <alignment horizontal="center" vertical="center"/>
    </xf>
    <xf numFmtId="0" fontId="2" fillId="0" borderId="42" xfId="0" applyFont="1" applyBorder="1" applyAlignment="1">
      <alignment horizontal="left" vertical="center" wrapText="1"/>
    </xf>
    <xf numFmtId="0" fontId="2" fillId="0" borderId="50" xfId="0" applyFont="1" applyBorder="1" applyAlignment="1">
      <alignment horizontal="left" vertical="center" wrapText="1"/>
    </xf>
    <xf numFmtId="1"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1" fontId="2" fillId="0" borderId="50" xfId="0" applyNumberFormat="1" applyFont="1" applyBorder="1" applyAlignment="1">
      <alignment horizontal="center" vertical="center"/>
    </xf>
    <xf numFmtId="14" fontId="2" fillId="0" borderId="53" xfId="0" applyNumberFormat="1" applyFont="1" applyBorder="1" applyAlignment="1">
      <alignment horizontal="center" vertical="center"/>
    </xf>
    <xf numFmtId="0" fontId="2" fillId="0" borderId="53" xfId="0" applyFont="1" applyBorder="1" applyAlignment="1">
      <alignment horizontal="center" vertical="center"/>
    </xf>
    <xf numFmtId="0" fontId="2" fillId="0" borderId="37" xfId="0" applyFont="1" applyBorder="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17" fontId="2" fillId="0" borderId="50" xfId="0" applyNumberFormat="1" applyFont="1" applyBorder="1" applyAlignment="1">
      <alignment horizontal="center" vertical="center"/>
    </xf>
    <xf numFmtId="0" fontId="21" fillId="0" borderId="22" xfId="0" applyFont="1" applyBorder="1" applyAlignment="1">
      <alignment horizontal="center"/>
    </xf>
    <xf numFmtId="0" fontId="21" fillId="0" borderId="0" xfId="0" applyFont="1" applyBorder="1" applyAlignment="1">
      <alignment horizontal="center"/>
    </xf>
    <xf numFmtId="0" fontId="21" fillId="0" borderId="23" xfId="0" applyFont="1" applyBorder="1" applyAlignment="1">
      <alignment horizontal="center"/>
    </xf>
    <xf numFmtId="0" fontId="4" fillId="0" borderId="27" xfId="0" applyFont="1" applyBorder="1" applyAlignment="1">
      <alignment horizontal="center"/>
    </xf>
    <xf numFmtId="0" fontId="4" fillId="0" borderId="25" xfId="0" applyFont="1" applyBorder="1" applyAlignment="1">
      <alignment horizontal="center"/>
    </xf>
    <xf numFmtId="0" fontId="4" fillId="0" borderId="26" xfId="0" applyFont="1" applyBorder="1" applyAlignment="1">
      <alignment horizontal="center"/>
    </xf>
    <xf numFmtId="0" fontId="2" fillId="0" borderId="22" xfId="0" applyFont="1" applyBorder="1" applyAlignment="1">
      <alignment horizontal="left" vertical="top"/>
    </xf>
    <xf numFmtId="0" fontId="2" fillId="0" borderId="0" xfId="0" applyFont="1" applyBorder="1" applyAlignment="1">
      <alignment horizontal="left" vertical="top"/>
    </xf>
    <xf numFmtId="0" fontId="2" fillId="0" borderId="0" xfId="0" applyFont="1" applyBorder="1" applyAlignment="1">
      <alignment horizontal="left" vertical="center" wrapText="1"/>
    </xf>
    <xf numFmtId="0" fontId="2" fillId="0" borderId="23" xfId="0" applyFont="1" applyBorder="1" applyAlignment="1">
      <alignment horizontal="left" vertical="center" wrapText="1"/>
    </xf>
    <xf numFmtId="0" fontId="2" fillId="0" borderId="22" xfId="0" applyFont="1" applyBorder="1" applyAlignment="1">
      <alignment horizontal="left"/>
    </xf>
    <xf numFmtId="0" fontId="2" fillId="0" borderId="0" xfId="0" applyFont="1" applyBorder="1" applyAlignment="1">
      <alignment horizontal="left"/>
    </xf>
    <xf numFmtId="0" fontId="2" fillId="0" borderId="23" xfId="0" applyFont="1" applyBorder="1" applyAlignment="1">
      <alignment horizontal="left"/>
    </xf>
    <xf numFmtId="0" fontId="2" fillId="0" borderId="16" xfId="0" applyFont="1" applyBorder="1" applyAlignment="1">
      <alignment horizontal="left" vertical="center"/>
    </xf>
    <xf numFmtId="1" fontId="2" fillId="0" borderId="20" xfId="0" applyNumberFormat="1" applyFont="1" applyBorder="1" applyAlignment="1">
      <alignment horizontal="center" vertical="center"/>
    </xf>
    <xf numFmtId="0" fontId="2" fillId="0" borderId="9" xfId="0" applyFont="1" applyBorder="1" applyAlignment="1">
      <alignment horizontal="center" vertical="center"/>
    </xf>
    <xf numFmtId="0" fontId="2" fillId="0" borderId="21" xfId="0" applyFont="1" applyBorder="1" applyAlignment="1">
      <alignment horizontal="center" vertical="center"/>
    </xf>
    <xf numFmtId="0" fontId="49" fillId="0" borderId="27" xfId="0" applyFont="1" applyBorder="1" applyAlignment="1">
      <alignment horizontal="center" vertical="center" wrapText="1"/>
    </xf>
    <xf numFmtId="0" fontId="49" fillId="0" borderId="25" xfId="0" applyFont="1" applyBorder="1" applyAlignment="1">
      <alignment horizontal="center" vertical="center" wrapText="1"/>
    </xf>
    <xf numFmtId="0" fontId="49" fillId="0" borderId="26" xfId="0" applyFont="1" applyBorder="1" applyAlignment="1">
      <alignment horizontal="center" vertical="center" wrapText="1"/>
    </xf>
    <xf numFmtId="0" fontId="20" fillId="0" borderId="20" xfId="0" applyFont="1" applyBorder="1" applyAlignment="1">
      <alignment horizontal="center"/>
    </xf>
    <xf numFmtId="0" fontId="0" fillId="0" borderId="9" xfId="0" applyBorder="1" applyAlignment="1">
      <alignment horizontal="center"/>
    </xf>
    <xf numFmtId="0" fontId="0" fillId="0" borderId="21" xfId="0" applyBorder="1" applyAlignment="1">
      <alignment horizontal="center"/>
    </xf>
    <xf numFmtId="0" fontId="120" fillId="0" borderId="27" xfId="0" applyFont="1" applyBorder="1" applyAlignment="1">
      <alignment horizontal="center" vertical="center" wrapText="1"/>
    </xf>
    <xf numFmtId="0" fontId="120" fillId="0" borderId="25" xfId="0" applyFont="1" applyBorder="1" applyAlignment="1">
      <alignment horizontal="center" vertical="center" wrapText="1"/>
    </xf>
    <xf numFmtId="0" fontId="120" fillId="0" borderId="26" xfId="0" applyFont="1" applyBorder="1" applyAlignment="1">
      <alignment horizontal="center" vertical="center" wrapText="1"/>
    </xf>
    <xf numFmtId="0" fontId="0" fillId="0" borderId="25" xfId="0" applyBorder="1" applyAlignment="1">
      <alignment horizontal="center"/>
    </xf>
    <xf numFmtId="0" fontId="0" fillId="0" borderId="26" xfId="0" applyBorder="1" applyAlignment="1">
      <alignment horizontal="center"/>
    </xf>
    <xf numFmtId="0" fontId="7" fillId="0" borderId="0" xfId="0" applyFont="1" applyAlignment="1">
      <alignment horizontal="left"/>
    </xf>
    <xf numFmtId="0" fontId="7" fillId="0" borderId="22" xfId="0" applyFont="1" applyBorder="1" applyAlignment="1">
      <alignment horizontal="left" vertical="center" wrapText="1"/>
    </xf>
    <xf numFmtId="0" fontId="7" fillId="0" borderId="0" xfId="0" applyFont="1" applyAlignment="1">
      <alignment horizontal="left" vertical="center" wrapText="1"/>
    </xf>
    <xf numFmtId="0" fontId="7" fillId="0" borderId="22" xfId="0" applyFont="1" applyBorder="1" applyAlignment="1">
      <alignment horizontal="left"/>
    </xf>
    <xf numFmtId="0" fontId="13" fillId="0" borderId="20" xfId="0" applyFont="1" applyBorder="1" applyAlignment="1">
      <alignment horizontal="center"/>
    </xf>
    <xf numFmtId="0" fontId="13" fillId="0" borderId="9" xfId="0" applyFont="1" applyBorder="1" applyAlignment="1">
      <alignment horizontal="center"/>
    </xf>
    <xf numFmtId="0" fontId="13" fillId="0" borderId="21" xfId="0" applyFont="1" applyBorder="1" applyAlignment="1">
      <alignment horizontal="center"/>
    </xf>
    <xf numFmtId="0" fontId="52" fillId="0" borderId="27" xfId="0" applyFont="1" applyBorder="1" applyAlignment="1">
      <alignment horizontal="center"/>
    </xf>
    <xf numFmtId="0" fontId="52" fillId="0" borderId="25" xfId="0" applyFont="1" applyBorder="1" applyAlignment="1">
      <alignment horizontal="center"/>
    </xf>
    <xf numFmtId="0" fontId="52" fillId="0" borderId="26" xfId="0" applyFont="1" applyBorder="1" applyAlignment="1">
      <alignment horizontal="center"/>
    </xf>
    <xf numFmtId="0" fontId="110" fillId="0" borderId="20" xfId="0" applyFont="1" applyBorder="1" applyAlignment="1">
      <alignment horizontal="center"/>
    </xf>
    <xf numFmtId="0" fontId="110" fillId="0" borderId="9" xfId="0" applyFont="1" applyBorder="1" applyAlignment="1">
      <alignment horizontal="center"/>
    </xf>
    <xf numFmtId="0" fontId="110" fillId="0" borderId="21" xfId="0" applyFont="1" applyBorder="1" applyAlignment="1">
      <alignment horizontal="center"/>
    </xf>
    <xf numFmtId="0" fontId="111" fillId="0" borderId="0" xfId="0" applyFont="1" applyAlignment="1">
      <alignment horizontal="left"/>
    </xf>
    <xf numFmtId="0" fontId="111" fillId="0" borderId="0" xfId="0" applyFont="1" applyAlignment="1">
      <alignment horizontal="left" vertical="center" wrapText="1"/>
    </xf>
    <xf numFmtId="0" fontId="111" fillId="0" borderId="22" xfId="0" applyFont="1" applyBorder="1" applyAlignment="1">
      <alignment horizontal="left" vertical="center" wrapText="1"/>
    </xf>
    <xf numFmtId="0" fontId="111" fillId="0" borderId="22" xfId="0" applyFont="1" applyBorder="1" applyAlignment="1">
      <alignment horizontal="left"/>
    </xf>
    <xf numFmtId="0" fontId="0" fillId="0" borderId="25" xfId="0" applyFont="1" applyBorder="1" applyAlignment="1">
      <alignment horizontal="center"/>
    </xf>
    <xf numFmtId="0" fontId="0" fillId="0" borderId="26" xfId="0" applyFont="1" applyBorder="1" applyAlignment="1">
      <alignment horizontal="center"/>
    </xf>
    <xf numFmtId="0" fontId="7" fillId="2" borderId="22"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22" xfId="0" applyFont="1" applyFill="1" applyBorder="1" applyAlignment="1">
      <alignment horizontal="left"/>
    </xf>
    <xf numFmtId="0" fontId="7" fillId="2" borderId="0" xfId="0" applyFont="1" applyFill="1" applyAlignment="1">
      <alignment horizontal="left"/>
    </xf>
    <xf numFmtId="0" fontId="13" fillId="2" borderId="20" xfId="0" applyFont="1" applyFill="1" applyBorder="1" applyAlignment="1">
      <alignment horizontal="center"/>
    </xf>
    <xf numFmtId="0" fontId="13" fillId="2" borderId="9" xfId="0" applyFont="1" applyFill="1" applyBorder="1" applyAlignment="1">
      <alignment horizontal="center"/>
    </xf>
    <xf numFmtId="0" fontId="13" fillId="2" borderId="21" xfId="0" applyFont="1" applyFill="1" applyBorder="1" applyAlignment="1">
      <alignment horizontal="center"/>
    </xf>
    <xf numFmtId="0" fontId="52" fillId="2" borderId="27" xfId="0" applyFont="1" applyFill="1" applyBorder="1" applyAlignment="1">
      <alignment horizontal="center"/>
    </xf>
    <xf numFmtId="0" fontId="52" fillId="2" borderId="25" xfId="0" applyFont="1" applyFill="1" applyBorder="1" applyAlignment="1">
      <alignment horizontal="center"/>
    </xf>
    <xf numFmtId="0" fontId="52" fillId="2" borderId="26" xfId="0" applyFont="1" applyFill="1" applyBorder="1" applyAlignment="1">
      <alignment horizontal="center"/>
    </xf>
    <xf numFmtId="0" fontId="0" fillId="2" borderId="25" xfId="0" applyFill="1" applyBorder="1" applyAlignment="1">
      <alignment horizontal="center"/>
    </xf>
    <xf numFmtId="0" fontId="0" fillId="2" borderId="26" xfId="0" applyFill="1" applyBorder="1" applyAlignment="1">
      <alignment horizontal="center"/>
    </xf>
    <xf numFmtId="0" fontId="28" fillId="0" borderId="50" xfId="0" applyFont="1" applyBorder="1" applyAlignment="1">
      <alignment horizontal="center" wrapText="1"/>
    </xf>
    <xf numFmtId="0" fontId="23" fillId="0" borderId="0" xfId="0" applyFont="1" applyAlignment="1">
      <alignment horizontal="center"/>
    </xf>
    <xf numFmtId="0" fontId="24" fillId="0" borderId="0" xfId="0" applyFont="1" applyAlignment="1">
      <alignment horizontal="center"/>
    </xf>
    <xf numFmtId="0" fontId="28" fillId="0" borderId="32"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50" xfId="0" applyFont="1" applyBorder="1" applyAlignment="1">
      <alignment horizontal="center"/>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center"/>
    </xf>
    <xf numFmtId="0" fontId="19" fillId="0" borderId="0" xfId="0" applyFont="1" applyAlignment="1">
      <alignment horizontal="center"/>
    </xf>
    <xf numFmtId="0" fontId="8" fillId="0" borderId="0" xfId="0" applyFont="1" applyAlignment="1">
      <alignment horizontal="left"/>
    </xf>
    <xf numFmtId="0" fontId="0" fillId="0" borderId="43" xfId="0" applyBorder="1" applyAlignment="1">
      <alignment horizontal="center" vertical="center" wrapText="1"/>
    </xf>
    <xf numFmtId="0" fontId="0" fillId="0" borderId="42"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41" xfId="0" applyBorder="1" applyAlignment="1">
      <alignment horizontal="center" vertical="center" wrapText="1"/>
    </xf>
    <xf numFmtId="0" fontId="0" fillId="0" borderId="36" xfId="0" applyBorder="1" applyAlignment="1">
      <alignment horizontal="center" vertical="center" wrapText="1"/>
    </xf>
    <xf numFmtId="0" fontId="58" fillId="0" borderId="4" xfId="0" applyFont="1" applyBorder="1" applyAlignment="1">
      <alignment horizontal="center"/>
    </xf>
    <xf numFmtId="0" fontId="0" fillId="0" borderId="4" xfId="0" applyBorder="1" applyAlignment="1">
      <alignment horizontal="center"/>
    </xf>
    <xf numFmtId="0" fontId="8" fillId="3" borderId="4" xfId="0" applyFont="1" applyFill="1" applyBorder="1" applyAlignment="1">
      <alignment horizontal="left" vertical="top" wrapText="1"/>
    </xf>
    <xf numFmtId="0" fontId="8" fillId="3" borderId="4" xfId="0" applyFont="1" applyFill="1" applyBorder="1" applyAlignment="1">
      <alignment horizontal="center" vertical="top" wrapText="1"/>
    </xf>
    <xf numFmtId="0" fontId="13" fillId="0" borderId="4" xfId="0" applyFont="1" applyBorder="1" applyAlignment="1">
      <alignment horizontal="center" vertical="center"/>
    </xf>
    <xf numFmtId="0" fontId="7" fillId="0" borderId="4" xfId="0" applyFont="1" applyBorder="1" applyAlignment="1">
      <alignment horizontal="center" vertical="top"/>
    </xf>
    <xf numFmtId="0" fontId="7" fillId="0" borderId="50" xfId="0" applyFont="1" applyBorder="1" applyAlignment="1">
      <alignment horizontal="right" vertical="top"/>
    </xf>
    <xf numFmtId="0" fontId="7" fillId="0" borderId="10" xfId="0" applyFont="1" applyBorder="1" applyAlignment="1">
      <alignment horizontal="right" vertical="top"/>
    </xf>
    <xf numFmtId="0" fontId="7" fillId="0" borderId="11" xfId="0" applyFont="1" applyBorder="1" applyAlignment="1">
      <alignment horizontal="right" vertical="top"/>
    </xf>
    <xf numFmtId="0" fontId="7" fillId="0" borderId="12" xfId="0" applyFont="1" applyBorder="1" applyAlignment="1">
      <alignment horizontal="right" vertical="top"/>
    </xf>
    <xf numFmtId="0" fontId="8" fillId="3" borderId="14" xfId="0" applyFont="1" applyFill="1" applyBorder="1" applyAlignment="1">
      <alignment horizontal="center" vertical="top" wrapText="1"/>
    </xf>
    <xf numFmtId="0" fontId="8" fillId="3" borderId="15" xfId="0" applyFont="1" applyFill="1" applyBorder="1" applyAlignment="1">
      <alignment horizontal="center" vertical="top" wrapText="1"/>
    </xf>
    <xf numFmtId="0" fontId="17" fillId="0" borderId="4" xfId="0" applyFont="1" applyBorder="1" applyAlignment="1">
      <alignment horizontal="center" vertical="center"/>
    </xf>
    <xf numFmtId="0" fontId="8" fillId="3" borderId="14" xfId="0" applyFont="1" applyFill="1" applyBorder="1" applyAlignment="1">
      <alignment horizontal="left" vertical="top" wrapText="1"/>
    </xf>
    <xf numFmtId="0" fontId="8" fillId="3" borderId="15" xfId="0" applyFont="1" applyFill="1" applyBorder="1" applyAlignment="1">
      <alignment horizontal="left" vertical="top" wrapText="1"/>
    </xf>
    <xf numFmtId="0" fontId="8" fillId="0" borderId="16" xfId="0" applyFont="1" applyBorder="1" applyAlignment="1">
      <alignment horizontal="right" vertical="top"/>
    </xf>
    <xf numFmtId="0" fontId="8" fillId="0" borderId="24" xfId="0" applyFont="1" applyBorder="1" applyAlignment="1">
      <alignment horizontal="right" vertical="top"/>
    </xf>
    <xf numFmtId="0" fontId="8" fillId="0" borderId="18" xfId="0" applyFont="1" applyBorder="1" applyAlignment="1">
      <alignment horizontal="right" vertical="top"/>
    </xf>
    <xf numFmtId="0" fontId="7" fillId="0" borderId="32" xfId="0" applyFont="1" applyBorder="1" applyAlignment="1">
      <alignment horizontal="center" vertical="top"/>
    </xf>
    <xf numFmtId="0" fontId="8" fillId="3" borderId="3" xfId="0" applyFont="1" applyFill="1" applyBorder="1" applyAlignment="1">
      <alignment horizontal="left" vertical="top" wrapText="1"/>
    </xf>
    <xf numFmtId="0" fontId="8" fillId="3" borderId="3" xfId="0" applyFont="1" applyFill="1" applyBorder="1" applyAlignment="1">
      <alignment horizontal="center" vertical="top" wrapText="1"/>
    </xf>
    <xf numFmtId="0" fontId="8" fillId="3" borderId="6" xfId="0" applyFont="1" applyFill="1" applyBorder="1" applyAlignment="1">
      <alignment horizontal="center" vertical="top" wrapText="1"/>
    </xf>
    <xf numFmtId="0" fontId="7" fillId="0" borderId="16" xfId="0" applyFont="1" applyBorder="1" applyAlignment="1">
      <alignment horizontal="right" vertical="top"/>
    </xf>
    <xf numFmtId="0" fontId="7" fillId="0" borderId="24" xfId="0" applyFont="1" applyBorder="1" applyAlignment="1">
      <alignment horizontal="right" vertical="top"/>
    </xf>
    <xf numFmtId="0" fontId="7" fillId="0" borderId="18" xfId="0" applyFont="1" applyBorder="1" applyAlignment="1">
      <alignment horizontal="right" vertical="top"/>
    </xf>
    <xf numFmtId="0" fontId="8" fillId="3" borderId="16" xfId="0" applyFont="1" applyFill="1" applyBorder="1" applyAlignment="1">
      <alignment horizontal="center" vertical="top" wrapText="1"/>
    </xf>
    <xf numFmtId="0" fontId="8" fillId="3" borderId="18" xfId="0" applyFont="1" applyFill="1" applyBorder="1" applyAlignment="1">
      <alignment horizontal="left" vertical="top" wrapText="1"/>
    </xf>
    <xf numFmtId="0" fontId="8" fillId="3" borderId="32" xfId="0" applyFont="1" applyFill="1" applyBorder="1" applyAlignment="1">
      <alignment horizontal="center" vertical="top" wrapText="1"/>
    </xf>
    <xf numFmtId="0" fontId="8" fillId="3" borderId="53" xfId="0" applyNumberFormat="1" applyFont="1" applyFill="1" applyBorder="1" applyAlignment="1" applyProtection="1">
      <alignment horizontal="center" vertical="top" textRotation="90" wrapText="1"/>
    </xf>
    <xf numFmtId="0" fontId="8" fillId="3" borderId="3" xfId="0" applyNumberFormat="1" applyFont="1" applyFill="1" applyBorder="1" applyAlignment="1" applyProtection="1">
      <alignment horizontal="center" vertical="top" textRotation="90" wrapText="1"/>
    </xf>
    <xf numFmtId="0" fontId="8" fillId="3" borderId="6" xfId="0" applyNumberFormat="1" applyFont="1" applyFill="1" applyBorder="1" applyAlignment="1" applyProtection="1">
      <alignment horizontal="center" vertical="center" textRotation="90" wrapText="1"/>
    </xf>
    <xf numFmtId="0" fontId="8" fillId="3" borderId="3" xfId="0" applyNumberFormat="1" applyFont="1" applyFill="1" applyBorder="1" applyAlignment="1" applyProtection="1">
      <alignment horizontal="center" vertical="center" textRotation="90" wrapText="1"/>
    </xf>
    <xf numFmtId="0" fontId="8" fillId="3" borderId="53" xfId="0" applyNumberFormat="1" applyFont="1" applyFill="1" applyBorder="1" applyAlignment="1" applyProtection="1">
      <alignment horizontal="center" vertical="center" textRotation="90" wrapText="1"/>
    </xf>
    <xf numFmtId="0" fontId="8" fillId="3" borderId="6" xfId="0" applyNumberFormat="1" applyFont="1" applyFill="1" applyBorder="1" applyAlignment="1" applyProtection="1">
      <alignment horizontal="center" vertical="top" textRotation="90" wrapText="1"/>
    </xf>
    <xf numFmtId="0" fontId="8" fillId="3" borderId="48" xfId="0" applyNumberFormat="1" applyFont="1" applyFill="1" applyBorder="1" applyAlignment="1" applyProtection="1">
      <alignment horizontal="center" vertical="center" wrapText="1"/>
    </xf>
    <xf numFmtId="0" fontId="8" fillId="3" borderId="51" xfId="0" applyNumberFormat="1" applyFont="1" applyFill="1" applyBorder="1" applyAlignment="1" applyProtection="1">
      <alignment horizontal="center" vertical="center" wrapText="1"/>
    </xf>
    <xf numFmtId="0" fontId="8" fillId="3" borderId="8" xfId="0" applyNumberFormat="1" applyFont="1" applyFill="1" applyBorder="1" applyAlignment="1" applyProtection="1">
      <alignment horizontal="center" vertical="center" wrapText="1"/>
    </xf>
    <xf numFmtId="0" fontId="8" fillId="3" borderId="19" xfId="0" applyNumberFormat="1" applyFont="1" applyFill="1" applyBorder="1" applyAlignment="1" applyProtection="1">
      <alignment horizontal="center" vertical="center" wrapText="1"/>
    </xf>
    <xf numFmtId="0" fontId="8" fillId="3" borderId="18" xfId="0" applyNumberFormat="1" applyFont="1" applyFill="1" applyBorder="1" applyAlignment="1" applyProtection="1">
      <alignment horizontal="left" vertical="top" textRotation="90" wrapText="1"/>
    </xf>
    <xf numFmtId="0" fontId="8" fillId="3" borderId="50" xfId="0" applyNumberFormat="1" applyFont="1" applyFill="1" applyBorder="1" applyAlignment="1" applyProtection="1">
      <alignment horizontal="left" vertical="top" textRotation="90" wrapText="1"/>
    </xf>
    <xf numFmtId="0" fontId="8" fillId="3" borderId="53" xfId="0" applyNumberFormat="1" applyFont="1" applyFill="1" applyBorder="1" applyAlignment="1" applyProtection="1">
      <alignment horizontal="center" vertical="center" textRotation="90"/>
    </xf>
    <xf numFmtId="0" fontId="8" fillId="3" borderId="6" xfId="0" applyNumberFormat="1" applyFont="1" applyFill="1" applyBorder="1" applyAlignment="1" applyProtection="1">
      <alignment horizontal="center" vertical="center" textRotation="90"/>
    </xf>
    <xf numFmtId="0" fontId="8" fillId="3" borderId="3" xfId="0" applyNumberFormat="1" applyFont="1" applyFill="1" applyBorder="1" applyAlignment="1" applyProtection="1">
      <alignment horizontal="center" vertical="center" textRotation="90"/>
    </xf>
    <xf numFmtId="0" fontId="13" fillId="0" borderId="48" xfId="0" applyNumberFormat="1" applyFont="1" applyFill="1" applyBorder="1" applyAlignment="1" applyProtection="1">
      <alignment horizontal="center" vertical="center"/>
    </xf>
    <xf numFmtId="0" fontId="13" fillId="0" borderId="51" xfId="0" applyNumberFormat="1" applyFont="1" applyFill="1" applyBorder="1" applyAlignment="1" applyProtection="1">
      <alignment horizontal="center" vertical="center"/>
    </xf>
    <xf numFmtId="0" fontId="13" fillId="0" borderId="49" xfId="0" applyNumberFormat="1" applyFont="1" applyFill="1" applyBorder="1" applyAlignment="1" applyProtection="1">
      <alignment horizontal="center" vertical="center"/>
    </xf>
    <xf numFmtId="0" fontId="13" fillId="0" borderId="8" xfId="0" applyNumberFormat="1" applyFont="1" applyFill="1" applyBorder="1" applyAlignment="1" applyProtection="1">
      <alignment horizontal="center" vertical="center"/>
    </xf>
    <xf numFmtId="0" fontId="13" fillId="0" borderId="19" xfId="0" applyNumberFormat="1" applyFont="1" applyFill="1" applyBorder="1" applyAlignment="1" applyProtection="1">
      <alignment horizontal="center" vertical="center"/>
    </xf>
    <xf numFmtId="0" fontId="13" fillId="0" borderId="13" xfId="0" applyNumberFormat="1" applyFont="1" applyFill="1" applyBorder="1" applyAlignment="1" applyProtection="1">
      <alignment horizontal="center" vertical="center"/>
    </xf>
    <xf numFmtId="0" fontId="8" fillId="0" borderId="50" xfId="0" applyNumberFormat="1" applyFont="1" applyFill="1" applyBorder="1" applyAlignment="1" applyProtection="1">
      <alignment horizontal="center" vertical="top"/>
    </xf>
    <xf numFmtId="0" fontId="7" fillId="0" borderId="50" xfId="0" applyNumberFormat="1" applyFont="1" applyFill="1" applyBorder="1" applyAlignment="1" applyProtection="1">
      <alignment horizontal="left" vertical="top"/>
    </xf>
    <xf numFmtId="0" fontId="7" fillId="0" borderId="53" xfId="0" applyNumberFormat="1" applyFont="1" applyFill="1" applyBorder="1" applyAlignment="1" applyProtection="1">
      <alignment horizontal="left" vertical="top"/>
    </xf>
    <xf numFmtId="0" fontId="2" fillId="0" borderId="4" xfId="0" applyFont="1" applyBorder="1" applyAlignment="1">
      <alignment horizontal="left" vertical="center"/>
    </xf>
    <xf numFmtId="0" fontId="20" fillId="0" borderId="9" xfId="0" applyFont="1" applyBorder="1" applyAlignment="1">
      <alignment horizontal="center"/>
    </xf>
    <xf numFmtId="1" fontId="2" fillId="0" borderId="16" xfId="0" applyNumberFormat="1" applyFont="1" applyBorder="1" applyAlignment="1">
      <alignment horizontal="center" vertical="center"/>
    </xf>
    <xf numFmtId="0" fontId="2" fillId="0" borderId="24" xfId="0" applyFont="1" applyBorder="1" applyAlignment="1">
      <alignment horizontal="center" vertical="center"/>
    </xf>
    <xf numFmtId="0" fontId="2" fillId="0" borderId="39" xfId="0" applyFont="1" applyBorder="1" applyAlignment="1">
      <alignment horizontal="center" vertical="center"/>
    </xf>
    <xf numFmtId="1" fontId="2" fillId="0" borderId="16" xfId="0" applyNumberFormat="1" applyFont="1" applyBorder="1" applyAlignment="1">
      <alignment horizontal="center" vertical="center" wrapText="1"/>
    </xf>
    <xf numFmtId="1" fontId="2" fillId="0" borderId="18" xfId="0" applyNumberFormat="1" applyFont="1" applyBorder="1" applyAlignment="1">
      <alignment horizontal="center" vertical="center" wrapText="1"/>
    </xf>
    <xf numFmtId="1" fontId="2" fillId="0" borderId="39" xfId="0" applyNumberFormat="1" applyFont="1" applyBorder="1" applyAlignment="1">
      <alignment horizontal="center" vertical="center" wrapText="1"/>
    </xf>
    <xf numFmtId="0" fontId="0" fillId="0" borderId="16" xfId="0" applyBorder="1" applyAlignment="1">
      <alignment horizontal="center"/>
    </xf>
    <xf numFmtId="0" fontId="0" fillId="0" borderId="18" xfId="0" applyBorder="1" applyAlignment="1">
      <alignment horizontal="center"/>
    </xf>
    <xf numFmtId="0" fontId="21" fillId="0" borderId="0" xfId="0" applyFont="1" applyAlignment="1">
      <alignment horizontal="center"/>
    </xf>
    <xf numFmtId="0" fontId="2" fillId="0" borderId="0" xfId="0" applyFont="1" applyAlignment="1">
      <alignment horizontal="left" vertical="top"/>
    </xf>
    <xf numFmtId="0" fontId="2" fillId="0" borderId="0" xfId="0" applyFont="1" applyAlignment="1">
      <alignment horizontal="left" vertical="center" wrapText="1"/>
    </xf>
    <xf numFmtId="0" fontId="2" fillId="0" borderId="0" xfId="0" applyFont="1" applyAlignment="1">
      <alignment horizontal="left"/>
    </xf>
    <xf numFmtId="14" fontId="2" fillId="0" borderId="4" xfId="0" applyNumberFormat="1" applyFont="1" applyBorder="1" applyAlignment="1">
      <alignment horizontal="center" vertical="center"/>
    </xf>
    <xf numFmtId="0" fontId="2" fillId="0" borderId="4" xfId="0" applyFont="1" applyBorder="1" applyAlignment="1">
      <alignment horizontal="center" vertical="center"/>
    </xf>
    <xf numFmtId="1" fontId="2" fillId="0" borderId="16" xfId="0" applyNumberFormat="1" applyFont="1" applyBorder="1" applyAlignment="1">
      <alignment horizontal="center"/>
    </xf>
    <xf numFmtId="1" fontId="2" fillId="0" borderId="24" xfId="0" applyNumberFormat="1" applyFont="1" applyBorder="1" applyAlignment="1">
      <alignment horizontal="center"/>
    </xf>
    <xf numFmtId="1" fontId="2" fillId="0" borderId="39" xfId="0" applyNumberFormat="1" applyFont="1" applyBorder="1" applyAlignment="1">
      <alignment horizontal="center"/>
    </xf>
    <xf numFmtId="17" fontId="2" fillId="0" borderId="4" xfId="0" applyNumberFormat="1" applyFont="1" applyBorder="1" applyAlignment="1">
      <alignment horizontal="center" vertical="center"/>
    </xf>
    <xf numFmtId="1" fontId="2" fillId="0" borderId="4" xfId="0" applyNumberFormat="1" applyFont="1" applyBorder="1" applyAlignment="1">
      <alignment horizontal="center" vertical="center"/>
    </xf>
    <xf numFmtId="0" fontId="2" fillId="0" borderId="4" xfId="0" applyFont="1" applyBorder="1" applyAlignment="1">
      <alignment horizontal="left" vertical="center"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0" fillId="0" borderId="39" xfId="0" applyBorder="1" applyAlignment="1">
      <alignment horizontal="center"/>
    </xf>
    <xf numFmtId="0" fontId="2" fillId="0" borderId="0" xfId="0" applyFont="1" applyAlignment="1">
      <alignment horizontal="left" vertical="center"/>
    </xf>
    <xf numFmtId="14" fontId="2" fillId="0" borderId="0" xfId="0" applyNumberFormat="1" applyFont="1" applyAlignment="1">
      <alignment horizontal="center" vertical="center"/>
    </xf>
    <xf numFmtId="0" fontId="4" fillId="0" borderId="0" xfId="0" applyFont="1" applyAlignment="1">
      <alignment horizontal="center"/>
    </xf>
    <xf numFmtId="17" fontId="2" fillId="0" borderId="0" xfId="0" applyNumberFormat="1" applyFont="1" applyAlignment="1">
      <alignment horizontal="center" vertical="center"/>
    </xf>
    <xf numFmtId="0" fontId="20" fillId="0" borderId="0" xfId="0" applyFont="1" applyAlignment="1">
      <alignment horizontal="center"/>
    </xf>
    <xf numFmtId="0" fontId="0" fillId="0" borderId="24" xfId="0" applyBorder="1" applyAlignment="1">
      <alignment horizontal="center"/>
    </xf>
    <xf numFmtId="1" fontId="2" fillId="0" borderId="24" xfId="0" applyNumberFormat="1" applyFont="1" applyBorder="1" applyAlignment="1">
      <alignment horizontal="center" vertical="center" wrapText="1"/>
    </xf>
    <xf numFmtId="0" fontId="41" fillId="0" borderId="0" xfId="0" applyFont="1" applyAlignment="1">
      <alignment horizontal="center"/>
    </xf>
    <xf numFmtId="0" fontId="41" fillId="0" borderId="23" xfId="0" applyFont="1" applyBorder="1" applyAlignment="1">
      <alignment horizontal="center"/>
    </xf>
    <xf numFmtId="0" fontId="4" fillId="0" borderId="23" xfId="0" applyFont="1" applyBorder="1" applyAlignment="1">
      <alignment horizontal="center"/>
    </xf>
    <xf numFmtId="0" fontId="2" fillId="0" borderId="16" xfId="0" applyFont="1" applyBorder="1" applyAlignment="1">
      <alignment horizontal="center" vertical="center"/>
    </xf>
    <xf numFmtId="0" fontId="2" fillId="0" borderId="18" xfId="0" applyFont="1" applyBorder="1" applyAlignment="1">
      <alignment horizontal="center" vertical="center"/>
    </xf>
    <xf numFmtId="0" fontId="2" fillId="0" borderId="16" xfId="0" applyFont="1" applyBorder="1" applyAlignment="1">
      <alignment horizontal="center"/>
    </xf>
    <xf numFmtId="0" fontId="2" fillId="0" borderId="24" xfId="0" applyFont="1" applyBorder="1" applyAlignment="1">
      <alignment horizontal="center"/>
    </xf>
    <xf numFmtId="0" fontId="2" fillId="0" borderId="39" xfId="0" applyFont="1" applyBorder="1" applyAlignment="1">
      <alignment horizontal="center"/>
    </xf>
    <xf numFmtId="1" fontId="2" fillId="0" borderId="24" xfId="0" applyNumberFormat="1" applyFont="1" applyBorder="1" applyAlignment="1">
      <alignment horizontal="left" vertical="center" wrapText="1"/>
    </xf>
    <xf numFmtId="1" fontId="2" fillId="0" borderId="39" xfId="0" applyNumberFormat="1" applyFont="1" applyBorder="1" applyAlignment="1">
      <alignment horizontal="left" vertical="center" wrapText="1"/>
    </xf>
    <xf numFmtId="0" fontId="42" fillId="2" borderId="16" xfId="0" applyFont="1" applyFill="1" applyBorder="1" applyAlignment="1">
      <alignment horizontal="center" vertical="center"/>
    </xf>
    <xf numFmtId="0" fontId="42" fillId="2" borderId="24" xfId="0" applyFont="1" applyFill="1" applyBorder="1" applyAlignment="1">
      <alignment horizontal="center" vertical="center"/>
    </xf>
    <xf numFmtId="0" fontId="42" fillId="2" borderId="39" xfId="0" applyFont="1" applyFill="1" applyBorder="1" applyAlignment="1">
      <alignment horizontal="center" vertical="center"/>
    </xf>
    <xf numFmtId="0" fontId="0" fillId="0" borderId="16" xfId="0" applyBorder="1" applyAlignment="1">
      <alignment horizontal="left"/>
    </xf>
    <xf numFmtId="0" fontId="0" fillId="0" borderId="24" xfId="0" applyBorder="1" applyAlignment="1">
      <alignment horizontal="left"/>
    </xf>
    <xf numFmtId="0" fontId="2" fillId="0" borderId="16" xfId="0" applyFont="1" applyBorder="1" applyAlignment="1">
      <alignment horizontal="left"/>
    </xf>
    <xf numFmtId="0" fontId="2" fillId="0" borderId="24" xfId="0" applyFont="1" applyBorder="1" applyAlignment="1">
      <alignment horizontal="left"/>
    </xf>
    <xf numFmtId="0" fontId="2" fillId="0" borderId="39" xfId="0" applyFont="1" applyBorder="1" applyAlignment="1">
      <alignment horizontal="left"/>
    </xf>
    <xf numFmtId="0" fontId="42" fillId="2" borderId="18"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23" xfId="0" applyNumberFormat="1" applyFont="1" applyBorder="1" applyAlignment="1">
      <alignment horizontal="center" vertical="center" wrapText="1"/>
    </xf>
    <xf numFmtId="0" fontId="52" fillId="0" borderId="0" xfId="0" applyFont="1" applyAlignment="1">
      <alignment vertical="center" wrapText="1"/>
    </xf>
    <xf numFmtId="0" fontId="52" fillId="0" borderId="23" xfId="0" applyFont="1" applyBorder="1" applyAlignment="1">
      <alignment vertical="center" wrapText="1"/>
    </xf>
    <xf numFmtId="0" fontId="0" fillId="0" borderId="0" xfId="0" applyAlignment="1">
      <alignment horizontal="right"/>
    </xf>
    <xf numFmtId="1" fontId="50" fillId="2" borderId="0" xfId="0" applyNumberFormat="1" applyFont="1" applyFill="1" applyAlignment="1">
      <alignment horizontal="center" vertical="center"/>
    </xf>
    <xf numFmtId="0" fontId="50" fillId="2" borderId="0" xfId="0" applyFont="1" applyFill="1" applyAlignment="1">
      <alignment horizontal="center" vertical="center"/>
    </xf>
    <xf numFmtId="0" fontId="0" fillId="0" borderId="0" xfId="0" applyAlignment="1">
      <alignment horizontal="left"/>
    </xf>
    <xf numFmtId="0" fontId="0" fillId="0" borderId="23" xfId="0" applyBorder="1" applyAlignment="1">
      <alignment horizontal="left"/>
    </xf>
    <xf numFmtId="0" fontId="47" fillId="0" borderId="0" xfId="0" applyFont="1" applyAlignment="1">
      <alignment horizontal="center"/>
    </xf>
    <xf numFmtId="0" fontId="47" fillId="0" borderId="23" xfId="0" applyFont="1" applyBorder="1" applyAlignment="1">
      <alignment horizontal="center"/>
    </xf>
    <xf numFmtId="0" fontId="42" fillId="2" borderId="28" xfId="0" applyFont="1" applyFill="1" applyBorder="1" applyAlignment="1">
      <alignment vertical="center"/>
    </xf>
    <xf numFmtId="0" fontId="42" fillId="2" borderId="29" xfId="0" applyFont="1" applyFill="1" applyBorder="1" applyAlignment="1">
      <alignment vertical="center"/>
    </xf>
    <xf numFmtId="0" fontId="42" fillId="2" borderId="28" xfId="0" applyFont="1" applyFill="1" applyBorder="1" applyAlignment="1">
      <alignment horizontal="center" vertical="center"/>
    </xf>
    <xf numFmtId="0" fontId="42" fillId="2" borderId="29" xfId="0" applyFont="1" applyFill="1" applyBorder="1" applyAlignment="1">
      <alignment horizontal="center" vertical="center"/>
    </xf>
    <xf numFmtId="0" fontId="42" fillId="2" borderId="40" xfId="0" applyFont="1" applyFill="1" applyBorder="1" applyAlignment="1">
      <alignment horizontal="center" vertical="center"/>
    </xf>
    <xf numFmtId="0" fontId="42" fillId="2" borderId="8" xfId="0" applyFont="1" applyFill="1" applyBorder="1" applyAlignment="1">
      <alignment horizontal="center" vertical="center"/>
    </xf>
    <xf numFmtId="0" fontId="42" fillId="2" borderId="19" xfId="0" applyFont="1" applyFill="1" applyBorder="1" applyAlignment="1">
      <alignment horizontal="center" vertical="center"/>
    </xf>
    <xf numFmtId="0" fontId="42" fillId="2" borderId="38" xfId="0" applyFont="1" applyFill="1" applyBorder="1" applyAlignment="1">
      <alignment horizontal="center" vertical="center"/>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37" fillId="0" borderId="0" xfId="0" applyFont="1" applyAlignment="1">
      <alignment horizontal="left"/>
    </xf>
    <xf numFmtId="0" fontId="37" fillId="0" borderId="23" xfId="0" applyFont="1" applyBorder="1" applyAlignment="1">
      <alignment horizontal="left"/>
    </xf>
    <xf numFmtId="0" fontId="7" fillId="0" borderId="22" xfId="0" applyFont="1" applyBorder="1" applyAlignment="1">
      <alignment horizontal="left" vertical="center"/>
    </xf>
    <xf numFmtId="0" fontId="7" fillId="0" borderId="0" xfId="0" applyFont="1" applyAlignment="1">
      <alignment horizontal="left" vertical="center"/>
    </xf>
    <xf numFmtId="0" fontId="7" fillId="0" borderId="23" xfId="0" applyFont="1" applyBorder="1" applyAlignment="1">
      <alignment horizontal="left" vertical="center"/>
    </xf>
    <xf numFmtId="0" fontId="8" fillId="0" borderId="0" xfId="0" applyFont="1" applyAlignment="1">
      <alignment horizontal="left" vertical="center" wrapText="1"/>
    </xf>
    <xf numFmtId="0" fontId="8" fillId="0" borderId="23" xfId="0" applyFont="1" applyBorder="1" applyAlignment="1">
      <alignment horizontal="left" vertical="center" wrapText="1"/>
    </xf>
    <xf numFmtId="0" fontId="37" fillId="0" borderId="22" xfId="0" applyFont="1" applyBorder="1" applyAlignment="1">
      <alignment horizontal="center"/>
    </xf>
    <xf numFmtId="0" fontId="37" fillId="0" borderId="0" xfId="0" applyFont="1" applyAlignment="1">
      <alignment horizontal="center"/>
    </xf>
    <xf numFmtId="0" fontId="37" fillId="0" borderId="23" xfId="0" applyFont="1" applyBorder="1" applyAlignment="1">
      <alignment horizontal="center"/>
    </xf>
    <xf numFmtId="0" fontId="18" fillId="0" borderId="22" xfId="0" applyFont="1" applyBorder="1" applyAlignment="1">
      <alignment horizontal="left"/>
    </xf>
    <xf numFmtId="0" fontId="18" fillId="0" borderId="0" xfId="0" applyFont="1" applyAlignment="1">
      <alignment horizontal="left"/>
    </xf>
    <xf numFmtId="0" fontId="18" fillId="0" borderId="23" xfId="0" applyFont="1" applyBorder="1" applyAlignment="1">
      <alignment horizontal="left"/>
    </xf>
    <xf numFmtId="0" fontId="18" fillId="0" borderId="42" xfId="0" applyFont="1" applyBorder="1" applyAlignment="1">
      <alignment horizontal="left"/>
    </xf>
    <xf numFmtId="0" fontId="18" fillId="0" borderId="4" xfId="0" applyFont="1" applyBorder="1" applyAlignment="1">
      <alignment horizontal="left"/>
    </xf>
    <xf numFmtId="0" fontId="0" fillId="0" borderId="36" xfId="0" applyBorder="1" applyAlignment="1">
      <alignment horizontal="center"/>
    </xf>
    <xf numFmtId="0" fontId="18" fillId="0" borderId="22" xfId="0" applyFont="1" applyBorder="1" applyAlignment="1">
      <alignment horizontal="justify" vertical="justify" wrapText="1"/>
    </xf>
    <xf numFmtId="0" fontId="18" fillId="0" borderId="0" xfId="0" applyFont="1" applyAlignment="1">
      <alignment horizontal="justify" vertical="justify" wrapText="1"/>
    </xf>
    <xf numFmtId="0" fontId="18" fillId="0" borderId="23" xfId="0" applyFont="1" applyBorder="1" applyAlignment="1">
      <alignment horizontal="justify" vertical="justify" wrapText="1"/>
    </xf>
    <xf numFmtId="0" fontId="55" fillId="0" borderId="20" xfId="0" applyFont="1" applyBorder="1" applyAlignment="1">
      <alignment horizontal="center"/>
    </xf>
    <xf numFmtId="0" fontId="55" fillId="0" borderId="9" xfId="0" applyFont="1" applyBorder="1" applyAlignment="1">
      <alignment horizontal="center"/>
    </xf>
    <xf numFmtId="0" fontId="55" fillId="0" borderId="21" xfId="0" applyFont="1" applyBorder="1" applyAlignment="1">
      <alignment horizontal="center"/>
    </xf>
    <xf numFmtId="0" fontId="56" fillId="0" borderId="22" xfId="0" applyFont="1" applyBorder="1" applyAlignment="1">
      <alignment horizontal="center"/>
    </xf>
    <xf numFmtId="0" fontId="56" fillId="0" borderId="0" xfId="0" applyFont="1" applyAlignment="1">
      <alignment horizontal="center"/>
    </xf>
    <xf numFmtId="0" fontId="56" fillId="0" borderId="23" xfId="0" applyFont="1" applyBorder="1" applyAlignment="1">
      <alignment horizontal="center"/>
    </xf>
    <xf numFmtId="0" fontId="57" fillId="0" borderId="22" xfId="0" applyFont="1" applyBorder="1" applyAlignment="1">
      <alignment horizontal="center"/>
    </xf>
    <xf numFmtId="0" fontId="57" fillId="0" borderId="0" xfId="0" applyFont="1" applyAlignment="1">
      <alignment horizontal="center"/>
    </xf>
    <xf numFmtId="0" fontId="57" fillId="0" borderId="23" xfId="0" applyFont="1" applyBorder="1" applyAlignment="1">
      <alignment horizontal="center"/>
    </xf>
    <xf numFmtId="1" fontId="0" fillId="0" borderId="4" xfId="0" applyNumberFormat="1" applyBorder="1" applyAlignment="1">
      <alignment horizontal="center"/>
    </xf>
    <xf numFmtId="14" fontId="0" fillId="0" borderId="4" xfId="0" applyNumberFormat="1" applyBorder="1" applyAlignment="1">
      <alignment horizontal="center"/>
    </xf>
    <xf numFmtId="0" fontId="41" fillId="0" borderId="50" xfId="0" applyFont="1" applyFill="1" applyBorder="1" applyAlignment="1">
      <alignment horizontal="left" wrapText="1"/>
    </xf>
    <xf numFmtId="0" fontId="47" fillId="0" borderId="50" xfId="0" applyFont="1" applyFill="1" applyBorder="1" applyAlignment="1">
      <alignment vertical="center" wrapText="1"/>
    </xf>
    <xf numFmtId="0" fontId="51" fillId="0" borderId="50" xfId="0" applyFont="1" applyFill="1" applyBorder="1" applyAlignment="1">
      <alignment horizontal="center" wrapText="1"/>
    </xf>
    <xf numFmtId="0" fontId="47" fillId="0" borderId="16" xfId="0" applyFont="1" applyFill="1" applyBorder="1" applyAlignment="1">
      <alignment vertical="center" wrapText="1"/>
    </xf>
    <xf numFmtId="0" fontId="72" fillId="0" borderId="50" xfId="0" applyFont="1" applyFill="1" applyBorder="1" applyAlignment="1">
      <alignment wrapText="1"/>
    </xf>
    <xf numFmtId="0" fontId="87" fillId="0" borderId="50" xfId="0" applyFont="1" applyFill="1" applyBorder="1" applyAlignment="1">
      <alignment wrapText="1"/>
    </xf>
    <xf numFmtId="0" fontId="30" fillId="2" borderId="0" xfId="0" applyFont="1" applyFill="1" applyBorder="1" applyAlignment="1">
      <alignment horizontal="center" vertical="top" wrapText="1"/>
    </xf>
    <xf numFmtId="0" fontId="30" fillId="2" borderId="0" xfId="0" applyFont="1" applyFill="1" applyBorder="1" applyAlignment="1">
      <alignment horizontal="center" vertical="top" wrapText="1"/>
    </xf>
    <xf numFmtId="0" fontId="0" fillId="2" borderId="0" xfId="0" applyFill="1" applyBorder="1" applyAlignment="1">
      <alignment horizontal="center" vertical="top" wrapText="1"/>
    </xf>
    <xf numFmtId="0" fontId="0" fillId="2" borderId="0" xfId="0" applyFill="1" applyBorder="1" applyAlignment="1">
      <alignment horizontal="center" vertical="top" wrapText="1"/>
    </xf>
    <xf numFmtId="0" fontId="31" fillId="2" borderId="0" xfId="0" applyFont="1" applyFill="1" applyBorder="1" applyAlignment="1">
      <alignment horizontal="center" vertical="top" wrapText="1"/>
    </xf>
    <xf numFmtId="0" fontId="31" fillId="2" borderId="0" xfId="0" applyFont="1" applyFill="1" applyBorder="1" applyAlignment="1">
      <alignment horizontal="center" vertical="top" wrapText="1"/>
    </xf>
    <xf numFmtId="0" fontId="32" fillId="2" borderId="0" xfId="0" applyFont="1" applyFill="1" applyBorder="1" applyAlignment="1">
      <alignment horizontal="center" vertical="top" wrapText="1"/>
    </xf>
    <xf numFmtId="164" fontId="32" fillId="2" borderId="0" xfId="0" applyNumberFormat="1" applyFont="1" applyFill="1" applyBorder="1" applyAlignment="1">
      <alignment horizontal="center" vertical="top" wrapText="1"/>
    </xf>
    <xf numFmtId="0" fontId="33" fillId="2" borderId="0" xfId="0" applyFont="1" applyFill="1" applyBorder="1" applyAlignment="1">
      <alignment horizontal="left" vertical="center"/>
    </xf>
    <xf numFmtId="0" fontId="9" fillId="2" borderId="0" xfId="0" applyFont="1" applyFill="1" applyBorder="1" applyAlignment="1">
      <alignment horizontal="left" vertical="center"/>
    </xf>
    <xf numFmtId="165" fontId="33" fillId="2" borderId="0" xfId="0" applyNumberFormat="1" applyFont="1" applyFill="1" applyBorder="1" applyAlignment="1">
      <alignment horizontal="left" vertical="center" wrapText="1"/>
    </xf>
    <xf numFmtId="0" fontId="33" fillId="2" borderId="0" xfId="0" applyFont="1" applyFill="1" applyBorder="1" applyAlignment="1">
      <alignment horizontal="center"/>
    </xf>
    <xf numFmtId="0" fontId="33" fillId="2" borderId="0" xfId="0" applyFont="1" applyFill="1" applyBorder="1" applyAlignment="1">
      <alignment horizontal="center" wrapText="1"/>
    </xf>
    <xf numFmtId="0" fontId="33" fillId="2" borderId="0" xfId="0" applyFont="1" applyFill="1" applyBorder="1" applyAlignment="1">
      <alignment horizontal="left" wrapText="1"/>
    </xf>
    <xf numFmtId="0" fontId="33" fillId="2" borderId="0" xfId="0" applyFont="1" applyFill="1" applyBorder="1"/>
    <xf numFmtId="0" fontId="34" fillId="2" borderId="0" xfId="0" applyFont="1" applyFill="1" applyBorder="1" applyAlignment="1">
      <alignment horizontal="center"/>
    </xf>
    <xf numFmtId="0" fontId="34" fillId="2" borderId="0" xfId="0" applyFont="1" applyFill="1" applyBorder="1" applyAlignment="1">
      <alignment vertical="center"/>
    </xf>
    <xf numFmtId="0" fontId="34" fillId="2" borderId="0" xfId="0" applyFont="1" applyFill="1" applyBorder="1"/>
    <xf numFmtId="0" fontId="35" fillId="2" borderId="0" xfId="0" applyFont="1" applyFill="1" applyBorder="1" applyAlignment="1">
      <alignment horizontal="left" vertical="top" wrapText="1"/>
    </xf>
    <xf numFmtId="0" fontId="30" fillId="2" borderId="0" xfId="0" applyFont="1" applyFill="1" applyBorder="1" applyAlignment="1">
      <alignment vertical="top" wrapText="1"/>
    </xf>
    <xf numFmtId="0" fontId="35" fillId="2" borderId="0" xfId="0" applyFont="1" applyFill="1" applyBorder="1" applyAlignment="1">
      <alignment vertical="top" wrapText="1"/>
    </xf>
    <xf numFmtId="0" fontId="35" fillId="2" borderId="0" xfId="0" applyFont="1" applyFill="1" applyBorder="1" applyAlignment="1">
      <alignment horizontal="justify" vertical="top" wrapText="1"/>
    </xf>
    <xf numFmtId="0" fontId="35" fillId="2" borderId="0" xfId="0" applyFont="1" applyFill="1" applyBorder="1" applyAlignment="1">
      <alignment horizontal="left" vertical="top" wrapText="1"/>
    </xf>
    <xf numFmtId="0" fontId="0" fillId="2" borderId="0" xfId="0" applyFill="1" applyBorder="1" applyAlignment="1">
      <alignment horizontal="justify" vertical="top" wrapText="1"/>
    </xf>
    <xf numFmtId="0" fontId="0" fillId="2" borderId="0" xfId="0" applyFill="1" applyBorder="1" applyAlignment="1">
      <alignment horizontal="justify" vertical="top" wrapText="1"/>
    </xf>
    <xf numFmtId="0" fontId="36" fillId="2" borderId="0" xfId="0" applyFont="1" applyFill="1" applyBorder="1" applyAlignment="1">
      <alignment horizontal="center" vertical="top" wrapText="1"/>
    </xf>
    <xf numFmtId="0" fontId="36" fillId="2" borderId="0" xfId="0" applyFont="1" applyFill="1" applyBorder="1" applyAlignment="1">
      <alignment horizontal="center" vertical="top" wrapText="1"/>
    </xf>
    <xf numFmtId="0" fontId="36" fillId="2" borderId="42" xfId="0" applyFont="1" applyFill="1" applyBorder="1" applyAlignment="1">
      <alignment horizontal="center" vertical="center" wrapText="1"/>
    </xf>
    <xf numFmtId="0" fontId="36" fillId="2" borderId="36" xfId="0" applyFont="1" applyFill="1" applyBorder="1" applyAlignment="1">
      <alignment horizontal="center" vertical="center" wrapText="1"/>
    </xf>
    <xf numFmtId="0" fontId="0" fillId="2" borderId="42" xfId="0" applyFill="1" applyBorder="1" applyAlignment="1">
      <alignment horizontal="center" vertical="center"/>
    </xf>
    <xf numFmtId="166" fontId="0" fillId="2" borderId="50" xfId="0" applyNumberFormat="1" applyFill="1" applyBorder="1" applyAlignment="1">
      <alignment horizontal="center" vertical="center"/>
    </xf>
    <xf numFmtId="0" fontId="0" fillId="2" borderId="50" xfId="0" applyFill="1" applyBorder="1" applyAlignment="1">
      <alignment vertical="center"/>
    </xf>
    <xf numFmtId="0" fontId="0" fillId="2" borderId="36" xfId="0" applyFill="1" applyBorder="1" applyAlignment="1">
      <alignment horizontal="center" vertical="center"/>
    </xf>
    <xf numFmtId="0" fontId="0" fillId="2" borderId="37" xfId="0" applyFill="1" applyBorder="1" applyAlignment="1">
      <alignment horizontal="center" vertical="center"/>
    </xf>
    <xf numFmtId="0" fontId="0" fillId="2" borderId="36" xfId="0" applyFill="1" applyBorder="1"/>
    <xf numFmtId="0" fontId="0" fillId="2" borderId="22" xfId="0" applyFill="1" applyBorder="1" applyAlignment="1">
      <alignment horizontal="center" vertical="center"/>
    </xf>
    <xf numFmtId="0" fontId="2" fillId="2" borderId="25" xfId="0" applyFont="1" applyFill="1" applyBorder="1"/>
    <xf numFmtId="16" fontId="18" fillId="2" borderId="42" xfId="0" applyNumberFormat="1" applyFont="1" applyFill="1" applyBorder="1" applyAlignment="1" applyProtection="1">
      <alignment horizontal="left" vertical="top"/>
    </xf>
    <xf numFmtId="0" fontId="7" fillId="2" borderId="50" xfId="0" applyNumberFormat="1" applyFont="1" applyFill="1" applyBorder="1" applyAlignment="1" applyProtection="1">
      <alignment vertical="center"/>
    </xf>
    <xf numFmtId="0" fontId="7" fillId="2" borderId="50" xfId="0" applyNumberFormat="1" applyFont="1" applyFill="1" applyBorder="1" applyAlignment="1" applyProtection="1">
      <alignment horizontal="left" vertical="center"/>
    </xf>
    <xf numFmtId="17" fontId="7" fillId="2" borderId="42" xfId="0" applyNumberFormat="1" applyFont="1" applyFill="1" applyBorder="1" applyAlignment="1" applyProtection="1">
      <alignment horizontal="left" vertical="center"/>
    </xf>
    <xf numFmtId="16" fontId="7" fillId="2" borderId="42" xfId="0" applyNumberFormat="1" applyFont="1" applyFill="1" applyBorder="1" applyAlignment="1" applyProtection="1">
      <alignment horizontal="left" vertical="center"/>
    </xf>
    <xf numFmtId="0" fontId="7" fillId="2" borderId="50" xfId="0" applyNumberFormat="1" applyFont="1" applyFill="1" applyBorder="1" applyAlignment="1" applyProtection="1">
      <alignment horizontal="right" vertical="top"/>
    </xf>
    <xf numFmtId="0" fontId="7" fillId="2" borderId="50" xfId="0" applyNumberFormat="1" applyFont="1" applyFill="1" applyBorder="1" applyAlignment="1" applyProtection="1">
      <alignment horizontal="right" vertical="center"/>
    </xf>
    <xf numFmtId="16" fontId="7" fillId="2" borderId="42" xfId="0" applyNumberFormat="1" applyFont="1" applyFill="1" applyBorder="1" applyAlignment="1" applyProtection="1">
      <alignment vertical="center"/>
    </xf>
    <xf numFmtId="17" fontId="7" fillId="2" borderId="42" xfId="0" applyNumberFormat="1" applyFont="1" applyFill="1" applyBorder="1" applyAlignment="1" applyProtection="1">
      <alignment horizontal="center" vertical="top"/>
    </xf>
    <xf numFmtId="16" fontId="7" fillId="2" borderId="42" xfId="0" applyNumberFormat="1" applyFont="1" applyFill="1" applyBorder="1" applyAlignment="1">
      <alignment horizontal="center" vertical="center"/>
    </xf>
    <xf numFmtId="16" fontId="18" fillId="2" borderId="42" xfId="0" applyNumberFormat="1" applyFont="1" applyFill="1" applyBorder="1" applyAlignment="1" applyProtection="1">
      <alignment vertical="top"/>
    </xf>
    <xf numFmtId="16" fontId="18" fillId="2" borderId="42" xfId="0" applyNumberFormat="1" applyFont="1" applyFill="1" applyBorder="1" applyAlignment="1" applyProtection="1">
      <alignment horizontal="center" vertical="top"/>
    </xf>
    <xf numFmtId="0" fontId="9" fillId="0" borderId="9" xfId="0" applyFont="1" applyBorder="1"/>
    <xf numFmtId="0" fontId="98" fillId="0" borderId="27" xfId="0" applyFont="1" applyBorder="1" applyAlignment="1">
      <alignment horizontal="center"/>
    </xf>
    <xf numFmtId="0" fontId="98" fillId="0" borderId="25" xfId="0" applyFont="1" applyBorder="1" applyAlignment="1">
      <alignment horizontal="center"/>
    </xf>
    <xf numFmtId="0" fontId="98" fillId="0" borderId="26" xfId="0" applyFont="1" applyBorder="1" applyAlignment="1">
      <alignment horizontal="center"/>
    </xf>
    <xf numFmtId="0" fontId="9" fillId="0" borderId="19" xfId="0" applyFont="1" applyBorder="1"/>
    <xf numFmtId="0" fontId="9" fillId="0" borderId="44" xfId="0" applyFont="1" applyBorder="1"/>
    <xf numFmtId="1" fontId="9" fillId="0" borderId="44" xfId="0" applyNumberFormat="1" applyFont="1" applyBorder="1"/>
    <xf numFmtId="0" fontId="9" fillId="0" borderId="25" xfId="0" applyFont="1" applyBorder="1" applyAlignment="1">
      <alignment horizontal="center"/>
    </xf>
    <xf numFmtId="0" fontId="9" fillId="0" borderId="26" xfId="0" applyFont="1" applyBorder="1" applyAlignment="1">
      <alignment horizontal="center"/>
    </xf>
    <xf numFmtId="1" fontId="0" fillId="0" borderId="50" xfId="0" applyNumberFormat="1" applyBorder="1" applyAlignment="1">
      <alignment horizontal="right"/>
    </xf>
  </cellXfs>
  <cellStyles count="11">
    <cellStyle name="Comma 2" xfId="1" xr:uid="{00000000-0005-0000-0000-000000000000}"/>
    <cellStyle name="Comma 2 2" xfId="9" xr:uid="{00000000-0005-0000-0000-000001000000}"/>
    <cellStyle name="Comma 2 4" xfId="10" xr:uid="{00000000-0005-0000-0000-000002000000}"/>
    <cellStyle name="Excel Built-in Normal 1" xfId="6" xr:uid="{00000000-0005-0000-0000-000003000000}"/>
    <cellStyle name="Excel Built-in Normal 2" xfId="7" xr:uid="{00000000-0005-0000-0000-000004000000}"/>
    <cellStyle name="Normal" xfId="0" builtinId="0"/>
    <cellStyle name="Normal 2" xfId="3" xr:uid="{00000000-0005-0000-0000-000006000000}"/>
    <cellStyle name="Normal 3" xfId="8" xr:uid="{00000000-0005-0000-0000-000007000000}"/>
    <cellStyle name="Normal 4 3 3 2 2" xfId="2" xr:uid="{00000000-0005-0000-0000-000008000000}"/>
    <cellStyle name="Normal 4 3 3 2 2 2" xfId="4" xr:uid="{00000000-0005-0000-0000-000009000000}"/>
    <cellStyle name="Percent" xfId="5" builtinId="5"/>
  </cellStyles>
  <dxfs count="0"/>
  <tableStyles count="0" defaultTableStyle="TableStyleMedium9"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4.emf"/></Relationships>
</file>

<file path=xl/drawings/_rels/drawing15.x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9</xdr:col>
      <xdr:colOff>323850</xdr:colOff>
      <xdr:row>61</xdr:row>
      <xdr:rowOff>39934</xdr:rowOff>
    </xdr:from>
    <xdr:to>
      <xdr:col>9</xdr:col>
      <xdr:colOff>1133475</xdr:colOff>
      <xdr:row>61</xdr:row>
      <xdr:rowOff>457266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06250" y="2630734"/>
          <a:ext cx="809625" cy="417332"/>
        </a:xfrm>
        <a:prstGeom prst="rect">
          <a:avLst/>
        </a:prstGeom>
      </xdr:spPr>
    </xdr:pic>
    <xdr:clientData/>
  </xdr:twoCellAnchor>
  <xdr:twoCellAnchor editAs="oneCell">
    <xdr:from>
      <xdr:col>9</xdr:col>
      <xdr:colOff>85725</xdr:colOff>
      <xdr:row>62</xdr:row>
      <xdr:rowOff>47625</xdr:rowOff>
    </xdr:from>
    <xdr:to>
      <xdr:col>9</xdr:col>
      <xdr:colOff>1511562</xdr:colOff>
      <xdr:row>62</xdr:row>
      <xdr:rowOff>485869</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68125" y="3152775"/>
          <a:ext cx="1425837" cy="438244"/>
        </a:xfrm>
        <a:prstGeom prst="rect">
          <a:avLst/>
        </a:prstGeom>
      </xdr:spPr>
    </xdr:pic>
    <xdr:clientData/>
  </xdr:twoCellAnchor>
  <xdr:twoCellAnchor editAs="oneCell">
    <xdr:from>
      <xdr:col>9</xdr:col>
      <xdr:colOff>228600</xdr:colOff>
      <xdr:row>63</xdr:row>
      <xdr:rowOff>22630</xdr:rowOff>
    </xdr:from>
    <xdr:to>
      <xdr:col>9</xdr:col>
      <xdr:colOff>1447800</xdr:colOff>
      <xdr:row>63</xdr:row>
      <xdr:rowOff>447745</xdr:rowOff>
    </xdr:to>
    <xdr:pic>
      <xdr:nvPicPr>
        <xdr:cNvPr id="51" name="Picture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11000" y="3642130"/>
          <a:ext cx="1219200" cy="425115"/>
        </a:xfrm>
        <a:prstGeom prst="rect">
          <a:avLst/>
        </a:prstGeom>
      </xdr:spPr>
    </xdr:pic>
    <xdr:clientData/>
  </xdr:twoCellAnchor>
  <xdr:twoCellAnchor editAs="oneCell">
    <xdr:from>
      <xdr:col>9</xdr:col>
      <xdr:colOff>314325</xdr:colOff>
      <xdr:row>64</xdr:row>
      <xdr:rowOff>38100</xdr:rowOff>
    </xdr:from>
    <xdr:to>
      <xdr:col>9</xdr:col>
      <xdr:colOff>1114425</xdr:colOff>
      <xdr:row>65</xdr:row>
      <xdr:rowOff>34047</xdr:rowOff>
    </xdr:to>
    <xdr:pic>
      <xdr:nvPicPr>
        <xdr:cNvPr id="52" name="Picture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896725" y="4171950"/>
          <a:ext cx="800100" cy="300747"/>
        </a:xfrm>
        <a:prstGeom prst="rect">
          <a:avLst/>
        </a:prstGeom>
      </xdr:spPr>
    </xdr:pic>
    <xdr:clientData/>
  </xdr:twoCellAnchor>
  <xdr:twoCellAnchor editAs="oneCell">
    <xdr:from>
      <xdr:col>9</xdr:col>
      <xdr:colOff>0</xdr:colOff>
      <xdr:row>94</xdr:row>
      <xdr:rowOff>0</xdr:rowOff>
    </xdr:from>
    <xdr:to>
      <xdr:col>10</xdr:col>
      <xdr:colOff>37231</xdr:colOff>
      <xdr:row>98</xdr:row>
      <xdr:rowOff>85725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cstate="print"/>
        <a:stretch>
          <a:fillRect/>
        </a:stretch>
      </xdr:blipFill>
      <xdr:spPr>
        <a:xfrm>
          <a:off x="10934700" y="58083450"/>
          <a:ext cx="1627906" cy="847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43</xdr:row>
      <xdr:rowOff>0</xdr:rowOff>
    </xdr:from>
    <xdr:to>
      <xdr:col>7</xdr:col>
      <xdr:colOff>266700</xdr:colOff>
      <xdr:row>46</xdr:row>
      <xdr:rowOff>150199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0700" y="8048625"/>
          <a:ext cx="1428750" cy="721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219074</xdr:colOff>
      <xdr:row>35</xdr:row>
      <xdr:rowOff>0</xdr:rowOff>
    </xdr:from>
    <xdr:to>
      <xdr:col>37</xdr:col>
      <xdr:colOff>190499</xdr:colOff>
      <xdr:row>38</xdr:row>
      <xdr:rowOff>146050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49349" y="7305675"/>
          <a:ext cx="1495425" cy="717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6</xdr:col>
      <xdr:colOff>266700</xdr:colOff>
      <xdr:row>35</xdr:row>
      <xdr:rowOff>161925</xdr:rowOff>
    </xdr:from>
    <xdr:ext cx="1771650" cy="842595"/>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6650" y="87245825"/>
          <a:ext cx="1771650" cy="842595"/>
        </a:xfrm>
        <a:prstGeom prst="rect">
          <a:avLst/>
        </a:prstGeom>
      </xdr:spPr>
    </xdr:pic>
    <xdr:clientData/>
  </xdr:oneCellAnchor>
  <xdr:oneCellAnchor>
    <xdr:from>
      <xdr:col>6</xdr:col>
      <xdr:colOff>266700</xdr:colOff>
      <xdr:row>114</xdr:row>
      <xdr:rowOff>161925</xdr:rowOff>
    </xdr:from>
    <xdr:ext cx="1771650" cy="842595"/>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6650" y="98104325"/>
          <a:ext cx="1771650" cy="842595"/>
        </a:xfrm>
        <a:prstGeom prst="rect">
          <a:avLst/>
        </a:prstGeom>
      </xdr:spPr>
    </xdr:pic>
    <xdr:clientData/>
  </xdr:oneCellAnchor>
  <xdr:oneCellAnchor>
    <xdr:from>
      <xdr:col>6</xdr:col>
      <xdr:colOff>266700</xdr:colOff>
      <xdr:row>182</xdr:row>
      <xdr:rowOff>161925</xdr:rowOff>
    </xdr:from>
    <xdr:ext cx="1771650" cy="842595"/>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6650" y="100682425"/>
          <a:ext cx="1771650" cy="842595"/>
        </a:xfrm>
        <a:prstGeom prst="rect">
          <a:avLst/>
        </a:prstGeom>
      </xdr:spPr>
    </xdr:pic>
    <xdr:clientData/>
  </xdr:oneCellAnchor>
  <xdr:oneCellAnchor>
    <xdr:from>
      <xdr:col>6</xdr:col>
      <xdr:colOff>266700</xdr:colOff>
      <xdr:row>250</xdr:row>
      <xdr:rowOff>161925</xdr:rowOff>
    </xdr:from>
    <xdr:ext cx="1771650" cy="842595"/>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1767" y="83634792"/>
          <a:ext cx="1771650" cy="842595"/>
        </a:xfrm>
        <a:prstGeom prst="rect">
          <a:avLst/>
        </a:prstGeom>
      </xdr:spPr>
    </xdr:pic>
    <xdr:clientData/>
  </xdr:oneCellAnchor>
  <xdr:oneCellAnchor>
    <xdr:from>
      <xdr:col>6</xdr:col>
      <xdr:colOff>266700</xdr:colOff>
      <xdr:row>318</xdr:row>
      <xdr:rowOff>161925</xdr:rowOff>
    </xdr:from>
    <xdr:ext cx="1771650" cy="842595"/>
    <xdr:pic>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1767" y="83634792"/>
          <a:ext cx="1771650" cy="842595"/>
        </a:xfrm>
        <a:prstGeom prst="rect">
          <a:avLst/>
        </a:prstGeom>
      </xdr:spPr>
    </xdr:pic>
    <xdr:clientData/>
  </xdr:oneCellAnchor>
  <xdr:oneCellAnchor>
    <xdr:from>
      <xdr:col>6</xdr:col>
      <xdr:colOff>266700</xdr:colOff>
      <xdr:row>386</xdr:row>
      <xdr:rowOff>161925</xdr:rowOff>
    </xdr:from>
    <xdr:ext cx="1771650" cy="842595"/>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1767" y="83634792"/>
          <a:ext cx="1771650" cy="842595"/>
        </a:xfrm>
        <a:prstGeom prst="rect">
          <a:avLst/>
        </a:prstGeom>
      </xdr:spPr>
    </xdr:pic>
    <xdr:clientData/>
  </xdr:oneCellAnchor>
  <xdr:oneCellAnchor>
    <xdr:from>
      <xdr:col>6</xdr:col>
      <xdr:colOff>266700</xdr:colOff>
      <xdr:row>454</xdr:row>
      <xdr:rowOff>161925</xdr:rowOff>
    </xdr:from>
    <xdr:ext cx="1771650" cy="842595"/>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1767" y="83634792"/>
          <a:ext cx="1771650" cy="842595"/>
        </a:xfrm>
        <a:prstGeom prst="rect">
          <a:avLst/>
        </a:prstGeom>
      </xdr:spPr>
    </xdr:pic>
    <xdr:clientData/>
  </xdr:oneCellAnchor>
  <xdr:oneCellAnchor>
    <xdr:from>
      <xdr:col>6</xdr:col>
      <xdr:colOff>266700</xdr:colOff>
      <xdr:row>524</xdr:row>
      <xdr:rowOff>161925</xdr:rowOff>
    </xdr:from>
    <xdr:ext cx="1771650" cy="842595"/>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1767" y="83634792"/>
          <a:ext cx="1771650" cy="842595"/>
        </a:xfrm>
        <a:prstGeom prst="rect">
          <a:avLst/>
        </a:prstGeom>
      </xdr:spPr>
    </xdr:pic>
    <xdr:clientData/>
  </xdr:oneCellAnchor>
  <xdr:oneCellAnchor>
    <xdr:from>
      <xdr:col>6</xdr:col>
      <xdr:colOff>266700</xdr:colOff>
      <xdr:row>594</xdr:row>
      <xdr:rowOff>161925</xdr:rowOff>
    </xdr:from>
    <xdr:ext cx="1771650" cy="842595"/>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39367" y="123648258"/>
          <a:ext cx="1771650" cy="842595"/>
        </a:xfrm>
        <a:prstGeom prst="rect">
          <a:avLst/>
        </a:prstGeom>
      </xdr:spPr>
    </xdr:pic>
    <xdr:clientData/>
  </xdr:oneCellAnchor>
  <xdr:oneCellAnchor>
    <xdr:from>
      <xdr:col>6</xdr:col>
      <xdr:colOff>266700</xdr:colOff>
      <xdr:row>666</xdr:row>
      <xdr:rowOff>161925</xdr:rowOff>
    </xdr:from>
    <xdr:ext cx="1771650" cy="842595"/>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39367" y="132548842"/>
          <a:ext cx="1771650" cy="842595"/>
        </a:xfrm>
        <a:prstGeom prst="rect">
          <a:avLst/>
        </a:prstGeom>
      </xdr:spPr>
    </xdr:pic>
    <xdr:clientData/>
  </xdr:oneCellAnchor>
  <xdr:oneCellAnchor>
    <xdr:from>
      <xdr:col>6</xdr:col>
      <xdr:colOff>266700</xdr:colOff>
      <xdr:row>738</xdr:row>
      <xdr:rowOff>161925</xdr:rowOff>
    </xdr:from>
    <xdr:ext cx="1771650" cy="842595"/>
    <xdr:pic>
      <xdr:nvPicPr>
        <xdr:cNvPr id="20" name="Picture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39367" y="123648258"/>
          <a:ext cx="1771650" cy="842595"/>
        </a:xfrm>
        <a:prstGeom prst="rect">
          <a:avLst/>
        </a:prstGeom>
      </xdr:spPr>
    </xdr:pic>
    <xdr:clientData/>
  </xdr:oneCellAnchor>
  <xdr:oneCellAnchor>
    <xdr:from>
      <xdr:col>6</xdr:col>
      <xdr:colOff>266700</xdr:colOff>
      <xdr:row>780</xdr:row>
      <xdr:rowOff>161925</xdr:rowOff>
    </xdr:from>
    <xdr:ext cx="1771650" cy="842595"/>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39367" y="132548842"/>
          <a:ext cx="1771650" cy="842595"/>
        </a:xfrm>
        <a:prstGeom prst="rect">
          <a:avLst/>
        </a:prstGeom>
      </xdr:spPr>
    </xdr:pic>
    <xdr:clientData/>
  </xdr:oneCellAnchor>
  <xdr:oneCellAnchor>
    <xdr:from>
      <xdr:col>6</xdr:col>
      <xdr:colOff>266700</xdr:colOff>
      <xdr:row>852</xdr:row>
      <xdr:rowOff>161925</xdr:rowOff>
    </xdr:from>
    <xdr:ext cx="1771650" cy="842595"/>
    <xdr:pic>
      <xdr:nvPicPr>
        <xdr:cNvPr id="22" name="Picture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39367" y="123648258"/>
          <a:ext cx="1771650" cy="842595"/>
        </a:xfrm>
        <a:prstGeom prst="rect">
          <a:avLst/>
        </a:prstGeom>
      </xdr:spPr>
    </xdr:pic>
    <xdr:clientData/>
  </xdr:oneCellAnchor>
  <xdr:oneCellAnchor>
    <xdr:from>
      <xdr:col>6</xdr:col>
      <xdr:colOff>266700</xdr:colOff>
      <xdr:row>928</xdr:row>
      <xdr:rowOff>161925</xdr:rowOff>
    </xdr:from>
    <xdr:ext cx="1771650" cy="842595"/>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189963425"/>
          <a:ext cx="1771650" cy="842595"/>
        </a:xfrm>
        <a:prstGeom prst="rect">
          <a:avLst/>
        </a:prstGeom>
      </xdr:spPr>
    </xdr:pic>
    <xdr:clientData/>
  </xdr:oneCellAnchor>
  <xdr:oneCellAnchor>
    <xdr:from>
      <xdr:col>6</xdr:col>
      <xdr:colOff>266700</xdr:colOff>
      <xdr:row>1000</xdr:row>
      <xdr:rowOff>161925</xdr:rowOff>
    </xdr:from>
    <xdr:ext cx="1771650" cy="842595"/>
    <xdr:pic>
      <xdr:nvPicPr>
        <xdr:cNvPr id="31" name="Picture 30">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04970592"/>
          <a:ext cx="1771650" cy="842595"/>
        </a:xfrm>
        <a:prstGeom prst="rect">
          <a:avLst/>
        </a:prstGeom>
      </xdr:spPr>
    </xdr:pic>
    <xdr:clientData/>
  </xdr:oneCellAnchor>
  <xdr:oneCellAnchor>
    <xdr:from>
      <xdr:col>6</xdr:col>
      <xdr:colOff>266700</xdr:colOff>
      <xdr:row>1072</xdr:row>
      <xdr:rowOff>161925</xdr:rowOff>
    </xdr:from>
    <xdr:ext cx="1771650" cy="842595"/>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04970592"/>
          <a:ext cx="1771650" cy="842595"/>
        </a:xfrm>
        <a:prstGeom prst="rect">
          <a:avLst/>
        </a:prstGeom>
      </xdr:spPr>
    </xdr:pic>
    <xdr:clientData/>
  </xdr:oneCellAnchor>
  <xdr:oneCellAnchor>
    <xdr:from>
      <xdr:col>6</xdr:col>
      <xdr:colOff>266700</xdr:colOff>
      <xdr:row>1144</xdr:row>
      <xdr:rowOff>161925</xdr:rowOff>
    </xdr:from>
    <xdr:ext cx="1771650" cy="842595"/>
    <xdr:pic>
      <xdr:nvPicPr>
        <xdr:cNvPr id="37" name="Picture 36">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47706092"/>
          <a:ext cx="1771650" cy="842595"/>
        </a:xfrm>
        <a:prstGeom prst="rect">
          <a:avLst/>
        </a:prstGeom>
      </xdr:spPr>
    </xdr:pic>
    <xdr:clientData/>
  </xdr:oneCellAnchor>
  <xdr:oneCellAnchor>
    <xdr:from>
      <xdr:col>6</xdr:col>
      <xdr:colOff>266700</xdr:colOff>
      <xdr:row>1220</xdr:row>
      <xdr:rowOff>161925</xdr:rowOff>
    </xdr:from>
    <xdr:ext cx="1771650" cy="842595"/>
    <xdr:pic>
      <xdr:nvPicPr>
        <xdr:cNvPr id="38" name="Picture 37">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04970592"/>
          <a:ext cx="1771650" cy="842595"/>
        </a:xfrm>
        <a:prstGeom prst="rect">
          <a:avLst/>
        </a:prstGeom>
      </xdr:spPr>
    </xdr:pic>
    <xdr:clientData/>
  </xdr:oneCellAnchor>
  <xdr:oneCellAnchor>
    <xdr:from>
      <xdr:col>6</xdr:col>
      <xdr:colOff>266700</xdr:colOff>
      <xdr:row>1292</xdr:row>
      <xdr:rowOff>161925</xdr:rowOff>
    </xdr:from>
    <xdr:ext cx="1771650" cy="842595"/>
    <xdr:pic>
      <xdr:nvPicPr>
        <xdr:cNvPr id="39" name="Picture 38">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19215758"/>
          <a:ext cx="1771650" cy="842595"/>
        </a:xfrm>
        <a:prstGeom prst="rect">
          <a:avLst/>
        </a:prstGeom>
      </xdr:spPr>
    </xdr:pic>
    <xdr:clientData/>
  </xdr:oneCellAnchor>
  <xdr:oneCellAnchor>
    <xdr:from>
      <xdr:col>6</xdr:col>
      <xdr:colOff>266700</xdr:colOff>
      <xdr:row>1364</xdr:row>
      <xdr:rowOff>161925</xdr:rowOff>
    </xdr:from>
    <xdr:ext cx="1771650" cy="842595"/>
    <xdr:pic>
      <xdr:nvPicPr>
        <xdr:cNvPr id="40" name="Picture 39">
          <a:extLst>
            <a:ext uri="{FF2B5EF4-FFF2-40B4-BE49-F238E27FC236}">
              <a16:creationId xmlns:a16="http://schemas.microsoft.com/office/drawing/2014/main" id="{00000000-0008-0000-0400-00002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33460925"/>
          <a:ext cx="1771650" cy="842595"/>
        </a:xfrm>
        <a:prstGeom prst="rect">
          <a:avLst/>
        </a:prstGeom>
      </xdr:spPr>
    </xdr:pic>
    <xdr:clientData/>
  </xdr:oneCellAnchor>
  <xdr:oneCellAnchor>
    <xdr:from>
      <xdr:col>6</xdr:col>
      <xdr:colOff>266700</xdr:colOff>
      <xdr:row>1445</xdr:row>
      <xdr:rowOff>161925</xdr:rowOff>
    </xdr:from>
    <xdr:ext cx="1771650" cy="842595"/>
    <xdr:pic>
      <xdr:nvPicPr>
        <xdr:cNvPr id="41" name="Picture 40">
          <a:extLst>
            <a:ext uri="{FF2B5EF4-FFF2-40B4-BE49-F238E27FC236}">
              <a16:creationId xmlns:a16="http://schemas.microsoft.com/office/drawing/2014/main" id="{00000000-0008-0000-0400-00002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47706092"/>
          <a:ext cx="1771650" cy="842595"/>
        </a:xfrm>
        <a:prstGeom prst="rect">
          <a:avLst/>
        </a:prstGeom>
      </xdr:spPr>
    </xdr:pic>
    <xdr:clientData/>
  </xdr:oneCellAnchor>
  <xdr:oneCellAnchor>
    <xdr:from>
      <xdr:col>6</xdr:col>
      <xdr:colOff>266700</xdr:colOff>
      <xdr:row>1517</xdr:row>
      <xdr:rowOff>161925</xdr:rowOff>
    </xdr:from>
    <xdr:ext cx="1771650" cy="842595"/>
    <xdr:pic>
      <xdr:nvPicPr>
        <xdr:cNvPr id="42" name="Picture 41">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61951258"/>
          <a:ext cx="1771650" cy="842595"/>
        </a:xfrm>
        <a:prstGeom prst="rect">
          <a:avLst/>
        </a:prstGeom>
      </xdr:spPr>
    </xdr:pic>
    <xdr:clientData/>
  </xdr:oneCellAnchor>
  <xdr:oneCellAnchor>
    <xdr:from>
      <xdr:col>6</xdr:col>
      <xdr:colOff>266700</xdr:colOff>
      <xdr:row>1589</xdr:row>
      <xdr:rowOff>161925</xdr:rowOff>
    </xdr:from>
    <xdr:ext cx="1771650" cy="842595"/>
    <xdr:pic>
      <xdr:nvPicPr>
        <xdr:cNvPr id="43" name="Picture 42">
          <a:extLst>
            <a:ext uri="{FF2B5EF4-FFF2-40B4-BE49-F238E27FC236}">
              <a16:creationId xmlns:a16="http://schemas.microsoft.com/office/drawing/2014/main" id="{00000000-0008-0000-0400-00002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76196425"/>
          <a:ext cx="1771650" cy="842595"/>
        </a:xfrm>
        <a:prstGeom prst="rect">
          <a:avLst/>
        </a:prstGeom>
      </xdr:spPr>
    </xdr:pic>
    <xdr:clientData/>
  </xdr:oneCellAnchor>
  <xdr:oneCellAnchor>
    <xdr:from>
      <xdr:col>6</xdr:col>
      <xdr:colOff>266700</xdr:colOff>
      <xdr:row>1661</xdr:row>
      <xdr:rowOff>161925</xdr:rowOff>
    </xdr:from>
    <xdr:ext cx="1771650" cy="842595"/>
    <xdr:pic>
      <xdr:nvPicPr>
        <xdr:cNvPr id="44" name="Picture 43">
          <a:extLst>
            <a:ext uri="{FF2B5EF4-FFF2-40B4-BE49-F238E27FC236}">
              <a16:creationId xmlns:a16="http://schemas.microsoft.com/office/drawing/2014/main" id="{00000000-0008-0000-0400-00002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290441592"/>
          <a:ext cx="1771650" cy="842595"/>
        </a:xfrm>
        <a:prstGeom prst="rect">
          <a:avLst/>
        </a:prstGeom>
      </xdr:spPr>
    </xdr:pic>
    <xdr:clientData/>
  </xdr:oneCellAnchor>
  <xdr:oneCellAnchor>
    <xdr:from>
      <xdr:col>6</xdr:col>
      <xdr:colOff>266700</xdr:colOff>
      <xdr:row>1733</xdr:row>
      <xdr:rowOff>161925</xdr:rowOff>
    </xdr:from>
    <xdr:ext cx="1771650" cy="842595"/>
    <xdr:pic>
      <xdr:nvPicPr>
        <xdr:cNvPr id="45" name="Picture 44">
          <a:extLst>
            <a:ext uri="{FF2B5EF4-FFF2-40B4-BE49-F238E27FC236}">
              <a16:creationId xmlns:a16="http://schemas.microsoft.com/office/drawing/2014/main" id="{00000000-0008-0000-0400-00002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0" y="304686758"/>
          <a:ext cx="1771650" cy="84259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32</xdr:row>
      <xdr:rowOff>0</xdr:rowOff>
    </xdr:from>
    <xdr:to>
      <xdr:col>27</xdr:col>
      <xdr:colOff>19050</xdr:colOff>
      <xdr:row>36</xdr:row>
      <xdr:rowOff>38100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49775" y="10144125"/>
          <a:ext cx="1238250" cy="8001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9</xdr:col>
      <xdr:colOff>0</xdr:colOff>
      <xdr:row>40</xdr:row>
      <xdr:rowOff>0</xdr:rowOff>
    </xdr:from>
    <xdr:ext cx="2337046" cy="1117888"/>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07182" y="90729955"/>
          <a:ext cx="2337046" cy="1117888"/>
        </a:xfrm>
        <a:prstGeom prst="rect">
          <a:avLst/>
        </a:prstGeom>
      </xdr:spPr>
    </xdr:pic>
    <xdr:clientData/>
  </xdr:oneCellAnchor>
  <xdr:oneCellAnchor>
    <xdr:from>
      <xdr:col>9</xdr:col>
      <xdr:colOff>0</xdr:colOff>
      <xdr:row>94</xdr:row>
      <xdr:rowOff>0</xdr:rowOff>
    </xdr:from>
    <xdr:ext cx="2337046" cy="1117888"/>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07182" y="117792500"/>
          <a:ext cx="2337046" cy="1117888"/>
        </a:xfrm>
        <a:prstGeom prst="rect">
          <a:avLst/>
        </a:prstGeom>
      </xdr:spPr>
    </xdr:pic>
    <xdr:clientData/>
  </xdr:oneCellAnchor>
  <xdr:oneCellAnchor>
    <xdr:from>
      <xdr:col>9</xdr:col>
      <xdr:colOff>0</xdr:colOff>
      <xdr:row>148</xdr:row>
      <xdr:rowOff>0</xdr:rowOff>
    </xdr:from>
    <xdr:ext cx="2337046" cy="1117888"/>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07182" y="130706091"/>
          <a:ext cx="2337046" cy="1117888"/>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18</xdr:col>
      <xdr:colOff>456292</xdr:colOff>
      <xdr:row>5</xdr:row>
      <xdr:rowOff>47625</xdr:rowOff>
    </xdr:to>
    <xdr:pic>
      <xdr:nvPicPr>
        <xdr:cNvPr id="19" name="Picture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32900" y="67792600"/>
          <a:ext cx="2285092" cy="1114425"/>
        </a:xfrm>
        <a:prstGeom prst="rect">
          <a:avLst/>
        </a:prstGeom>
      </xdr:spPr>
    </xdr:pic>
    <xdr:clientData/>
  </xdr:twoCellAnchor>
  <xdr:twoCellAnchor editAs="oneCell">
    <xdr:from>
      <xdr:col>5</xdr:col>
      <xdr:colOff>0</xdr:colOff>
      <xdr:row>32</xdr:row>
      <xdr:rowOff>0</xdr:rowOff>
    </xdr:from>
    <xdr:to>
      <xdr:col>8</xdr:col>
      <xdr:colOff>456292</xdr:colOff>
      <xdr:row>38</xdr:row>
      <xdr:rowOff>9525</xdr:rowOff>
    </xdr:to>
    <xdr:pic>
      <xdr:nvPicPr>
        <xdr:cNvPr id="20" name="Picture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0" y="76612750"/>
          <a:ext cx="2285092" cy="1114425"/>
        </a:xfrm>
        <a:prstGeom prst="rect">
          <a:avLst/>
        </a:prstGeom>
      </xdr:spPr>
    </xdr:pic>
    <xdr:clientData/>
  </xdr:twoCellAnchor>
  <xdr:twoCellAnchor editAs="oneCell">
    <xdr:from>
      <xdr:col>15</xdr:col>
      <xdr:colOff>0</xdr:colOff>
      <xdr:row>32</xdr:row>
      <xdr:rowOff>0</xdr:rowOff>
    </xdr:from>
    <xdr:to>
      <xdr:col>18</xdr:col>
      <xdr:colOff>456292</xdr:colOff>
      <xdr:row>38</xdr:row>
      <xdr:rowOff>9525</xdr:rowOff>
    </xdr:to>
    <xdr:pic>
      <xdr:nvPicPr>
        <xdr:cNvPr id="21" name="Picture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32900" y="76612750"/>
          <a:ext cx="2285092" cy="1114425"/>
        </a:xfrm>
        <a:prstGeom prst="rect">
          <a:avLst/>
        </a:prstGeom>
      </xdr:spPr>
    </xdr:pic>
    <xdr:clientData/>
  </xdr:twoCellAnchor>
  <xdr:twoCellAnchor editAs="oneCell">
    <xdr:from>
      <xdr:col>5</xdr:col>
      <xdr:colOff>0</xdr:colOff>
      <xdr:row>78</xdr:row>
      <xdr:rowOff>0</xdr:rowOff>
    </xdr:from>
    <xdr:to>
      <xdr:col>8</xdr:col>
      <xdr:colOff>457398</xdr:colOff>
      <xdr:row>84</xdr:row>
      <xdr:rowOff>10765</xdr:rowOff>
    </xdr:to>
    <xdr:pic>
      <xdr:nvPicPr>
        <xdr:cNvPr id="16" name="Picture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2" cstate="print"/>
        <a:stretch>
          <a:fillRect/>
        </a:stretch>
      </xdr:blipFill>
      <xdr:spPr>
        <a:xfrm>
          <a:off x="3048000" y="85248750"/>
          <a:ext cx="2286198" cy="1115665"/>
        </a:xfrm>
        <a:prstGeom prst="rect">
          <a:avLst/>
        </a:prstGeom>
      </xdr:spPr>
    </xdr:pic>
    <xdr:clientData/>
  </xdr:twoCellAnchor>
  <xdr:twoCellAnchor editAs="oneCell">
    <xdr:from>
      <xdr:col>15</xdr:col>
      <xdr:colOff>0</xdr:colOff>
      <xdr:row>78</xdr:row>
      <xdr:rowOff>0</xdr:rowOff>
    </xdr:from>
    <xdr:to>
      <xdr:col>18</xdr:col>
      <xdr:colOff>457398</xdr:colOff>
      <xdr:row>84</xdr:row>
      <xdr:rowOff>10765</xdr:rowOff>
    </xdr:to>
    <xdr:pic>
      <xdr:nvPicPr>
        <xdr:cNvPr id="17" name="Picture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2" cstate="print"/>
        <a:stretch>
          <a:fillRect/>
        </a:stretch>
      </xdr:blipFill>
      <xdr:spPr>
        <a:xfrm>
          <a:off x="9232900" y="85248750"/>
          <a:ext cx="2286198" cy="1115665"/>
        </a:xfrm>
        <a:prstGeom prst="rect">
          <a:avLst/>
        </a:prstGeom>
      </xdr:spPr>
    </xdr:pic>
    <xdr:clientData/>
  </xdr:twoCellAnchor>
  <xdr:twoCellAnchor editAs="oneCell">
    <xdr:from>
      <xdr:col>5</xdr:col>
      <xdr:colOff>0</xdr:colOff>
      <xdr:row>125</xdr:row>
      <xdr:rowOff>0</xdr:rowOff>
    </xdr:from>
    <xdr:to>
      <xdr:col>8</xdr:col>
      <xdr:colOff>457398</xdr:colOff>
      <xdr:row>131</xdr:row>
      <xdr:rowOff>10765</xdr:rowOff>
    </xdr:to>
    <xdr:pic>
      <xdr:nvPicPr>
        <xdr:cNvPr id="22" name="Picture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3" cstate="print"/>
        <a:stretch>
          <a:fillRect/>
        </a:stretch>
      </xdr:blipFill>
      <xdr:spPr>
        <a:xfrm>
          <a:off x="3048000" y="94068900"/>
          <a:ext cx="2286198" cy="1115665"/>
        </a:xfrm>
        <a:prstGeom prst="rect">
          <a:avLst/>
        </a:prstGeom>
      </xdr:spPr>
    </xdr:pic>
    <xdr:clientData/>
  </xdr:twoCellAnchor>
  <xdr:twoCellAnchor editAs="oneCell">
    <xdr:from>
      <xdr:col>16</xdr:col>
      <xdr:colOff>0</xdr:colOff>
      <xdr:row>125</xdr:row>
      <xdr:rowOff>0</xdr:rowOff>
    </xdr:from>
    <xdr:to>
      <xdr:col>19</xdr:col>
      <xdr:colOff>198</xdr:colOff>
      <xdr:row>131</xdr:row>
      <xdr:rowOff>10765</xdr:rowOff>
    </xdr:to>
    <xdr:pic>
      <xdr:nvPicPr>
        <xdr:cNvPr id="23" name="Picture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3" cstate="print"/>
        <a:stretch>
          <a:fillRect/>
        </a:stretch>
      </xdr:blipFill>
      <xdr:spPr>
        <a:xfrm>
          <a:off x="9842500" y="94068900"/>
          <a:ext cx="2286198" cy="11156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419100</xdr:colOff>
      <xdr:row>34</xdr:row>
      <xdr:rowOff>190500</xdr:rowOff>
    </xdr:from>
    <xdr:to>
      <xdr:col>13</xdr:col>
      <xdr:colOff>371475</xdr:colOff>
      <xdr:row>39</xdr:row>
      <xdr:rowOff>22859</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77300" y="8791575"/>
          <a:ext cx="1781175" cy="7848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0</xdr:colOff>
      <xdr:row>31</xdr:row>
      <xdr:rowOff>0</xdr:rowOff>
    </xdr:from>
    <xdr:to>
      <xdr:col>8</xdr:col>
      <xdr:colOff>456292</xdr:colOff>
      <xdr:row>37</xdr:row>
      <xdr:rowOff>9525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2575" y="6572250"/>
          <a:ext cx="2285092" cy="1152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0</xdr:colOff>
      <xdr:row>30</xdr:row>
      <xdr:rowOff>0</xdr:rowOff>
    </xdr:from>
    <xdr:to>
      <xdr:col>8</xdr:col>
      <xdr:colOff>456292</xdr:colOff>
      <xdr:row>36</xdr:row>
      <xdr:rowOff>9525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53025" y="6276975"/>
          <a:ext cx="2285092" cy="1152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590550</xdr:colOff>
      <xdr:row>31</xdr:row>
      <xdr:rowOff>95250</xdr:rowOff>
    </xdr:from>
    <xdr:to>
      <xdr:col>9</xdr:col>
      <xdr:colOff>437242</xdr:colOff>
      <xdr:row>37</xdr:row>
      <xdr:rowOff>104775</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57900" y="6638925"/>
          <a:ext cx="2285092" cy="1152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0</xdr:colOff>
      <xdr:row>28</xdr:row>
      <xdr:rowOff>0</xdr:rowOff>
    </xdr:from>
    <xdr:to>
      <xdr:col>9</xdr:col>
      <xdr:colOff>456292</xdr:colOff>
      <xdr:row>34</xdr:row>
      <xdr:rowOff>9525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0" y="6496050"/>
          <a:ext cx="2285092" cy="1152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11</xdr:col>
      <xdr:colOff>647700</xdr:colOff>
      <xdr:row>24</xdr:row>
      <xdr:rowOff>152400</xdr:rowOff>
    </xdr:from>
    <xdr:to>
      <xdr:col>15</xdr:col>
      <xdr:colOff>27667</xdr:colOff>
      <xdr:row>30</xdr:row>
      <xdr:rowOff>161925</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91550" y="7067550"/>
          <a:ext cx="2285092" cy="11525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1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11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11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1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2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2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2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2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2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2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2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20B%20URGEON-PAY%20SHEET%20April-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ddi/Desktop/&amp;&amp;%5e%5eBURGEONPAY%20SHEET%20March-22%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APRIL- 2022"/>
      <sheetName val="Emp Details "/>
      <sheetName val="kaja Venkat Ragavendra"/>
      <sheetName val="Venegella Kanaka durga"/>
      <sheetName val="Moeenahmed Shakilahmed Shaikh"/>
      <sheetName val="AKASH DEEP CHUNAP "/>
      <sheetName val="Gaunda Mohammad Arief"/>
      <sheetName val="KRANTHI KUMAR VEDULLA"/>
      <sheetName val="Vipin U.N"/>
      <sheetName val="VeerendraBabu Galam"/>
      <sheetName val="Haneef"/>
      <sheetName val="Ved Prakash"/>
      <sheetName val="GauravVispute"/>
      <sheetName val="Amith a"/>
      <sheetName val="RajasekharReddy KN"/>
      <sheetName val="Moulika GM"/>
      <sheetName val="AsokKumar J"/>
      <sheetName val="RUKNUDEEN S"/>
      <sheetName val="Rajesh Kongara"/>
      <sheetName val="Yarramaddu Raveendra Reddy"/>
      <sheetName val="Naresh Kandhula"/>
      <sheetName val="Reno Vijayan"/>
      <sheetName val="Majed Khan"/>
      <sheetName val="SathishKumar V"/>
      <sheetName val="Madan"/>
      <sheetName val="Kutagolla Mohazzer"/>
      <sheetName val="Sachin Ameshram"/>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Inturi Ramakrishna"/>
      <sheetName val="D.Santhoshi"/>
      <sheetName val="Bharath"/>
      <sheetName val="NEERUDU SAI KUMAR"/>
      <sheetName val="Ramineni Abhilash"/>
      <sheetName val="SRILATHA"/>
      <sheetName val="Reshma Punde"/>
      <sheetName val="Shantanu Patankar "/>
      <sheetName val="YAMUNA S "/>
      <sheetName val="ChetanMadhukar Mundhe "/>
      <sheetName val="Chandrashekar Patil"/>
      <sheetName val="ShaikFarooq Basha "/>
      <sheetName val="SathishKumar dhandu"/>
      <sheetName val=" SURESH Kumar KOLA"/>
      <sheetName val="Varalakshmi Vijay"/>
      <sheetName val="Rammohan Mothukuri"/>
      <sheetName val="NILOTPAL BHOWAL"/>
      <sheetName val="PraveenKumar GATTU"/>
      <sheetName val="ANILKUMAR MUMMANA"/>
      <sheetName val="susheelKumar Gabndla"/>
      <sheetName val="Ravi Gande "/>
      <sheetName val="Rahul Suryawanshi"/>
    </sheetNames>
    <sheetDataSet>
      <sheetData sheetId="0">
        <row r="57">
          <cell r="C57" t="str">
            <v>BITS-652</v>
          </cell>
          <cell r="E57" t="str">
            <v>Shaikh Mohammed Sartaj</v>
          </cell>
          <cell r="F57" t="str">
            <v>PUNE SEZ 2</v>
          </cell>
          <cell r="G57">
            <v>90000</v>
          </cell>
          <cell r="H57">
            <v>80278</v>
          </cell>
          <cell r="I57">
            <v>30</v>
          </cell>
          <cell r="J57">
            <v>29</v>
          </cell>
          <cell r="K57">
            <v>1</v>
          </cell>
          <cell r="L57">
            <v>30</v>
          </cell>
          <cell r="M57">
            <v>48166.8</v>
          </cell>
          <cell r="N57">
            <v>19266.72</v>
          </cell>
          <cell r="O57">
            <v>2083</v>
          </cell>
          <cell r="P57">
            <v>2083</v>
          </cell>
          <cell r="Q57">
            <v>8791.4799999999959</v>
          </cell>
          <cell r="R57">
            <v>80391</v>
          </cell>
          <cell r="S57">
            <v>1950</v>
          </cell>
          <cell r="T57">
            <v>1554.6089999999999</v>
          </cell>
          <cell r="U57">
            <v>2316.8230800000001</v>
          </cell>
          <cell r="V57">
            <v>4013.9</v>
          </cell>
          <cell r="W57">
            <v>90226.332079999993</v>
          </cell>
          <cell r="Y57">
            <v>80391</v>
          </cell>
          <cell r="AA57">
            <v>200</v>
          </cell>
          <cell r="AB57">
            <v>1800</v>
          </cell>
          <cell r="AC57">
            <v>254</v>
          </cell>
          <cell r="AE57">
            <v>2254</v>
          </cell>
          <cell r="AF57">
            <v>86022.332079999993</v>
          </cell>
        </row>
        <row r="58">
          <cell r="C58" t="str">
            <v>BITS-654</v>
          </cell>
          <cell r="E58" t="str">
            <v>Dinesh Kumar Maran</v>
          </cell>
          <cell r="F58" t="str">
            <v>Chennai STP</v>
          </cell>
          <cell r="G58">
            <v>50000</v>
          </cell>
          <cell r="H58">
            <v>43202</v>
          </cell>
          <cell r="I58">
            <v>30</v>
          </cell>
          <cell r="J58">
            <v>29</v>
          </cell>
          <cell r="K58">
            <v>1</v>
          </cell>
          <cell r="L58">
            <v>30</v>
          </cell>
          <cell r="M58">
            <v>25921.200000000001</v>
          </cell>
          <cell r="N58">
            <v>10368.480000000001</v>
          </cell>
          <cell r="O58">
            <v>2083</v>
          </cell>
          <cell r="P58">
            <v>2083</v>
          </cell>
          <cell r="Q58">
            <v>2859.3199999999997</v>
          </cell>
          <cell r="R58">
            <v>43315</v>
          </cell>
          <cell r="S58">
            <v>1950</v>
          </cell>
          <cell r="T58">
            <v>1554.6089999999999</v>
          </cell>
          <cell r="U58">
            <v>1246.80972</v>
          </cell>
          <cell r="V58">
            <v>2160.1</v>
          </cell>
          <cell r="W58">
            <v>50226.518719999993</v>
          </cell>
          <cell r="Y58">
            <v>43315</v>
          </cell>
          <cell r="AA58">
            <v>200</v>
          </cell>
          <cell r="AB58">
            <v>1800</v>
          </cell>
          <cell r="AC58">
            <v>254</v>
          </cell>
          <cell r="AE58">
            <v>2254</v>
          </cell>
          <cell r="AF58">
            <v>46022.518719999993</v>
          </cell>
        </row>
        <row r="59">
          <cell r="C59" t="str">
            <v>BITS-656</v>
          </cell>
          <cell r="E59" t="str">
            <v>Ranjith Kumar Karanam</v>
          </cell>
          <cell r="F59" t="str">
            <v>HYD STP</v>
          </cell>
          <cell r="G59">
            <v>120000</v>
          </cell>
          <cell r="H59">
            <v>108085</v>
          </cell>
          <cell r="I59">
            <v>30</v>
          </cell>
          <cell r="J59">
            <v>29</v>
          </cell>
          <cell r="K59">
            <v>1</v>
          </cell>
          <cell r="L59">
            <v>30</v>
          </cell>
          <cell r="M59">
            <v>64851</v>
          </cell>
          <cell r="N59">
            <v>25940.400000000001</v>
          </cell>
          <cell r="O59">
            <v>2083</v>
          </cell>
          <cell r="P59">
            <v>2083</v>
          </cell>
          <cell r="Q59">
            <v>13240.600000000006</v>
          </cell>
          <cell r="R59">
            <v>108198</v>
          </cell>
          <cell r="S59">
            <v>1950</v>
          </cell>
          <cell r="T59">
            <v>1554.6089999999999</v>
          </cell>
          <cell r="U59">
            <v>3119.3330999999998</v>
          </cell>
          <cell r="V59">
            <v>5404.25</v>
          </cell>
          <cell r="W59">
            <v>120226.1921</v>
          </cell>
          <cell r="Y59">
            <v>108198</v>
          </cell>
          <cell r="AA59">
            <v>200</v>
          </cell>
          <cell r="AB59">
            <v>1800</v>
          </cell>
          <cell r="AC59">
            <v>254</v>
          </cell>
          <cell r="AE59">
            <v>2254</v>
          </cell>
          <cell r="AF59">
            <v>116022.1921</v>
          </cell>
        </row>
        <row r="60">
          <cell r="C60" t="str">
            <v>BITS-658</v>
          </cell>
          <cell r="E60" t="str">
            <v>Anjali Dubey</v>
          </cell>
          <cell r="F60" t="str">
            <v>PUNE ASC SEZ</v>
          </cell>
          <cell r="G60">
            <v>67000</v>
          </cell>
          <cell r="H60">
            <v>58959</v>
          </cell>
          <cell r="I60">
            <v>30</v>
          </cell>
          <cell r="J60">
            <v>27</v>
          </cell>
          <cell r="K60">
            <v>3</v>
          </cell>
          <cell r="L60">
            <v>28</v>
          </cell>
          <cell r="M60">
            <v>33017.040000000001</v>
          </cell>
          <cell r="N60">
            <v>13206.816000000001</v>
          </cell>
          <cell r="O60">
            <v>1944</v>
          </cell>
          <cell r="P60">
            <v>1944</v>
          </cell>
          <cell r="Q60">
            <v>5029.5440000000017</v>
          </cell>
          <cell r="R60">
            <v>55141.4</v>
          </cell>
          <cell r="S60">
            <v>1950</v>
          </cell>
          <cell r="T60">
            <v>1554.6089999999999</v>
          </cell>
          <cell r="U60">
            <v>1588.1196239999999</v>
          </cell>
          <cell r="V60">
            <v>2751.42</v>
          </cell>
          <cell r="W60">
            <v>62985.548623999995</v>
          </cell>
          <cell r="Y60">
            <v>55141.4</v>
          </cell>
          <cell r="AA60">
            <v>200</v>
          </cell>
          <cell r="AB60">
            <v>1800</v>
          </cell>
          <cell r="AC60">
            <v>254</v>
          </cell>
          <cell r="AE60">
            <v>2254</v>
          </cell>
          <cell r="AF60">
            <v>58781.148623999994</v>
          </cell>
        </row>
        <row r="61">
          <cell r="C61" t="str">
            <v>BITS-659</v>
          </cell>
          <cell r="E61" t="str">
            <v>Manzoor Ahamed</v>
          </cell>
          <cell r="F61" t="str">
            <v>BNG STP</v>
          </cell>
          <cell r="G61">
            <v>245000</v>
          </cell>
          <cell r="H61">
            <v>223948</v>
          </cell>
          <cell r="I61">
            <v>30</v>
          </cell>
          <cell r="J61">
            <v>30</v>
          </cell>
          <cell r="L61">
            <v>30</v>
          </cell>
          <cell r="M61">
            <v>134368.79999999999</v>
          </cell>
          <cell r="N61">
            <v>53747.519999999997</v>
          </cell>
          <cell r="O61">
            <v>2083</v>
          </cell>
          <cell r="P61">
            <v>2083</v>
          </cell>
          <cell r="Q61">
            <v>31778.680000000022</v>
          </cell>
          <cell r="R61">
            <v>224061</v>
          </cell>
          <cell r="S61">
            <v>1950</v>
          </cell>
          <cell r="T61">
            <v>1554.6089999999999</v>
          </cell>
          <cell r="U61">
            <v>6463.1392799999985</v>
          </cell>
          <cell r="V61">
            <v>11197.4</v>
          </cell>
          <cell r="W61">
            <v>245226.14827999999</v>
          </cell>
          <cell r="Y61">
            <v>224061</v>
          </cell>
          <cell r="AA61">
            <v>200</v>
          </cell>
          <cell r="AB61">
            <v>1800</v>
          </cell>
          <cell r="AC61">
            <v>286</v>
          </cell>
          <cell r="AE61">
            <v>2286</v>
          </cell>
          <cell r="AF61">
            <v>240990.14827999999</v>
          </cell>
        </row>
        <row r="62">
          <cell r="C62" t="str">
            <v>BITS-660</v>
          </cell>
          <cell r="E62" t="str">
            <v>Moin Ahemad Jahur Ahemad Kumarkiri</v>
          </cell>
          <cell r="F62" t="str">
            <v>PUNE SEZ 2</v>
          </cell>
          <cell r="G62">
            <v>158000</v>
          </cell>
          <cell r="H62">
            <v>143307</v>
          </cell>
          <cell r="I62">
            <v>30</v>
          </cell>
          <cell r="J62">
            <v>30</v>
          </cell>
          <cell r="L62">
            <v>30</v>
          </cell>
          <cell r="M62">
            <v>85984.2</v>
          </cell>
          <cell r="N62">
            <v>34393.68</v>
          </cell>
          <cell r="O62">
            <v>2083</v>
          </cell>
          <cell r="P62">
            <v>2083</v>
          </cell>
          <cell r="Q62">
            <v>18876.119999999995</v>
          </cell>
          <cell r="R62">
            <v>143420</v>
          </cell>
          <cell r="S62">
            <v>1950</v>
          </cell>
          <cell r="T62">
            <v>1554.6089999999999</v>
          </cell>
          <cell r="U62">
            <v>4135.8400199999996</v>
          </cell>
          <cell r="V62">
            <v>7165.3499999999995</v>
          </cell>
          <cell r="W62">
            <v>158225.79902000001</v>
          </cell>
          <cell r="Y62">
            <v>143420</v>
          </cell>
          <cell r="AA62">
            <v>200</v>
          </cell>
          <cell r="AB62">
            <v>1800</v>
          </cell>
          <cell r="AC62">
            <v>254</v>
          </cell>
          <cell r="AE62">
            <v>2254</v>
          </cell>
          <cell r="AF62">
            <v>154021.79902000001</v>
          </cell>
        </row>
        <row r="63">
          <cell r="C63" t="str">
            <v>BITS-661</v>
          </cell>
          <cell r="E63" t="str">
            <v>Hemanth Mishra</v>
          </cell>
          <cell r="F63" t="str">
            <v>PUNE SEZ 1</v>
          </cell>
          <cell r="G63">
            <v>110000</v>
          </cell>
          <cell r="H63">
            <v>98816</v>
          </cell>
          <cell r="I63">
            <v>30</v>
          </cell>
          <cell r="J63">
            <v>29</v>
          </cell>
          <cell r="K63">
            <v>1</v>
          </cell>
          <cell r="L63">
            <v>30</v>
          </cell>
          <cell r="M63">
            <v>59289.599999999999</v>
          </cell>
          <cell r="N63">
            <v>23715.84</v>
          </cell>
          <cell r="O63">
            <v>2083</v>
          </cell>
          <cell r="P63">
            <v>2083</v>
          </cell>
          <cell r="Q63">
            <v>11757.559999999998</v>
          </cell>
          <cell r="R63">
            <v>98929</v>
          </cell>
          <cell r="S63">
            <v>1950</v>
          </cell>
          <cell r="T63">
            <v>1554.6089999999999</v>
          </cell>
          <cell r="U63">
            <v>2851.8297599999996</v>
          </cell>
          <cell r="V63">
            <v>4940.8</v>
          </cell>
          <cell r="W63">
            <v>110226.23875999999</v>
          </cell>
          <cell r="Y63">
            <v>98929</v>
          </cell>
          <cell r="AA63">
            <v>200</v>
          </cell>
          <cell r="AB63">
            <v>1800</v>
          </cell>
          <cell r="AC63">
            <v>254</v>
          </cell>
          <cell r="AE63">
            <v>2254</v>
          </cell>
          <cell r="AF63">
            <v>106022.23875999999</v>
          </cell>
        </row>
        <row r="64">
          <cell r="C64" t="str">
            <v>BITS-663</v>
          </cell>
          <cell r="E64" t="str">
            <v>FAZALAHMED IRKAL 22-4-2022</v>
          </cell>
          <cell r="F64" t="str">
            <v>PUNE SEZ 1</v>
          </cell>
          <cell r="G64">
            <v>68000</v>
          </cell>
          <cell r="H64">
            <v>59886</v>
          </cell>
          <cell r="I64">
            <v>30</v>
          </cell>
          <cell r="J64">
            <v>22</v>
          </cell>
          <cell r="L64">
            <v>22</v>
          </cell>
          <cell r="M64">
            <v>26349.84</v>
          </cell>
          <cell r="N64">
            <v>10539.936000000002</v>
          </cell>
          <cell r="O64">
            <v>1528</v>
          </cell>
          <cell r="P64">
            <v>1528</v>
          </cell>
          <cell r="Q64">
            <v>4083.6240000000034</v>
          </cell>
          <cell r="R64">
            <v>44029.4</v>
          </cell>
          <cell r="S64">
            <v>1950</v>
          </cell>
          <cell r="T64">
            <v>1554.6089999999999</v>
          </cell>
          <cell r="U64">
            <v>1267.4273039999998</v>
          </cell>
          <cell r="V64">
            <v>2195.8200000000002</v>
          </cell>
          <cell r="W64">
            <v>50997.256303999995</v>
          </cell>
          <cell r="Y64">
            <v>44029.4</v>
          </cell>
          <cell r="AA64">
            <v>200</v>
          </cell>
          <cell r="AB64">
            <v>1800</v>
          </cell>
          <cell r="AC64">
            <v>254</v>
          </cell>
          <cell r="AE64">
            <v>2254</v>
          </cell>
          <cell r="AF64">
            <v>46792.856303999994</v>
          </cell>
        </row>
        <row r="65">
          <cell r="C65" t="str">
            <v>BITS-664</v>
          </cell>
          <cell r="E65" t="str">
            <v>Savana Saritha Dora</v>
          </cell>
          <cell r="F65" t="str">
            <v>PUNE SEZ 2</v>
          </cell>
          <cell r="G65">
            <v>63000</v>
          </cell>
          <cell r="H65">
            <v>55251</v>
          </cell>
          <cell r="I65">
            <v>30</v>
          </cell>
          <cell r="J65">
            <v>29</v>
          </cell>
          <cell r="K65">
            <v>1</v>
          </cell>
          <cell r="L65">
            <v>30</v>
          </cell>
          <cell r="M65">
            <v>33150.6</v>
          </cell>
          <cell r="N65">
            <v>13260.24</v>
          </cell>
          <cell r="O65">
            <v>2083</v>
          </cell>
          <cell r="P65">
            <v>2083</v>
          </cell>
          <cell r="Q65">
            <v>4787.1600000000035</v>
          </cell>
          <cell r="R65">
            <v>55364</v>
          </cell>
          <cell r="S65">
            <v>1950</v>
          </cell>
          <cell r="T65">
            <v>1554.6089999999999</v>
          </cell>
          <cell r="U65">
            <v>1594.5438599999998</v>
          </cell>
          <cell r="V65">
            <v>2762.5499999999997</v>
          </cell>
          <cell r="W65">
            <v>63225.702859999998</v>
          </cell>
          <cell r="Y65">
            <v>55364</v>
          </cell>
          <cell r="AA65">
            <v>200</v>
          </cell>
          <cell r="AB65">
            <v>1800</v>
          </cell>
          <cell r="AC65">
            <v>286</v>
          </cell>
          <cell r="AE65">
            <v>2286</v>
          </cell>
          <cell r="AF65">
            <v>58989.702859999998</v>
          </cell>
        </row>
        <row r="66">
          <cell r="C66" t="str">
            <v>BITS-667</v>
          </cell>
          <cell r="E66" t="str">
            <v>SUKRUTH YELLAMBOTLA</v>
          </cell>
          <cell r="F66" t="str">
            <v>PUNE SEZ 1</v>
          </cell>
          <cell r="G66">
            <v>42000</v>
          </cell>
          <cell r="H66">
            <v>35786</v>
          </cell>
          <cell r="I66">
            <v>30</v>
          </cell>
          <cell r="J66">
            <v>29</v>
          </cell>
          <cell r="K66">
            <v>1</v>
          </cell>
          <cell r="L66">
            <v>30</v>
          </cell>
          <cell r="M66">
            <v>21471.599999999999</v>
          </cell>
          <cell r="N66">
            <v>8588.64</v>
          </cell>
          <cell r="O66">
            <v>2083</v>
          </cell>
          <cell r="P66">
            <v>2083</v>
          </cell>
          <cell r="Q66">
            <v>1672.760000000002</v>
          </cell>
          <cell r="R66">
            <v>35899</v>
          </cell>
          <cell r="S66">
            <v>1950</v>
          </cell>
          <cell r="T66">
            <v>1554.6089999999999</v>
          </cell>
          <cell r="U66">
            <v>1032.7839599999998</v>
          </cell>
          <cell r="V66">
            <v>1789.3</v>
          </cell>
          <cell r="W66">
            <v>42225.69296</v>
          </cell>
          <cell r="Y66">
            <v>35899</v>
          </cell>
          <cell r="AA66">
            <v>200</v>
          </cell>
          <cell r="AB66">
            <v>1800</v>
          </cell>
          <cell r="AC66">
            <v>252</v>
          </cell>
          <cell r="AE66">
            <v>2252</v>
          </cell>
          <cell r="AF66">
            <v>38023.69296</v>
          </cell>
        </row>
        <row r="67">
          <cell r="C67" t="str">
            <v>BITS-668</v>
          </cell>
          <cell r="E67" t="str">
            <v xml:space="preserve">Mandar Shetty </v>
          </cell>
          <cell r="F67" t="str">
            <v>PUNE SEZ 2</v>
          </cell>
          <cell r="G67">
            <v>116000</v>
          </cell>
          <cell r="H67">
            <v>104377</v>
          </cell>
          <cell r="I67">
            <v>30</v>
          </cell>
          <cell r="J67">
            <v>29</v>
          </cell>
          <cell r="K67">
            <v>1</v>
          </cell>
          <cell r="L67">
            <v>30</v>
          </cell>
          <cell r="M67">
            <v>62626.2</v>
          </cell>
          <cell r="N67">
            <v>25050.48</v>
          </cell>
          <cell r="O67">
            <v>2083</v>
          </cell>
          <cell r="P67">
            <v>2083</v>
          </cell>
          <cell r="Q67">
            <v>12647.320000000007</v>
          </cell>
          <cell r="R67">
            <v>104490</v>
          </cell>
          <cell r="S67">
            <v>1950</v>
          </cell>
          <cell r="T67">
            <v>1554.6089999999999</v>
          </cell>
          <cell r="U67">
            <v>3012.3202199999996</v>
          </cell>
          <cell r="V67">
            <v>5218.8499999999995</v>
          </cell>
          <cell r="W67">
            <v>116225.77922</v>
          </cell>
          <cell r="Y67">
            <v>104490</v>
          </cell>
          <cell r="AA67">
            <v>200</v>
          </cell>
          <cell r="AB67">
            <v>1800</v>
          </cell>
          <cell r="AC67">
            <v>283</v>
          </cell>
          <cell r="AE67">
            <v>2283</v>
          </cell>
          <cell r="AF67">
            <v>111992.77922</v>
          </cell>
        </row>
        <row r="68">
          <cell r="C68" t="str">
            <v>BITS-671</v>
          </cell>
          <cell r="E68" t="str">
            <v>Ramakrishna J Reddy</v>
          </cell>
          <cell r="F68" t="str">
            <v>BNG STP</v>
          </cell>
          <cell r="G68">
            <v>210000</v>
          </cell>
          <cell r="H68">
            <v>191506</v>
          </cell>
          <cell r="I68">
            <v>30</v>
          </cell>
          <cell r="J68">
            <v>27</v>
          </cell>
          <cell r="K68">
            <v>3</v>
          </cell>
          <cell r="L68">
            <v>28</v>
          </cell>
          <cell r="M68">
            <v>107243.36</v>
          </cell>
          <cell r="N68">
            <v>42897.344000000005</v>
          </cell>
          <cell r="O68">
            <v>1944</v>
          </cell>
          <cell r="P68">
            <v>1944</v>
          </cell>
          <cell r="Q68">
            <v>24823.229333333322</v>
          </cell>
          <cell r="R68">
            <v>178851.93333333332</v>
          </cell>
          <cell r="S68">
            <v>1950</v>
          </cell>
          <cell r="T68">
            <v>1554.6089999999999</v>
          </cell>
          <cell r="U68">
            <v>5158.405616</v>
          </cell>
          <cell r="V68">
            <v>8936.9466666666667</v>
          </cell>
          <cell r="W68">
            <v>196451.89461599998</v>
          </cell>
          <cell r="Y68">
            <v>178851.93333333332</v>
          </cell>
          <cell r="AA68">
            <v>200</v>
          </cell>
          <cell r="AB68">
            <v>1800</v>
          </cell>
          <cell r="AC68">
            <v>252</v>
          </cell>
          <cell r="AE68">
            <v>2252</v>
          </cell>
          <cell r="AF68">
            <v>192249.96128266666</v>
          </cell>
        </row>
        <row r="69">
          <cell r="C69" t="str">
            <v>BITS-672</v>
          </cell>
          <cell r="E69" t="str">
            <v xml:space="preserve">Vivek Dongre </v>
          </cell>
          <cell r="F69" t="str">
            <v>PUNE SEZ 2</v>
          </cell>
          <cell r="G69">
            <v>75000</v>
          </cell>
          <cell r="H69">
            <v>66374</v>
          </cell>
          <cell r="I69">
            <v>30</v>
          </cell>
          <cell r="J69">
            <v>30</v>
          </cell>
          <cell r="L69">
            <v>30</v>
          </cell>
          <cell r="M69">
            <v>39824.400000000001</v>
          </cell>
          <cell r="N69">
            <v>15929.760000000002</v>
          </cell>
          <cell r="O69">
            <v>2083</v>
          </cell>
          <cell r="P69">
            <v>2083</v>
          </cell>
          <cell r="Q69">
            <v>6566.8399999999965</v>
          </cell>
          <cell r="R69">
            <v>66487</v>
          </cell>
          <cell r="S69">
            <v>1950</v>
          </cell>
          <cell r="T69">
            <v>1554.6089999999999</v>
          </cell>
          <cell r="U69">
            <v>1915.5536400000001</v>
          </cell>
          <cell r="V69">
            <v>3318.7000000000003</v>
          </cell>
          <cell r="W69">
            <v>75225.862639999992</v>
          </cell>
          <cell r="Y69">
            <v>66487</v>
          </cell>
          <cell r="AA69">
            <v>200</v>
          </cell>
          <cell r="AB69">
            <v>1800</v>
          </cell>
          <cell r="AC69">
            <v>252</v>
          </cell>
          <cell r="AE69">
            <v>2252</v>
          </cell>
          <cell r="AF69">
            <v>71023.862639999992</v>
          </cell>
        </row>
        <row r="70">
          <cell r="C70" t="str">
            <v>BITS-674</v>
          </cell>
          <cell r="E70" t="str">
            <v>Amit Chalwadi</v>
          </cell>
          <cell r="F70" t="str">
            <v>PUNE SEZ 2</v>
          </cell>
          <cell r="G70">
            <v>90000</v>
          </cell>
          <cell r="H70">
            <v>80278</v>
          </cell>
          <cell r="I70">
            <v>30</v>
          </cell>
          <cell r="J70">
            <v>30</v>
          </cell>
          <cell r="L70">
            <v>30</v>
          </cell>
          <cell r="M70">
            <v>48166.8</v>
          </cell>
          <cell r="N70">
            <v>19266.72</v>
          </cell>
          <cell r="O70">
            <v>2083</v>
          </cell>
          <cell r="P70">
            <v>2083</v>
          </cell>
          <cell r="Q70">
            <v>8791.4799999999959</v>
          </cell>
          <cell r="R70">
            <v>80391</v>
          </cell>
          <cell r="S70">
            <v>1950</v>
          </cell>
          <cell r="T70">
            <v>1554.6089999999999</v>
          </cell>
          <cell r="U70">
            <v>2316.8230800000001</v>
          </cell>
          <cell r="V70">
            <v>4013.9</v>
          </cell>
          <cell r="W70">
            <v>90226.332079999993</v>
          </cell>
          <cell r="Y70">
            <v>80391</v>
          </cell>
          <cell r="AA70">
            <v>200</v>
          </cell>
          <cell r="AB70">
            <v>1800</v>
          </cell>
          <cell r="AC70">
            <v>283</v>
          </cell>
          <cell r="AE70">
            <v>2283</v>
          </cell>
          <cell r="AF70">
            <v>85993.332079999993</v>
          </cell>
        </row>
        <row r="71">
          <cell r="C71" t="str">
            <v>BITS-675</v>
          </cell>
          <cell r="E71" t="str">
            <v xml:space="preserve">Nikhila Kaveri </v>
          </cell>
          <cell r="F71" t="str">
            <v>HYD SEZ</v>
          </cell>
          <cell r="G71">
            <v>120000</v>
          </cell>
          <cell r="H71">
            <v>108085</v>
          </cell>
          <cell r="I71">
            <v>30</v>
          </cell>
          <cell r="J71">
            <v>30</v>
          </cell>
          <cell r="L71">
            <v>30</v>
          </cell>
          <cell r="M71">
            <v>64851</v>
          </cell>
          <cell r="N71">
            <v>25940.400000000001</v>
          </cell>
          <cell r="O71">
            <v>2083</v>
          </cell>
          <cell r="P71">
            <v>2083</v>
          </cell>
          <cell r="Q71">
            <v>13240.600000000006</v>
          </cell>
          <cell r="R71">
            <v>108198</v>
          </cell>
          <cell r="S71">
            <v>1950</v>
          </cell>
          <cell r="T71">
            <v>1554.6089999999999</v>
          </cell>
          <cell r="U71">
            <v>3119.3330999999998</v>
          </cell>
          <cell r="V71">
            <v>5404.25</v>
          </cell>
          <cell r="W71">
            <v>120226.1921</v>
          </cell>
          <cell r="Y71">
            <v>108198</v>
          </cell>
          <cell r="AA71">
            <v>200</v>
          </cell>
          <cell r="AB71">
            <v>1800</v>
          </cell>
          <cell r="AC71">
            <v>252</v>
          </cell>
          <cell r="AE71">
            <v>2252</v>
          </cell>
          <cell r="AF71">
            <v>116024.1921</v>
          </cell>
        </row>
        <row r="72">
          <cell r="C72" t="str">
            <v>BITS-677</v>
          </cell>
          <cell r="E72" t="str">
            <v>Ashwini Nanaware</v>
          </cell>
          <cell r="F72" t="str">
            <v>PUNE SEZ 2</v>
          </cell>
          <cell r="G72">
            <v>62000</v>
          </cell>
          <cell r="H72">
            <v>54324</v>
          </cell>
          <cell r="I72">
            <v>30</v>
          </cell>
          <cell r="J72">
            <v>29</v>
          </cell>
          <cell r="K72">
            <v>1</v>
          </cell>
          <cell r="L72">
            <v>30</v>
          </cell>
          <cell r="M72">
            <v>32594.400000000001</v>
          </cell>
          <cell r="N72">
            <v>13037.760000000002</v>
          </cell>
          <cell r="O72">
            <v>2083</v>
          </cell>
          <cell r="P72">
            <v>2083</v>
          </cell>
          <cell r="Q72">
            <v>4638.8399999999965</v>
          </cell>
          <cell r="R72">
            <v>54437</v>
          </cell>
          <cell r="S72">
            <v>1950</v>
          </cell>
          <cell r="T72">
            <v>1554.6089999999999</v>
          </cell>
          <cell r="U72">
            <v>1567.7906399999999</v>
          </cell>
          <cell r="V72">
            <v>2716.2000000000003</v>
          </cell>
          <cell r="W72">
            <v>62225.599639999993</v>
          </cell>
          <cell r="Y72">
            <v>54437</v>
          </cell>
          <cell r="AA72">
            <v>200</v>
          </cell>
          <cell r="AB72">
            <v>1800</v>
          </cell>
          <cell r="AC72">
            <v>283</v>
          </cell>
          <cell r="AE72">
            <v>2283</v>
          </cell>
          <cell r="AF72">
            <v>57992.599639999993</v>
          </cell>
        </row>
        <row r="73">
          <cell r="C73" t="str">
            <v>BITS-678</v>
          </cell>
          <cell r="E73" t="str">
            <v>Kaushal Sushil Sharma</v>
          </cell>
          <cell r="F73" t="str">
            <v>PUNE SEZ 2</v>
          </cell>
          <cell r="G73">
            <v>70000</v>
          </cell>
          <cell r="H73">
            <v>61740</v>
          </cell>
          <cell r="I73">
            <v>30</v>
          </cell>
          <cell r="J73">
            <v>30</v>
          </cell>
          <cell r="L73">
            <v>30</v>
          </cell>
          <cell r="M73">
            <v>37044</v>
          </cell>
          <cell r="N73">
            <v>14817.6</v>
          </cell>
          <cell r="O73">
            <v>2083</v>
          </cell>
          <cell r="P73">
            <v>2083</v>
          </cell>
          <cell r="Q73">
            <v>5825.4000000000015</v>
          </cell>
          <cell r="R73">
            <v>61853</v>
          </cell>
          <cell r="S73">
            <v>1950</v>
          </cell>
          <cell r="T73">
            <v>1554.6089999999999</v>
          </cell>
          <cell r="U73">
            <v>1781.8163999999999</v>
          </cell>
          <cell r="V73">
            <v>3087</v>
          </cell>
          <cell r="W73">
            <v>70226.425400000007</v>
          </cell>
          <cell r="Y73">
            <v>61853</v>
          </cell>
          <cell r="AA73">
            <v>200</v>
          </cell>
          <cell r="AB73">
            <v>1800</v>
          </cell>
          <cell r="AC73">
            <v>283</v>
          </cell>
          <cell r="AE73">
            <v>2283</v>
          </cell>
          <cell r="AF73">
            <v>65993.425400000007</v>
          </cell>
        </row>
        <row r="74">
          <cell r="C74" t="str">
            <v>BITS-679</v>
          </cell>
          <cell r="E74" t="str">
            <v>Praveen Kumar Tandra</v>
          </cell>
          <cell r="F74" t="str">
            <v>BNG STP</v>
          </cell>
          <cell r="G74">
            <v>110000</v>
          </cell>
          <cell r="H74">
            <v>98816</v>
          </cell>
          <cell r="I74">
            <v>30</v>
          </cell>
          <cell r="J74">
            <v>30</v>
          </cell>
          <cell r="L74">
            <v>30</v>
          </cell>
          <cell r="M74">
            <v>59289.599999999999</v>
          </cell>
          <cell r="N74">
            <v>23715.84</v>
          </cell>
          <cell r="O74">
            <v>2083</v>
          </cell>
          <cell r="P74">
            <v>2083</v>
          </cell>
          <cell r="Q74">
            <v>11757.559999999998</v>
          </cell>
          <cell r="R74">
            <v>98929</v>
          </cell>
          <cell r="S74">
            <v>1950</v>
          </cell>
          <cell r="T74">
            <v>1554.6089999999999</v>
          </cell>
          <cell r="U74">
            <v>2851.8297599999996</v>
          </cell>
          <cell r="V74">
            <v>4940.8</v>
          </cell>
          <cell r="W74">
            <v>110226.23875999999</v>
          </cell>
          <cell r="Y74">
            <v>98929</v>
          </cell>
          <cell r="AA74">
            <v>200</v>
          </cell>
          <cell r="AB74">
            <v>1800</v>
          </cell>
          <cell r="AC74">
            <v>283</v>
          </cell>
          <cell r="AE74">
            <v>2283</v>
          </cell>
          <cell r="AF74">
            <v>105993.23875999999</v>
          </cell>
        </row>
        <row r="75">
          <cell r="C75" t="str">
            <v>BITS-680</v>
          </cell>
          <cell r="E75" t="str">
            <v>Arvind Akhare</v>
          </cell>
          <cell r="F75" t="str">
            <v>PUNE SEZ 2</v>
          </cell>
          <cell r="G75">
            <v>95000</v>
          </cell>
          <cell r="H75">
            <v>84912</v>
          </cell>
          <cell r="I75">
            <v>30</v>
          </cell>
          <cell r="J75">
            <v>27</v>
          </cell>
          <cell r="K75">
            <v>3</v>
          </cell>
          <cell r="L75">
            <v>28</v>
          </cell>
          <cell r="M75">
            <v>47550.720000000001</v>
          </cell>
          <cell r="N75">
            <v>19020.288</v>
          </cell>
          <cell r="O75">
            <v>1944</v>
          </cell>
          <cell r="P75">
            <v>1944</v>
          </cell>
          <cell r="Q75">
            <v>8905.1919999999955</v>
          </cell>
          <cell r="R75">
            <v>79364.2</v>
          </cell>
          <cell r="S75">
            <v>1950</v>
          </cell>
          <cell r="T75">
            <v>1554.6089999999999</v>
          </cell>
          <cell r="U75">
            <v>2287.1896320000001</v>
          </cell>
          <cell r="V75">
            <v>3962.56</v>
          </cell>
          <cell r="W75">
            <v>89118.558631999986</v>
          </cell>
          <cell r="Y75">
            <v>79364.2</v>
          </cell>
          <cell r="AA75">
            <v>200</v>
          </cell>
          <cell r="AB75">
            <v>1800</v>
          </cell>
          <cell r="AC75">
            <v>283</v>
          </cell>
          <cell r="AE75">
            <v>2283</v>
          </cell>
          <cell r="AF75">
            <v>84885.358631999989</v>
          </cell>
        </row>
        <row r="76">
          <cell r="C76" t="str">
            <v>BITS-681</v>
          </cell>
          <cell r="E76" t="str">
            <v>Pallavi Rishikesh Naik</v>
          </cell>
          <cell r="F76" t="str">
            <v>PUNE SEZ 2</v>
          </cell>
          <cell r="G76">
            <v>80000</v>
          </cell>
          <cell r="H76">
            <v>71009</v>
          </cell>
          <cell r="I76">
            <v>30</v>
          </cell>
          <cell r="J76">
            <v>30</v>
          </cell>
          <cell r="L76">
            <v>30</v>
          </cell>
          <cell r="M76">
            <v>42605.4</v>
          </cell>
          <cell r="N76">
            <v>17042.16</v>
          </cell>
          <cell r="O76">
            <v>2083</v>
          </cell>
          <cell r="P76">
            <v>2083</v>
          </cell>
          <cell r="Q76">
            <v>7308.4400000000023</v>
          </cell>
          <cell r="R76">
            <v>71122</v>
          </cell>
          <cell r="S76">
            <v>1950</v>
          </cell>
          <cell r="T76">
            <v>1554.6089999999999</v>
          </cell>
          <cell r="U76">
            <v>2049.3197399999999</v>
          </cell>
          <cell r="V76">
            <v>3550.4500000000003</v>
          </cell>
          <cell r="W76">
            <v>80226.37874</v>
          </cell>
          <cell r="Y76">
            <v>71122</v>
          </cell>
          <cell r="AA76">
            <v>200</v>
          </cell>
          <cell r="AB76">
            <v>1800</v>
          </cell>
          <cell r="AC76">
            <v>283</v>
          </cell>
          <cell r="AE76">
            <v>2283</v>
          </cell>
          <cell r="AF76">
            <v>75993.37874</v>
          </cell>
        </row>
        <row r="77">
          <cell r="C77" t="str">
            <v>BITS-682</v>
          </cell>
          <cell r="E77" t="str">
            <v>Ajay Singh</v>
          </cell>
          <cell r="F77" t="str">
            <v>PUNE SEZ 1</v>
          </cell>
          <cell r="G77">
            <v>142000</v>
          </cell>
          <cell r="H77">
            <v>128477</v>
          </cell>
          <cell r="I77">
            <v>30</v>
          </cell>
          <cell r="J77">
            <v>29</v>
          </cell>
          <cell r="K77">
            <v>1</v>
          </cell>
          <cell r="L77">
            <v>30</v>
          </cell>
          <cell r="M77">
            <v>77086.2</v>
          </cell>
          <cell r="N77">
            <v>30834.48</v>
          </cell>
          <cell r="O77">
            <v>2083</v>
          </cell>
          <cell r="P77">
            <v>2083</v>
          </cell>
          <cell r="Q77">
            <v>16503.320000000007</v>
          </cell>
          <cell r="R77">
            <v>128590</v>
          </cell>
          <cell r="S77">
            <v>1950</v>
          </cell>
          <cell r="T77">
            <v>1554.6089999999999</v>
          </cell>
          <cell r="U77">
            <v>3707.8462199999999</v>
          </cell>
          <cell r="V77">
            <v>6423.8499999999995</v>
          </cell>
          <cell r="W77">
            <v>142226.30522000001</v>
          </cell>
          <cell r="Y77">
            <v>128590</v>
          </cell>
          <cell r="AA77">
            <v>200</v>
          </cell>
          <cell r="AB77">
            <v>1800</v>
          </cell>
          <cell r="AC77">
            <v>283</v>
          </cell>
          <cell r="AE77">
            <v>2283</v>
          </cell>
          <cell r="AF77">
            <v>137993.30522000001</v>
          </cell>
        </row>
        <row r="78">
          <cell r="C78" t="str">
            <v>BITS-683</v>
          </cell>
          <cell r="E78" t="str">
            <v>TUSHAR UCHAGAONKAR</v>
          </cell>
          <cell r="F78" t="str">
            <v>PUNE ASC SEZ</v>
          </cell>
          <cell r="G78">
            <v>87000</v>
          </cell>
          <cell r="H78">
            <v>77497</v>
          </cell>
          <cell r="I78">
            <v>30</v>
          </cell>
          <cell r="J78">
            <v>29</v>
          </cell>
          <cell r="K78">
            <v>1</v>
          </cell>
          <cell r="L78">
            <v>30</v>
          </cell>
          <cell r="M78">
            <v>46498.2</v>
          </cell>
          <cell r="N78">
            <v>18599.28</v>
          </cell>
          <cell r="O78">
            <v>2083</v>
          </cell>
          <cell r="P78">
            <v>2083</v>
          </cell>
          <cell r="Q78">
            <v>8346.5200000000041</v>
          </cell>
          <cell r="R78">
            <v>77610</v>
          </cell>
          <cell r="S78">
            <v>1950</v>
          </cell>
          <cell r="T78">
            <v>1554.6089999999999</v>
          </cell>
          <cell r="U78">
            <v>2236.56342</v>
          </cell>
          <cell r="V78">
            <v>3874.85</v>
          </cell>
          <cell r="W78">
            <v>87226.022420000008</v>
          </cell>
          <cell r="Y78">
            <v>77610</v>
          </cell>
          <cell r="AA78">
            <v>200</v>
          </cell>
          <cell r="AB78">
            <v>1800</v>
          </cell>
          <cell r="AC78">
            <v>283</v>
          </cell>
          <cell r="AE78">
            <v>2283</v>
          </cell>
          <cell r="AF78">
            <v>82993.022420000008</v>
          </cell>
        </row>
        <row r="79">
          <cell r="C79" t="str">
            <v>BITS-684</v>
          </cell>
          <cell r="E79" t="str">
            <v>PRAVEEN M</v>
          </cell>
          <cell r="F79" t="str">
            <v>HYD STP</v>
          </cell>
          <cell r="G79">
            <v>155000</v>
          </cell>
          <cell r="H79">
            <v>140526</v>
          </cell>
          <cell r="I79">
            <v>30</v>
          </cell>
          <cell r="J79">
            <v>30</v>
          </cell>
          <cell r="L79">
            <v>30</v>
          </cell>
          <cell r="M79">
            <v>84315.6</v>
          </cell>
          <cell r="N79">
            <v>33726.240000000005</v>
          </cell>
          <cell r="O79">
            <v>2083</v>
          </cell>
          <cell r="P79">
            <v>2083</v>
          </cell>
          <cell r="Q79">
            <v>18431.159999999989</v>
          </cell>
          <cell r="R79">
            <v>140639</v>
          </cell>
          <cell r="S79">
            <v>1950</v>
          </cell>
          <cell r="T79">
            <v>1554.6089999999999</v>
          </cell>
          <cell r="U79">
            <v>4055.5803600000004</v>
          </cell>
          <cell r="V79">
            <v>7026.3</v>
          </cell>
          <cell r="W79">
            <v>155225.48936000001</v>
          </cell>
          <cell r="Y79">
            <v>140639</v>
          </cell>
          <cell r="AA79">
            <v>200</v>
          </cell>
          <cell r="AB79">
            <v>1800</v>
          </cell>
          <cell r="AC79">
            <v>283</v>
          </cell>
          <cell r="AE79">
            <v>2283</v>
          </cell>
          <cell r="AF79">
            <v>150992.48935999998</v>
          </cell>
        </row>
        <row r="80">
          <cell r="C80" t="str">
            <v>BITS-686</v>
          </cell>
          <cell r="E80" t="str">
            <v>Amit Kumar</v>
          </cell>
          <cell r="F80" t="str">
            <v>PUNE SEZ 2</v>
          </cell>
          <cell r="G80">
            <v>105000</v>
          </cell>
          <cell r="H80">
            <v>94181</v>
          </cell>
          <cell r="I80">
            <v>30</v>
          </cell>
          <cell r="J80">
            <v>29</v>
          </cell>
          <cell r="K80">
            <v>1</v>
          </cell>
          <cell r="L80">
            <v>30</v>
          </cell>
          <cell r="M80">
            <v>56508.6</v>
          </cell>
          <cell r="N80">
            <v>22603.440000000002</v>
          </cell>
          <cell r="O80">
            <v>2083</v>
          </cell>
          <cell r="P80">
            <v>2083</v>
          </cell>
          <cell r="Q80">
            <v>11015.959999999992</v>
          </cell>
          <cell r="R80">
            <v>94294</v>
          </cell>
          <cell r="S80">
            <v>1950</v>
          </cell>
          <cell r="T80">
            <v>1554.6089999999999</v>
          </cell>
          <cell r="U80">
            <v>2718.0636599999998</v>
          </cell>
          <cell r="V80">
            <v>4709.05</v>
          </cell>
          <cell r="W80">
            <v>105225.72266</v>
          </cell>
          <cell r="Y80">
            <v>94294</v>
          </cell>
          <cell r="AA80">
            <v>200</v>
          </cell>
          <cell r="AB80">
            <v>1800</v>
          </cell>
          <cell r="AC80">
            <v>283</v>
          </cell>
          <cell r="AE80">
            <v>2283</v>
          </cell>
          <cell r="AF80">
            <v>100992.72266</v>
          </cell>
        </row>
        <row r="81">
          <cell r="C81" t="str">
            <v>BITS-688</v>
          </cell>
          <cell r="E81" t="str">
            <v>Pranav Thakare</v>
          </cell>
          <cell r="F81" t="str">
            <v>PUNE SEZ 2</v>
          </cell>
          <cell r="G81">
            <v>85000</v>
          </cell>
          <cell r="H81">
            <v>75643</v>
          </cell>
          <cell r="I81">
            <v>30</v>
          </cell>
          <cell r="J81">
            <v>26</v>
          </cell>
          <cell r="K81">
            <v>4</v>
          </cell>
          <cell r="L81">
            <v>27</v>
          </cell>
          <cell r="M81">
            <v>40847.22</v>
          </cell>
          <cell r="N81">
            <v>16338.888000000001</v>
          </cell>
          <cell r="O81">
            <v>1875</v>
          </cell>
          <cell r="P81">
            <v>1875</v>
          </cell>
          <cell r="Q81">
            <v>7255.5919999999969</v>
          </cell>
          <cell r="R81">
            <v>68191.7</v>
          </cell>
          <cell r="S81">
            <v>1950</v>
          </cell>
          <cell r="T81">
            <v>1554.6089999999999</v>
          </cell>
          <cell r="U81">
            <v>1964.7512819999997</v>
          </cell>
          <cell r="V81">
            <v>3403.9349999999999</v>
          </cell>
          <cell r="W81">
            <v>77064.995281999989</v>
          </cell>
          <cell r="Y81">
            <v>68191.7</v>
          </cell>
          <cell r="AA81">
            <v>200</v>
          </cell>
          <cell r="AB81">
            <v>1800</v>
          </cell>
          <cell r="AC81">
            <v>283</v>
          </cell>
          <cell r="AE81">
            <v>2283</v>
          </cell>
          <cell r="AF81">
            <v>72832.295281999992</v>
          </cell>
        </row>
        <row r="82">
          <cell r="C82" t="str">
            <v>BITS-689</v>
          </cell>
          <cell r="E82" t="str">
            <v>Nagarjun KV</v>
          </cell>
          <cell r="F82" t="str">
            <v>BNG STP</v>
          </cell>
          <cell r="G82">
            <v>85000</v>
          </cell>
          <cell r="H82">
            <v>75643</v>
          </cell>
          <cell r="I82">
            <v>30</v>
          </cell>
          <cell r="J82">
            <v>30</v>
          </cell>
          <cell r="L82">
            <v>30</v>
          </cell>
          <cell r="M82">
            <v>45385.8</v>
          </cell>
          <cell r="N82">
            <v>18154.320000000003</v>
          </cell>
          <cell r="O82">
            <v>2083</v>
          </cell>
          <cell r="P82">
            <v>2083</v>
          </cell>
          <cell r="Q82">
            <v>8049.8799999999901</v>
          </cell>
          <cell r="R82">
            <v>75756</v>
          </cell>
          <cell r="S82">
            <v>1950</v>
          </cell>
          <cell r="T82">
            <v>1554.6089999999999</v>
          </cell>
          <cell r="U82">
            <v>2183.0569799999998</v>
          </cell>
          <cell r="V82">
            <v>3782.15</v>
          </cell>
          <cell r="W82">
            <v>85225.815979999985</v>
          </cell>
          <cell r="Y82">
            <v>75756</v>
          </cell>
          <cell r="AA82">
            <v>200</v>
          </cell>
          <cell r="AB82">
            <v>1800</v>
          </cell>
          <cell r="AC82">
            <v>283</v>
          </cell>
          <cell r="AE82">
            <v>2283</v>
          </cell>
          <cell r="AF82">
            <v>80992.815979999985</v>
          </cell>
        </row>
        <row r="83">
          <cell r="C83" t="str">
            <v>BITS-690</v>
          </cell>
          <cell r="E83" t="str">
            <v>Thaposh Ghosh</v>
          </cell>
          <cell r="F83" t="str">
            <v>HYD SEZ</v>
          </cell>
          <cell r="G83">
            <v>155000</v>
          </cell>
          <cell r="H83">
            <v>140526</v>
          </cell>
          <cell r="I83">
            <v>30</v>
          </cell>
          <cell r="J83">
            <v>30</v>
          </cell>
          <cell r="L83">
            <v>30</v>
          </cell>
          <cell r="M83">
            <v>84315.6</v>
          </cell>
          <cell r="N83">
            <v>33726.240000000005</v>
          </cell>
          <cell r="O83">
            <v>2083</v>
          </cell>
          <cell r="P83">
            <v>2083</v>
          </cell>
          <cell r="Q83">
            <v>18431.159999999989</v>
          </cell>
          <cell r="R83">
            <v>140639</v>
          </cell>
          <cell r="S83">
            <v>1950</v>
          </cell>
          <cell r="T83">
            <v>1554.6089999999999</v>
          </cell>
          <cell r="U83">
            <v>4055.5803600000004</v>
          </cell>
          <cell r="V83">
            <v>7026.3</v>
          </cell>
          <cell r="W83">
            <v>155225.48936000001</v>
          </cell>
          <cell r="Y83">
            <v>140639</v>
          </cell>
          <cell r="AA83">
            <v>200</v>
          </cell>
          <cell r="AB83">
            <v>1800</v>
          </cell>
          <cell r="AC83">
            <v>283</v>
          </cell>
          <cell r="AE83">
            <v>2283</v>
          </cell>
          <cell r="AF83">
            <v>150992.48935999998</v>
          </cell>
        </row>
        <row r="84">
          <cell r="C84" t="str">
            <v>BITS-691</v>
          </cell>
          <cell r="E84" t="str">
            <v xml:space="preserve">Boopathi Palani </v>
          </cell>
          <cell r="F84" t="str">
            <v>BNG STP</v>
          </cell>
          <cell r="G84">
            <v>85000</v>
          </cell>
          <cell r="H84">
            <v>75643</v>
          </cell>
          <cell r="I84">
            <v>30</v>
          </cell>
          <cell r="J84">
            <v>29</v>
          </cell>
          <cell r="K84">
            <v>1</v>
          </cell>
          <cell r="L84">
            <v>30</v>
          </cell>
          <cell r="M84">
            <v>45385.8</v>
          </cell>
          <cell r="N84">
            <v>18154.320000000003</v>
          </cell>
          <cell r="O84">
            <v>2083</v>
          </cell>
          <cell r="P84">
            <v>2083</v>
          </cell>
          <cell r="Q84">
            <v>8049.8799999999901</v>
          </cell>
          <cell r="R84">
            <v>75756</v>
          </cell>
          <cell r="S84">
            <v>1950</v>
          </cell>
          <cell r="T84">
            <v>1554.6089999999999</v>
          </cell>
          <cell r="U84">
            <v>2183.0569799999998</v>
          </cell>
          <cell r="V84">
            <v>3782.15</v>
          </cell>
          <cell r="W84">
            <v>85225.815979999985</v>
          </cell>
          <cell r="Y84">
            <v>75756</v>
          </cell>
          <cell r="AA84">
            <v>200</v>
          </cell>
          <cell r="AB84">
            <v>1800</v>
          </cell>
          <cell r="AC84">
            <v>283</v>
          </cell>
          <cell r="AE84">
            <v>2283</v>
          </cell>
          <cell r="AF84">
            <v>80992.815979999985</v>
          </cell>
        </row>
        <row r="85">
          <cell r="C85" t="str">
            <v>BITS-692</v>
          </cell>
          <cell r="E85" t="str">
            <v>Sneha Hande</v>
          </cell>
          <cell r="F85" t="str">
            <v>PUNE ASC SEZ</v>
          </cell>
          <cell r="G85">
            <v>58000</v>
          </cell>
          <cell r="H85">
            <v>50617</v>
          </cell>
          <cell r="I85">
            <v>30</v>
          </cell>
          <cell r="J85">
            <v>30</v>
          </cell>
          <cell r="L85">
            <v>30</v>
          </cell>
          <cell r="M85">
            <v>30370.2</v>
          </cell>
          <cell r="N85">
            <v>12148.080000000002</v>
          </cell>
          <cell r="O85">
            <v>2083</v>
          </cell>
          <cell r="P85">
            <v>2083</v>
          </cell>
          <cell r="Q85">
            <v>4045.7200000000012</v>
          </cell>
          <cell r="R85">
            <v>50730</v>
          </cell>
          <cell r="S85">
            <v>1950</v>
          </cell>
          <cell r="T85">
            <v>1554.6089999999999</v>
          </cell>
          <cell r="U85">
            <v>1460.8066199999998</v>
          </cell>
          <cell r="V85">
            <v>2530.85</v>
          </cell>
          <cell r="W85">
            <v>58226.265619999998</v>
          </cell>
          <cell r="Y85">
            <v>50730</v>
          </cell>
          <cell r="AA85">
            <v>200</v>
          </cell>
          <cell r="AB85">
            <v>1800</v>
          </cell>
          <cell r="AC85">
            <v>283</v>
          </cell>
          <cell r="AE85">
            <v>2283</v>
          </cell>
          <cell r="AF85">
            <v>53993.265619999998</v>
          </cell>
        </row>
        <row r="86">
          <cell r="C86" t="str">
            <v>BITS-693</v>
          </cell>
          <cell r="E86" t="str">
            <v>JNANESWARARAO G</v>
          </cell>
          <cell r="F86" t="str">
            <v>BNG STP</v>
          </cell>
          <cell r="G86">
            <v>108000</v>
          </cell>
          <cell r="H86">
            <v>96962</v>
          </cell>
          <cell r="I86">
            <v>30</v>
          </cell>
          <cell r="J86">
            <v>30</v>
          </cell>
          <cell r="L86">
            <v>30</v>
          </cell>
          <cell r="M86">
            <v>58177.2</v>
          </cell>
          <cell r="N86">
            <v>23270.880000000001</v>
          </cell>
          <cell r="O86">
            <v>2083</v>
          </cell>
          <cell r="P86">
            <v>2083</v>
          </cell>
          <cell r="Q86">
            <v>11460.919999999998</v>
          </cell>
          <cell r="R86">
            <v>97075</v>
          </cell>
          <cell r="S86">
            <v>1950</v>
          </cell>
          <cell r="T86">
            <v>1554.6089999999999</v>
          </cell>
          <cell r="U86">
            <v>2798.3233199999995</v>
          </cell>
          <cell r="V86">
            <v>4848.0999999999995</v>
          </cell>
          <cell r="W86">
            <v>108226.03232</v>
          </cell>
          <cell r="X86">
            <v>14400</v>
          </cell>
          <cell r="Y86">
            <v>111475</v>
          </cell>
          <cell r="AA86">
            <v>200</v>
          </cell>
          <cell r="AB86">
            <v>1800</v>
          </cell>
          <cell r="AC86">
            <v>283</v>
          </cell>
          <cell r="AE86">
            <v>2283</v>
          </cell>
          <cell r="AF86">
            <v>118393.03232</v>
          </cell>
        </row>
        <row r="87">
          <cell r="C87" t="str">
            <v>BITS-694</v>
          </cell>
          <cell r="E87" t="str">
            <v>Asita Kumar Sahoo</v>
          </cell>
          <cell r="F87" t="str">
            <v>PUNE SEZ 2</v>
          </cell>
          <cell r="G87">
            <v>60000</v>
          </cell>
          <cell r="H87">
            <v>52471</v>
          </cell>
          <cell r="I87">
            <v>30</v>
          </cell>
          <cell r="J87">
            <v>30</v>
          </cell>
          <cell r="L87">
            <v>30</v>
          </cell>
          <cell r="M87">
            <v>31482.6</v>
          </cell>
          <cell r="N87">
            <v>12593.04</v>
          </cell>
          <cell r="O87">
            <v>2083</v>
          </cell>
          <cell r="P87">
            <v>2083</v>
          </cell>
          <cell r="Q87">
            <v>4342.3600000000006</v>
          </cell>
          <cell r="R87">
            <v>52584</v>
          </cell>
          <cell r="S87">
            <v>1950</v>
          </cell>
          <cell r="T87">
            <v>1554.6089999999999</v>
          </cell>
          <cell r="U87">
            <v>1514.3130599999997</v>
          </cell>
          <cell r="V87">
            <v>2623.5499999999997</v>
          </cell>
          <cell r="W87">
            <v>60226.47206</v>
          </cell>
          <cell r="Y87">
            <v>52584</v>
          </cell>
          <cell r="AA87">
            <v>200</v>
          </cell>
          <cell r="AB87">
            <v>1800</v>
          </cell>
          <cell r="AC87">
            <v>283</v>
          </cell>
          <cell r="AE87">
            <v>2283</v>
          </cell>
          <cell r="AF87">
            <v>55993.47206</v>
          </cell>
        </row>
        <row r="88">
          <cell r="C88" t="str">
            <v>BITS-695</v>
          </cell>
          <cell r="E88" t="str">
            <v>Nagashree Narayan</v>
          </cell>
          <cell r="F88" t="str">
            <v>HYD SEZ</v>
          </cell>
          <cell r="G88">
            <v>110000</v>
          </cell>
          <cell r="H88">
            <v>98816</v>
          </cell>
          <cell r="I88">
            <v>30</v>
          </cell>
          <cell r="J88">
            <v>28</v>
          </cell>
          <cell r="K88">
            <v>2</v>
          </cell>
          <cell r="L88">
            <v>29</v>
          </cell>
          <cell r="M88">
            <v>57313.279999999999</v>
          </cell>
          <cell r="N88">
            <v>22925.312000000002</v>
          </cell>
          <cell r="O88">
            <v>2014</v>
          </cell>
          <cell r="P88">
            <v>2014</v>
          </cell>
          <cell r="Q88">
            <v>11368.541333333327</v>
          </cell>
          <cell r="R88">
            <v>95635.133333333331</v>
          </cell>
          <cell r="S88">
            <v>1950</v>
          </cell>
          <cell r="T88">
            <v>1554.6089999999999</v>
          </cell>
          <cell r="U88">
            <v>2756.7687679999999</v>
          </cell>
          <cell r="V88">
            <v>4776.1066666666666</v>
          </cell>
          <cell r="W88">
            <v>106672.617768</v>
          </cell>
          <cell r="Y88">
            <v>95635.133333333331</v>
          </cell>
          <cell r="AA88">
            <v>200</v>
          </cell>
          <cell r="AB88">
            <v>1800</v>
          </cell>
          <cell r="AC88">
            <v>283</v>
          </cell>
          <cell r="AE88">
            <v>2283</v>
          </cell>
          <cell r="AF88">
            <v>102439.48443466667</v>
          </cell>
        </row>
        <row r="89">
          <cell r="C89" t="str">
            <v>BITS-696</v>
          </cell>
          <cell r="E89" t="str">
            <v>Amarnath Reddy</v>
          </cell>
          <cell r="F89" t="str">
            <v>Chennai SEZ</v>
          </cell>
          <cell r="G89">
            <v>130000</v>
          </cell>
          <cell r="H89">
            <v>117354</v>
          </cell>
          <cell r="I89">
            <v>30</v>
          </cell>
          <cell r="J89">
            <v>29</v>
          </cell>
          <cell r="K89">
            <v>1</v>
          </cell>
          <cell r="L89">
            <v>30</v>
          </cell>
          <cell r="M89">
            <v>70412.399999999994</v>
          </cell>
          <cell r="N89">
            <v>28164.959999999999</v>
          </cell>
          <cell r="O89">
            <v>2083</v>
          </cell>
          <cell r="P89">
            <v>2083</v>
          </cell>
          <cell r="Q89">
            <v>14723.640000000014</v>
          </cell>
          <cell r="R89">
            <v>117467</v>
          </cell>
          <cell r="T89">
            <v>1554.6089999999999</v>
          </cell>
          <cell r="U89">
            <v>3386.8364399999996</v>
          </cell>
          <cell r="V89">
            <v>5867.7</v>
          </cell>
          <cell r="W89">
            <v>128276.14543999999</v>
          </cell>
          <cell r="Y89">
            <v>117467</v>
          </cell>
          <cell r="AA89">
            <v>200</v>
          </cell>
          <cell r="AC89">
            <v>283</v>
          </cell>
          <cell r="AE89">
            <v>483</v>
          </cell>
          <cell r="AF89">
            <v>127793.14543999999</v>
          </cell>
        </row>
        <row r="90">
          <cell r="C90" t="str">
            <v>BITS-697</v>
          </cell>
          <cell r="E90" t="str">
            <v>Rajesh Dhumal</v>
          </cell>
          <cell r="F90" t="str">
            <v>PUNE SEZ 1</v>
          </cell>
          <cell r="G90">
            <v>84000</v>
          </cell>
          <cell r="H90">
            <v>74716</v>
          </cell>
          <cell r="I90">
            <v>30</v>
          </cell>
          <cell r="J90">
            <v>30</v>
          </cell>
          <cell r="L90">
            <v>30</v>
          </cell>
          <cell r="M90">
            <v>44829.599999999999</v>
          </cell>
          <cell r="N90">
            <v>17931.84</v>
          </cell>
          <cell r="O90">
            <v>2083</v>
          </cell>
          <cell r="P90">
            <v>2083</v>
          </cell>
          <cell r="Q90">
            <v>7901.5599999999977</v>
          </cell>
          <cell r="R90">
            <v>74829</v>
          </cell>
          <cell r="S90">
            <v>1950</v>
          </cell>
          <cell r="T90">
            <v>1554.6089999999999</v>
          </cell>
          <cell r="U90">
            <v>2156.3037599999998</v>
          </cell>
          <cell r="V90">
            <v>3735.7999999999997</v>
          </cell>
          <cell r="W90">
            <v>84225.712759999995</v>
          </cell>
          <cell r="Y90">
            <v>74829</v>
          </cell>
          <cell r="AA90">
            <v>200</v>
          </cell>
          <cell r="AB90">
            <v>1800</v>
          </cell>
          <cell r="AC90">
            <v>283</v>
          </cell>
          <cell r="AE90">
            <v>2283</v>
          </cell>
          <cell r="AF90">
            <v>79992.712759999995</v>
          </cell>
        </row>
        <row r="91">
          <cell r="C91" t="str">
            <v>BITS-698</v>
          </cell>
          <cell r="E91" t="str">
            <v xml:space="preserve">Amol Gole </v>
          </cell>
          <cell r="F91" t="str">
            <v>PUNE ASC SEZ</v>
          </cell>
          <cell r="G91">
            <v>75000</v>
          </cell>
          <cell r="H91">
            <v>66374</v>
          </cell>
          <cell r="I91">
            <v>30</v>
          </cell>
          <cell r="J91">
            <v>29</v>
          </cell>
          <cell r="K91">
            <v>1</v>
          </cell>
          <cell r="L91">
            <v>30</v>
          </cell>
          <cell r="M91">
            <v>39824.400000000001</v>
          </cell>
          <cell r="N91">
            <v>15929.760000000002</v>
          </cell>
          <cell r="O91">
            <v>2083</v>
          </cell>
          <cell r="P91">
            <v>2083</v>
          </cell>
          <cell r="Q91">
            <v>6566.8399999999965</v>
          </cell>
          <cell r="R91">
            <v>66487</v>
          </cell>
          <cell r="S91">
            <v>1950</v>
          </cell>
          <cell r="T91">
            <v>1554.6089999999999</v>
          </cell>
          <cell r="U91">
            <v>1915.5536400000001</v>
          </cell>
          <cell r="V91">
            <v>3318.7000000000003</v>
          </cell>
          <cell r="W91">
            <v>75225.862639999992</v>
          </cell>
          <cell r="Y91">
            <v>66487</v>
          </cell>
          <cell r="AA91">
            <v>200</v>
          </cell>
          <cell r="AB91">
            <v>1800</v>
          </cell>
          <cell r="AC91">
            <v>283</v>
          </cell>
          <cell r="AE91">
            <v>2283</v>
          </cell>
          <cell r="AF91">
            <v>70992.862639999992</v>
          </cell>
        </row>
        <row r="92">
          <cell r="C92" t="str">
            <v>BITS-699</v>
          </cell>
          <cell r="E92" t="str">
            <v>Srinivasa Rao yellaneni</v>
          </cell>
          <cell r="F92" t="str">
            <v>BNG SEZ</v>
          </cell>
          <cell r="G92">
            <v>150000</v>
          </cell>
          <cell r="H92">
            <v>135892</v>
          </cell>
          <cell r="I92">
            <v>30</v>
          </cell>
          <cell r="J92">
            <v>30</v>
          </cell>
          <cell r="L92">
            <v>30</v>
          </cell>
          <cell r="M92">
            <v>81535.199999999997</v>
          </cell>
          <cell r="N92">
            <v>32614.080000000002</v>
          </cell>
          <cell r="O92">
            <v>2083</v>
          </cell>
          <cell r="P92">
            <v>2083</v>
          </cell>
          <cell r="Q92">
            <v>17689.72</v>
          </cell>
          <cell r="R92">
            <v>136005</v>
          </cell>
          <cell r="S92">
            <v>1950</v>
          </cell>
          <cell r="T92">
            <v>1554.6089999999999</v>
          </cell>
          <cell r="U92">
            <v>3921.8431199999995</v>
          </cell>
          <cell r="V92">
            <v>6794.5999999999995</v>
          </cell>
          <cell r="W92">
            <v>150226.05212000001</v>
          </cell>
          <cell r="Y92">
            <v>136005</v>
          </cell>
          <cell r="AA92">
            <v>200</v>
          </cell>
          <cell r="AB92">
            <v>1800</v>
          </cell>
          <cell r="AC92">
            <v>283</v>
          </cell>
          <cell r="AE92">
            <v>2283</v>
          </cell>
          <cell r="AF92">
            <v>145993.05212000001</v>
          </cell>
        </row>
        <row r="93">
          <cell r="C93" t="str">
            <v>BITS-700</v>
          </cell>
          <cell r="E93" t="str">
            <v>Sandeep Dixit</v>
          </cell>
          <cell r="F93" t="str">
            <v>PUNE ASC SEZ</v>
          </cell>
          <cell r="G93">
            <v>190000</v>
          </cell>
          <cell r="H93">
            <v>172968</v>
          </cell>
          <cell r="I93">
            <v>30</v>
          </cell>
          <cell r="J93">
            <v>30</v>
          </cell>
          <cell r="L93">
            <v>30</v>
          </cell>
          <cell r="M93">
            <v>103780.8</v>
          </cell>
          <cell r="N93">
            <v>41512.320000000007</v>
          </cell>
          <cell r="O93">
            <v>2083</v>
          </cell>
          <cell r="P93">
            <v>2083</v>
          </cell>
          <cell r="Q93">
            <v>23621.880000000005</v>
          </cell>
          <cell r="R93">
            <v>173081</v>
          </cell>
          <cell r="S93">
            <v>1950</v>
          </cell>
          <cell r="T93">
            <v>1554.6089999999999</v>
          </cell>
          <cell r="U93">
            <v>4991.8564799999995</v>
          </cell>
          <cell r="V93">
            <v>8648.4</v>
          </cell>
          <cell r="W93">
            <v>190225.86547999998</v>
          </cell>
          <cell r="Y93">
            <v>173081</v>
          </cell>
          <cell r="AA93">
            <v>200</v>
          </cell>
          <cell r="AB93">
            <v>1800</v>
          </cell>
          <cell r="AC93">
            <v>283</v>
          </cell>
          <cell r="AE93">
            <v>2283</v>
          </cell>
          <cell r="AF93">
            <v>185992.86547999998</v>
          </cell>
        </row>
        <row r="94">
          <cell r="C94" t="str">
            <v>BITS-701</v>
          </cell>
          <cell r="E94" t="str">
            <v>Shridhar Madlur</v>
          </cell>
          <cell r="F94" t="str">
            <v>BNG STP</v>
          </cell>
          <cell r="G94">
            <v>58000</v>
          </cell>
          <cell r="H94">
            <v>50617</v>
          </cell>
          <cell r="I94">
            <v>30</v>
          </cell>
          <cell r="J94">
            <v>29</v>
          </cell>
          <cell r="K94">
            <v>1</v>
          </cell>
          <cell r="L94">
            <v>30</v>
          </cell>
          <cell r="M94">
            <v>30370.2</v>
          </cell>
          <cell r="N94">
            <v>12148.080000000002</v>
          </cell>
          <cell r="O94">
            <v>2083</v>
          </cell>
          <cell r="P94">
            <v>2083</v>
          </cell>
          <cell r="Q94">
            <v>4045.7200000000012</v>
          </cell>
          <cell r="R94">
            <v>50730</v>
          </cell>
          <cell r="S94">
            <v>1950</v>
          </cell>
          <cell r="T94">
            <v>1554.6089999999999</v>
          </cell>
          <cell r="U94">
            <v>1460.8066199999998</v>
          </cell>
          <cell r="V94">
            <v>2530.85</v>
          </cell>
          <cell r="W94">
            <v>58226.265619999998</v>
          </cell>
          <cell r="Y94">
            <v>50730</v>
          </cell>
          <cell r="AA94">
            <v>200</v>
          </cell>
          <cell r="AB94">
            <v>1800</v>
          </cell>
          <cell r="AC94">
            <v>283</v>
          </cell>
          <cell r="AE94">
            <v>2283</v>
          </cell>
          <cell r="AF94">
            <v>53993.265619999998</v>
          </cell>
        </row>
        <row r="95">
          <cell r="C95" t="str">
            <v>BITS-702</v>
          </cell>
          <cell r="E95" t="str">
            <v>Samarjit Saha</v>
          </cell>
          <cell r="F95" t="str">
            <v>BNG STP</v>
          </cell>
          <cell r="G95">
            <v>140000</v>
          </cell>
          <cell r="H95">
            <v>126623</v>
          </cell>
          <cell r="I95">
            <v>30</v>
          </cell>
          <cell r="J95">
            <v>30</v>
          </cell>
          <cell r="L95">
            <v>30</v>
          </cell>
          <cell r="M95">
            <v>75973.8</v>
          </cell>
          <cell r="N95">
            <v>30389.520000000004</v>
          </cell>
          <cell r="O95">
            <v>2083</v>
          </cell>
          <cell r="P95">
            <v>2083</v>
          </cell>
          <cell r="Q95">
            <v>16206.679999999993</v>
          </cell>
          <cell r="R95">
            <v>126736</v>
          </cell>
          <cell r="S95">
            <v>1950</v>
          </cell>
          <cell r="T95">
            <v>1554.6089999999999</v>
          </cell>
          <cell r="U95">
            <v>3654.3397800000002</v>
          </cell>
          <cell r="V95">
            <v>6331.1500000000005</v>
          </cell>
          <cell r="W95">
            <v>140226.09878</v>
          </cell>
          <cell r="Y95">
            <v>126736</v>
          </cell>
          <cell r="AA95">
            <v>200</v>
          </cell>
          <cell r="AB95">
            <v>1800</v>
          </cell>
          <cell r="AC95">
            <v>283</v>
          </cell>
          <cell r="AE95">
            <v>2283</v>
          </cell>
          <cell r="AF95">
            <v>135993.09878</v>
          </cell>
        </row>
        <row r="96">
          <cell r="C96" t="str">
            <v>BITS-703</v>
          </cell>
          <cell r="E96" t="str">
            <v>Arun kh 30-4-2022</v>
          </cell>
          <cell r="F96" t="str">
            <v>HYD STP</v>
          </cell>
          <cell r="G96">
            <v>85000</v>
          </cell>
          <cell r="H96">
            <v>75643</v>
          </cell>
          <cell r="I96">
            <v>30</v>
          </cell>
          <cell r="J96">
            <v>30</v>
          </cell>
          <cell r="L96">
            <v>30</v>
          </cell>
          <cell r="M96">
            <v>45385.8</v>
          </cell>
          <cell r="N96">
            <v>18154.320000000003</v>
          </cell>
          <cell r="O96">
            <v>2083</v>
          </cell>
          <cell r="P96">
            <v>2083</v>
          </cell>
          <cell r="Q96">
            <v>8049.8799999999901</v>
          </cell>
          <cell r="R96">
            <v>75756</v>
          </cell>
          <cell r="S96">
            <v>1950</v>
          </cell>
          <cell r="T96">
            <v>1554.6089999999999</v>
          </cell>
          <cell r="U96">
            <v>2183.0569799999998</v>
          </cell>
          <cell r="V96">
            <v>3782.15</v>
          </cell>
          <cell r="W96">
            <v>85225.815979999985</v>
          </cell>
          <cell r="Y96">
            <v>75756</v>
          </cell>
          <cell r="AA96">
            <v>200</v>
          </cell>
          <cell r="AB96">
            <v>1800</v>
          </cell>
          <cell r="AC96">
            <v>283</v>
          </cell>
          <cell r="AE96">
            <v>2283</v>
          </cell>
          <cell r="AF96">
            <v>80992.815979999985</v>
          </cell>
        </row>
        <row r="97">
          <cell r="C97" t="str">
            <v>BITS-704</v>
          </cell>
          <cell r="E97" t="str">
            <v>Ajay Pal Singh</v>
          </cell>
          <cell r="F97" t="str">
            <v>PUNE SEZ 1</v>
          </cell>
          <cell r="G97">
            <v>80000</v>
          </cell>
          <cell r="H97">
            <v>71009</v>
          </cell>
          <cell r="I97">
            <v>30</v>
          </cell>
          <cell r="J97">
            <v>29</v>
          </cell>
          <cell r="K97">
            <v>1</v>
          </cell>
          <cell r="L97">
            <v>30</v>
          </cell>
          <cell r="M97">
            <v>42605.4</v>
          </cell>
          <cell r="N97">
            <v>17042.16</v>
          </cell>
          <cell r="O97">
            <v>2083</v>
          </cell>
          <cell r="P97">
            <v>2083</v>
          </cell>
          <cell r="Q97">
            <v>7308.4400000000023</v>
          </cell>
          <cell r="R97">
            <v>71122</v>
          </cell>
          <cell r="S97">
            <v>1950</v>
          </cell>
          <cell r="T97">
            <v>1554.6089999999999</v>
          </cell>
          <cell r="U97">
            <v>2049.3197399999999</v>
          </cell>
          <cell r="V97">
            <v>3550.4500000000003</v>
          </cell>
          <cell r="W97">
            <v>80226.37874</v>
          </cell>
          <cell r="Y97">
            <v>71122</v>
          </cell>
          <cell r="AA97">
            <v>200</v>
          </cell>
          <cell r="AB97">
            <v>1800</v>
          </cell>
          <cell r="AC97">
            <v>283</v>
          </cell>
          <cell r="AE97">
            <v>2283</v>
          </cell>
          <cell r="AF97">
            <v>75993.37874</v>
          </cell>
        </row>
        <row r="98">
          <cell r="C98" t="str">
            <v>BITS-705</v>
          </cell>
          <cell r="E98" t="str">
            <v>Narasimha rao Gurazala</v>
          </cell>
          <cell r="F98" t="str">
            <v>BNG STP</v>
          </cell>
          <cell r="G98">
            <v>100000</v>
          </cell>
          <cell r="H98">
            <v>89547</v>
          </cell>
          <cell r="I98">
            <v>30</v>
          </cell>
          <cell r="J98">
            <v>29</v>
          </cell>
          <cell r="K98">
            <v>1</v>
          </cell>
          <cell r="L98">
            <v>30</v>
          </cell>
          <cell r="M98">
            <v>53728.2</v>
          </cell>
          <cell r="N98">
            <v>21491.279999999999</v>
          </cell>
          <cell r="O98">
            <v>2083</v>
          </cell>
          <cell r="P98">
            <v>2083</v>
          </cell>
          <cell r="Q98">
            <v>10274.520000000004</v>
          </cell>
          <cell r="R98">
            <v>89660</v>
          </cell>
          <cell r="S98">
            <v>1950</v>
          </cell>
          <cell r="T98">
            <v>1554.6089999999999</v>
          </cell>
          <cell r="U98">
            <v>2584.3264199999994</v>
          </cell>
          <cell r="V98">
            <v>4477.3499999999995</v>
          </cell>
          <cell r="W98">
            <v>100226.28542</v>
          </cell>
          <cell r="Y98">
            <v>89660</v>
          </cell>
          <cell r="AA98">
            <v>200</v>
          </cell>
          <cell r="AB98">
            <v>1800</v>
          </cell>
          <cell r="AC98">
            <v>283</v>
          </cell>
          <cell r="AE98">
            <v>2283</v>
          </cell>
          <cell r="AF98">
            <v>95993.28542</v>
          </cell>
        </row>
        <row r="99">
          <cell r="C99" t="str">
            <v>BITS-706</v>
          </cell>
          <cell r="D99" t="str">
            <v>SAP</v>
          </cell>
          <cell r="E99" t="str">
            <v>Arun Arra</v>
          </cell>
          <cell r="F99" t="str">
            <v>PUNE SEZ 2</v>
          </cell>
          <cell r="G99">
            <v>45000</v>
          </cell>
          <cell r="H99">
            <v>38567</v>
          </cell>
          <cell r="I99">
            <v>30</v>
          </cell>
          <cell r="J99">
            <v>30</v>
          </cell>
          <cell r="L99">
            <v>30</v>
          </cell>
          <cell r="M99">
            <v>23140.2</v>
          </cell>
          <cell r="N99">
            <v>9256.08</v>
          </cell>
          <cell r="O99">
            <v>2083</v>
          </cell>
          <cell r="P99">
            <v>2083</v>
          </cell>
          <cell r="Q99">
            <v>2117.7200000000012</v>
          </cell>
          <cell r="R99">
            <v>38680</v>
          </cell>
          <cell r="S99">
            <v>1950</v>
          </cell>
          <cell r="T99">
            <v>1554.6089999999999</v>
          </cell>
          <cell r="U99">
            <v>1113.0436199999999</v>
          </cell>
          <cell r="V99">
            <v>1928.3500000000001</v>
          </cell>
          <cell r="W99">
            <v>45226.002619999992</v>
          </cell>
          <cell r="Y99">
            <v>38680</v>
          </cell>
          <cell r="AA99">
            <v>200</v>
          </cell>
          <cell r="AB99">
            <v>1800</v>
          </cell>
          <cell r="AC99">
            <v>283</v>
          </cell>
          <cell r="AE99">
            <v>2283</v>
          </cell>
          <cell r="AF99">
            <v>40993.002619999992</v>
          </cell>
        </row>
        <row r="100">
          <cell r="C100" t="str">
            <v>BITS-707</v>
          </cell>
          <cell r="D100" t="str">
            <v>SAP</v>
          </cell>
          <cell r="E100" t="str">
            <v>Ramya Nalla</v>
          </cell>
          <cell r="F100" t="str">
            <v>PUNE SEZ 2</v>
          </cell>
          <cell r="G100">
            <v>45000</v>
          </cell>
          <cell r="H100">
            <v>38567</v>
          </cell>
          <cell r="I100">
            <v>30</v>
          </cell>
          <cell r="J100">
            <v>29</v>
          </cell>
          <cell r="K100">
            <v>1</v>
          </cell>
          <cell r="L100">
            <v>30</v>
          </cell>
          <cell r="M100">
            <v>23140.2</v>
          </cell>
          <cell r="N100">
            <v>9256.08</v>
          </cell>
          <cell r="O100">
            <v>2083</v>
          </cell>
          <cell r="P100">
            <v>2083</v>
          </cell>
          <cell r="Q100">
            <v>2117.7200000000012</v>
          </cell>
          <cell r="R100">
            <v>38680</v>
          </cell>
          <cell r="S100">
            <v>1950</v>
          </cell>
          <cell r="T100">
            <v>1554.6089999999999</v>
          </cell>
          <cell r="U100">
            <v>1113.0436199999999</v>
          </cell>
          <cell r="V100">
            <v>1928.3500000000001</v>
          </cell>
          <cell r="W100">
            <v>45226.002619999992</v>
          </cell>
          <cell r="Y100">
            <v>38680</v>
          </cell>
          <cell r="AA100">
            <v>200</v>
          </cell>
          <cell r="AB100">
            <v>1800</v>
          </cell>
          <cell r="AC100">
            <v>283</v>
          </cell>
          <cell r="AE100">
            <v>2283</v>
          </cell>
          <cell r="AF100">
            <v>40993.002619999992</v>
          </cell>
        </row>
        <row r="101">
          <cell r="C101" t="str">
            <v>BITS-709</v>
          </cell>
          <cell r="D101" t="str">
            <v>SAP</v>
          </cell>
          <cell r="E101" t="str">
            <v>Uma  Mahesh P</v>
          </cell>
          <cell r="F101" t="str">
            <v>PUNE SEZ 2</v>
          </cell>
          <cell r="G101">
            <v>45000</v>
          </cell>
          <cell r="H101">
            <v>38567</v>
          </cell>
          <cell r="I101">
            <v>30</v>
          </cell>
          <cell r="J101">
            <v>28</v>
          </cell>
          <cell r="K101">
            <v>2</v>
          </cell>
          <cell r="L101">
            <v>29</v>
          </cell>
          <cell r="M101">
            <v>22368.86</v>
          </cell>
          <cell r="N101">
            <v>8947.5439999999999</v>
          </cell>
          <cell r="O101">
            <v>2014</v>
          </cell>
          <cell r="P101">
            <v>2014</v>
          </cell>
          <cell r="Q101">
            <v>2050.029333333332</v>
          </cell>
          <cell r="R101">
            <v>37394.433333333334</v>
          </cell>
          <cell r="S101">
            <v>1950</v>
          </cell>
          <cell r="T101">
            <v>1554.6089999999999</v>
          </cell>
          <cell r="U101">
            <v>1075.942166</v>
          </cell>
          <cell r="V101">
            <v>1864.0716666666667</v>
          </cell>
          <cell r="W101">
            <v>43839.056166000002</v>
          </cell>
          <cell r="Y101">
            <v>37394.433333333334</v>
          </cell>
          <cell r="AA101">
            <v>200</v>
          </cell>
          <cell r="AB101">
            <v>1800</v>
          </cell>
          <cell r="AC101">
            <v>283</v>
          </cell>
          <cell r="AE101">
            <v>2283</v>
          </cell>
          <cell r="AF101">
            <v>39605.622832666661</v>
          </cell>
        </row>
        <row r="102">
          <cell r="C102" t="str">
            <v>BITS-713</v>
          </cell>
          <cell r="D102" t="str">
            <v>SAP</v>
          </cell>
          <cell r="E102" t="str">
            <v>NAGA SAI TEJA NUTHI</v>
          </cell>
          <cell r="F102" t="str">
            <v>PUNE SEZ 2</v>
          </cell>
          <cell r="G102">
            <v>50000</v>
          </cell>
          <cell r="H102">
            <v>43202</v>
          </cell>
          <cell r="I102">
            <v>30</v>
          </cell>
          <cell r="J102">
            <v>26</v>
          </cell>
          <cell r="K102">
            <v>4</v>
          </cell>
          <cell r="L102">
            <v>27</v>
          </cell>
          <cell r="M102">
            <v>23329.08</v>
          </cell>
          <cell r="N102">
            <v>9331.6320000000014</v>
          </cell>
          <cell r="O102">
            <v>1875</v>
          </cell>
          <cell r="P102">
            <v>1875</v>
          </cell>
          <cell r="Q102">
            <v>2584.0880000000034</v>
          </cell>
          <cell r="R102">
            <v>38994.800000000003</v>
          </cell>
          <cell r="S102">
            <v>1950</v>
          </cell>
          <cell r="T102">
            <v>1554.6089999999999</v>
          </cell>
          <cell r="U102">
            <v>1122.1287480000001</v>
          </cell>
          <cell r="V102">
            <v>1944.0900000000001</v>
          </cell>
          <cell r="W102">
            <v>45565.627747999999</v>
          </cell>
          <cell r="Y102">
            <v>38994.800000000003</v>
          </cell>
          <cell r="AA102">
            <v>200</v>
          </cell>
          <cell r="AB102">
            <v>1800</v>
          </cell>
          <cell r="AC102">
            <v>283</v>
          </cell>
          <cell r="AE102">
            <v>2283</v>
          </cell>
          <cell r="AF102">
            <v>41332.827747999996</v>
          </cell>
        </row>
        <row r="103">
          <cell r="C103" t="str">
            <v>BITS-714</v>
          </cell>
          <cell r="D103" t="str">
            <v>SAP</v>
          </cell>
          <cell r="E103" t="str">
            <v>Mani Krishna Nandineedi</v>
          </cell>
          <cell r="F103" t="str">
            <v>PUNE SEZ 2</v>
          </cell>
          <cell r="G103">
            <v>45000</v>
          </cell>
          <cell r="H103">
            <v>38567</v>
          </cell>
          <cell r="I103">
            <v>30</v>
          </cell>
          <cell r="J103">
            <v>30</v>
          </cell>
          <cell r="L103">
            <v>30</v>
          </cell>
          <cell r="M103">
            <v>23140.2</v>
          </cell>
          <cell r="N103">
            <v>9256.08</v>
          </cell>
          <cell r="O103">
            <v>2083</v>
          </cell>
          <cell r="P103">
            <v>2083</v>
          </cell>
          <cell r="Q103">
            <v>2117.7200000000012</v>
          </cell>
          <cell r="R103">
            <v>38680</v>
          </cell>
          <cell r="S103">
            <v>1950</v>
          </cell>
          <cell r="T103">
            <v>1554.6089999999999</v>
          </cell>
          <cell r="U103">
            <v>1113.0436199999999</v>
          </cell>
          <cell r="V103">
            <v>1928.3500000000001</v>
          </cell>
          <cell r="W103">
            <v>45226.002619999992</v>
          </cell>
          <cell r="Y103">
            <v>38680</v>
          </cell>
          <cell r="AA103">
            <v>200</v>
          </cell>
          <cell r="AB103">
            <v>1800</v>
          </cell>
          <cell r="AC103">
            <v>283</v>
          </cell>
          <cell r="AE103">
            <v>2283</v>
          </cell>
          <cell r="AF103">
            <v>40993.002619999992</v>
          </cell>
        </row>
        <row r="104">
          <cell r="C104" t="str">
            <v>BITS-715</v>
          </cell>
          <cell r="D104" t="str">
            <v>SAP</v>
          </cell>
          <cell r="E104" t="str">
            <v>Sushma P</v>
          </cell>
          <cell r="F104" t="str">
            <v>PUNE SEZ 2</v>
          </cell>
          <cell r="G104">
            <v>45000</v>
          </cell>
          <cell r="H104">
            <v>38567</v>
          </cell>
          <cell r="I104">
            <v>30</v>
          </cell>
          <cell r="J104">
            <v>30</v>
          </cell>
          <cell r="L104">
            <v>30</v>
          </cell>
          <cell r="M104">
            <v>23140.2</v>
          </cell>
          <cell r="N104">
            <v>9256.08</v>
          </cell>
          <cell r="O104">
            <v>2083</v>
          </cell>
          <cell r="P104">
            <v>2083</v>
          </cell>
          <cell r="Q104">
            <v>2117.7200000000012</v>
          </cell>
          <cell r="R104">
            <v>38680</v>
          </cell>
          <cell r="S104">
            <v>1950</v>
          </cell>
          <cell r="T104">
            <v>1554.6089999999999</v>
          </cell>
          <cell r="U104">
            <v>1113.0436199999999</v>
          </cell>
          <cell r="V104">
            <v>1928.3500000000001</v>
          </cell>
          <cell r="W104">
            <v>45226.002619999992</v>
          </cell>
          <cell r="Y104">
            <v>38680</v>
          </cell>
          <cell r="AA104">
            <v>200</v>
          </cell>
          <cell r="AB104">
            <v>1800</v>
          </cell>
          <cell r="AC104">
            <v>283</v>
          </cell>
          <cell r="AE104">
            <v>2283</v>
          </cell>
          <cell r="AF104">
            <v>40993.002619999992</v>
          </cell>
        </row>
        <row r="105">
          <cell r="C105" t="str">
            <v>BITS-716</v>
          </cell>
          <cell r="D105" t="str">
            <v>SAP</v>
          </cell>
          <cell r="E105" t="str">
            <v>PAVANKUMAR</v>
          </cell>
          <cell r="F105" t="str">
            <v>PUNE SEZ 1</v>
          </cell>
          <cell r="G105">
            <v>45000</v>
          </cell>
          <cell r="H105">
            <v>38567</v>
          </cell>
          <cell r="I105">
            <v>30</v>
          </cell>
          <cell r="J105">
            <v>30</v>
          </cell>
          <cell r="L105">
            <v>30</v>
          </cell>
          <cell r="M105">
            <v>23140.2</v>
          </cell>
          <cell r="N105">
            <v>9256.08</v>
          </cell>
          <cell r="O105">
            <v>2083</v>
          </cell>
          <cell r="P105">
            <v>2083</v>
          </cell>
          <cell r="Q105">
            <v>2117.7200000000012</v>
          </cell>
          <cell r="R105">
            <v>38680</v>
          </cell>
          <cell r="S105">
            <v>1950</v>
          </cell>
          <cell r="T105">
            <v>1554.6089999999999</v>
          </cell>
          <cell r="U105">
            <v>1113.0436199999999</v>
          </cell>
          <cell r="V105">
            <v>1928.3500000000001</v>
          </cell>
          <cell r="W105">
            <v>45226.002619999992</v>
          </cell>
          <cell r="Y105">
            <v>38680</v>
          </cell>
          <cell r="AA105">
            <v>200</v>
          </cell>
          <cell r="AB105">
            <v>1800</v>
          </cell>
          <cell r="AC105">
            <v>283</v>
          </cell>
          <cell r="AE105">
            <v>2283</v>
          </cell>
          <cell r="AF105">
            <v>40993.002619999992</v>
          </cell>
        </row>
        <row r="106">
          <cell r="C106" t="str">
            <v>BITS-717</v>
          </cell>
          <cell r="E106" t="str">
            <v>Jaikesh Upadhyay  </v>
          </cell>
          <cell r="F106" t="str">
            <v>PUNE ASC SEZ</v>
          </cell>
          <cell r="G106">
            <v>125000</v>
          </cell>
          <cell r="H106">
            <v>112719</v>
          </cell>
          <cell r="I106">
            <v>30</v>
          </cell>
          <cell r="J106">
            <v>29</v>
          </cell>
          <cell r="K106">
            <v>1</v>
          </cell>
          <cell r="L106">
            <v>30</v>
          </cell>
          <cell r="M106">
            <v>67631.399999999994</v>
          </cell>
          <cell r="N106">
            <v>27052.559999999998</v>
          </cell>
          <cell r="O106">
            <v>2083</v>
          </cell>
          <cell r="P106">
            <v>2083</v>
          </cell>
          <cell r="Q106">
            <v>13982.040000000008</v>
          </cell>
          <cell r="R106">
            <v>112832</v>
          </cell>
          <cell r="S106">
            <v>1950</v>
          </cell>
          <cell r="T106">
            <v>1554.6089999999999</v>
          </cell>
          <cell r="U106">
            <v>3253.0703399999993</v>
          </cell>
          <cell r="V106">
            <v>5635.95</v>
          </cell>
          <cell r="W106">
            <v>125225.62934</v>
          </cell>
          <cell r="Y106">
            <v>112832</v>
          </cell>
          <cell r="AA106">
            <v>200</v>
          </cell>
          <cell r="AB106">
            <v>1800</v>
          </cell>
          <cell r="AC106">
            <v>283</v>
          </cell>
          <cell r="AE106">
            <v>2283</v>
          </cell>
          <cell r="AF106">
            <v>120992.62934</v>
          </cell>
        </row>
        <row r="107">
          <cell r="C107" t="str">
            <v>BITS-718</v>
          </cell>
          <cell r="E107" t="str">
            <v>Mahanth Devasani</v>
          </cell>
          <cell r="F107" t="str">
            <v>BNG STP</v>
          </cell>
          <cell r="G107">
            <v>160000</v>
          </cell>
          <cell r="H107">
            <v>145161</v>
          </cell>
          <cell r="I107">
            <v>30</v>
          </cell>
          <cell r="J107">
            <v>30</v>
          </cell>
          <cell r="L107">
            <v>30</v>
          </cell>
          <cell r="M107">
            <v>87096.6</v>
          </cell>
          <cell r="N107">
            <v>34838.640000000007</v>
          </cell>
          <cell r="O107">
            <v>2083</v>
          </cell>
          <cell r="P107">
            <v>2083</v>
          </cell>
          <cell r="Q107">
            <v>19172.75999999998</v>
          </cell>
          <cell r="R107">
            <v>145274</v>
          </cell>
          <cell r="S107">
            <v>1950</v>
          </cell>
          <cell r="T107">
            <v>1554.6089999999999</v>
          </cell>
          <cell r="U107">
            <v>4189.3464599999998</v>
          </cell>
          <cell r="V107">
            <v>7258.05</v>
          </cell>
          <cell r="W107">
            <v>160226.00545999999</v>
          </cell>
          <cell r="Y107">
            <v>145274</v>
          </cell>
          <cell r="AA107">
            <v>200</v>
          </cell>
          <cell r="AB107">
            <v>1800</v>
          </cell>
          <cell r="AC107">
            <v>283</v>
          </cell>
          <cell r="AE107">
            <v>2283</v>
          </cell>
          <cell r="AF107">
            <v>155993.00545999999</v>
          </cell>
        </row>
        <row r="108">
          <cell r="C108" t="str">
            <v>BITS-719</v>
          </cell>
          <cell r="E108" t="str">
            <v>ROOPINI CHIYYARAPU</v>
          </cell>
          <cell r="F108" t="str">
            <v>HYD SEZ</v>
          </cell>
          <cell r="G108">
            <v>85000</v>
          </cell>
          <cell r="H108">
            <v>75643</v>
          </cell>
          <cell r="I108">
            <v>30</v>
          </cell>
          <cell r="J108">
            <v>29</v>
          </cell>
          <cell r="K108">
            <v>1</v>
          </cell>
          <cell r="L108">
            <v>30</v>
          </cell>
          <cell r="M108">
            <v>45385.8</v>
          </cell>
          <cell r="N108">
            <v>18154.320000000003</v>
          </cell>
          <cell r="O108">
            <v>2083</v>
          </cell>
          <cell r="P108">
            <v>2083</v>
          </cell>
          <cell r="Q108">
            <v>8049.8799999999901</v>
          </cell>
          <cell r="R108">
            <v>75756</v>
          </cell>
          <cell r="S108">
            <v>1950</v>
          </cell>
          <cell r="T108">
            <v>1554.6089999999999</v>
          </cell>
          <cell r="U108">
            <v>2183.0569799999998</v>
          </cell>
          <cell r="V108">
            <v>3782.15</v>
          </cell>
          <cell r="W108">
            <v>85225.815979999985</v>
          </cell>
          <cell r="Y108">
            <v>75756</v>
          </cell>
          <cell r="AA108">
            <v>200</v>
          </cell>
          <cell r="AB108">
            <v>1800</v>
          </cell>
          <cell r="AC108">
            <v>283</v>
          </cell>
          <cell r="AE108">
            <v>2283</v>
          </cell>
          <cell r="AF108">
            <v>80992.815979999985</v>
          </cell>
        </row>
        <row r="109">
          <cell r="C109" t="str">
            <v>BITS-720</v>
          </cell>
          <cell r="E109" t="str">
            <v>Jyoti Singh</v>
          </cell>
          <cell r="F109" t="str">
            <v>PUNE ASC SEZ</v>
          </cell>
          <cell r="G109">
            <v>115000</v>
          </cell>
          <cell r="H109">
            <v>103450</v>
          </cell>
          <cell r="I109">
            <v>30</v>
          </cell>
          <cell r="J109">
            <v>30</v>
          </cell>
          <cell r="L109">
            <v>30</v>
          </cell>
          <cell r="M109">
            <v>62070</v>
          </cell>
          <cell r="N109">
            <v>24828</v>
          </cell>
          <cell r="O109">
            <v>2083</v>
          </cell>
          <cell r="P109">
            <v>2083</v>
          </cell>
          <cell r="Q109">
            <v>12499</v>
          </cell>
          <cell r="R109">
            <v>103563</v>
          </cell>
          <cell r="S109">
            <v>1950</v>
          </cell>
          <cell r="T109">
            <v>1554.6089999999999</v>
          </cell>
          <cell r="U109">
            <v>2985.5669999999996</v>
          </cell>
          <cell r="V109">
            <v>5172.5</v>
          </cell>
          <cell r="W109">
            <v>115225.67599999999</v>
          </cell>
          <cell r="Y109">
            <v>103563</v>
          </cell>
          <cell r="AA109">
            <v>200</v>
          </cell>
          <cell r="AC109">
            <v>283</v>
          </cell>
          <cell r="AE109">
            <v>483</v>
          </cell>
          <cell r="AF109">
            <v>112792.67599999999</v>
          </cell>
        </row>
        <row r="110">
          <cell r="C110" t="str">
            <v>BITS-722</v>
          </cell>
          <cell r="E110" t="str">
            <v>Inturi Ramakrishna</v>
          </cell>
          <cell r="G110">
            <v>90000</v>
          </cell>
          <cell r="H110">
            <v>80278</v>
          </cell>
          <cell r="I110">
            <v>30</v>
          </cell>
          <cell r="J110">
            <v>30</v>
          </cell>
          <cell r="L110">
            <v>30</v>
          </cell>
          <cell r="M110">
            <v>48166.8</v>
          </cell>
          <cell r="N110">
            <v>19266.72</v>
          </cell>
          <cell r="O110">
            <v>2083</v>
          </cell>
          <cell r="P110">
            <v>2083</v>
          </cell>
          <cell r="Q110">
            <v>8791.4799999999959</v>
          </cell>
          <cell r="R110">
            <v>80391</v>
          </cell>
          <cell r="S110">
            <v>1950</v>
          </cell>
          <cell r="T110">
            <v>1554.6089999999999</v>
          </cell>
          <cell r="U110">
            <v>2316.8230800000001</v>
          </cell>
          <cell r="V110">
            <v>4013.9</v>
          </cell>
          <cell r="W110">
            <v>90226.332079999993</v>
          </cell>
          <cell r="Y110">
            <v>80391</v>
          </cell>
          <cell r="AA110">
            <v>200</v>
          </cell>
          <cell r="AB110">
            <v>1800</v>
          </cell>
          <cell r="AC110">
            <v>283</v>
          </cell>
          <cell r="AE110">
            <v>2283</v>
          </cell>
          <cell r="AF110">
            <v>85993.332079999993</v>
          </cell>
        </row>
        <row r="111">
          <cell r="C111" t="str">
            <v>BITS-723</v>
          </cell>
          <cell r="D111" t="str">
            <v>SAP</v>
          </cell>
          <cell r="E111" t="str">
            <v>D.Santhoshi</v>
          </cell>
          <cell r="F111" t="str">
            <v>HYD SEZ</v>
          </cell>
          <cell r="G111">
            <v>45000</v>
          </cell>
          <cell r="H111">
            <v>38567</v>
          </cell>
          <cell r="I111">
            <v>30</v>
          </cell>
          <cell r="J111">
            <v>30</v>
          </cell>
          <cell r="L111">
            <v>30</v>
          </cell>
          <cell r="M111">
            <v>23140.2</v>
          </cell>
          <cell r="N111">
            <v>9256.08</v>
          </cell>
          <cell r="O111">
            <v>2083</v>
          </cell>
          <cell r="P111">
            <v>2083</v>
          </cell>
          <cell r="Q111">
            <v>2117.7200000000012</v>
          </cell>
          <cell r="R111">
            <v>38680</v>
          </cell>
          <cell r="S111">
            <v>1950</v>
          </cell>
          <cell r="T111">
            <v>1554.6089999999999</v>
          </cell>
          <cell r="U111">
            <v>1113.0436199999999</v>
          </cell>
          <cell r="V111">
            <v>1928.3500000000001</v>
          </cell>
          <cell r="W111">
            <v>45226.002619999992</v>
          </cell>
          <cell r="Y111">
            <v>38680</v>
          </cell>
          <cell r="AA111">
            <v>200</v>
          </cell>
          <cell r="AB111">
            <v>1800</v>
          </cell>
          <cell r="AC111">
            <v>283</v>
          </cell>
          <cell r="AE111">
            <v>2283</v>
          </cell>
          <cell r="AF111">
            <v>40993.002619999992</v>
          </cell>
        </row>
        <row r="112">
          <cell r="C112" t="str">
            <v>BITS-724</v>
          </cell>
          <cell r="D112" t="str">
            <v>SAP</v>
          </cell>
          <cell r="E112" t="str">
            <v>Bharath</v>
          </cell>
          <cell r="F112" t="str">
            <v>HYD SEZ</v>
          </cell>
          <cell r="G112">
            <v>30000</v>
          </cell>
          <cell r="H112">
            <v>24636</v>
          </cell>
          <cell r="I112">
            <v>30</v>
          </cell>
          <cell r="J112">
            <v>30</v>
          </cell>
          <cell r="L112">
            <v>30</v>
          </cell>
          <cell r="M112">
            <v>14781.6</v>
          </cell>
          <cell r="N112">
            <v>5912.64</v>
          </cell>
          <cell r="O112">
            <v>1500</v>
          </cell>
          <cell r="P112">
            <v>1500</v>
          </cell>
          <cell r="Q112">
            <v>1054.7599999999984</v>
          </cell>
          <cell r="R112">
            <v>24749</v>
          </cell>
          <cell r="S112">
            <v>1921.6080000000002</v>
          </cell>
          <cell r="T112">
            <v>1554.6089999999999</v>
          </cell>
          <cell r="U112">
            <v>710.99495999999999</v>
          </cell>
          <cell r="V112">
            <v>1231.8</v>
          </cell>
          <cell r="W112">
            <v>30168.01196</v>
          </cell>
          <cell r="Y112">
            <v>24749</v>
          </cell>
          <cell r="AA112">
            <v>200</v>
          </cell>
          <cell r="AB112">
            <v>1774</v>
          </cell>
          <cell r="AC112">
            <v>283</v>
          </cell>
          <cell r="AE112">
            <v>2257</v>
          </cell>
          <cell r="AF112">
            <v>25989.40396</v>
          </cell>
        </row>
        <row r="113">
          <cell r="C113" t="str">
            <v>BITS-725</v>
          </cell>
          <cell r="D113" t="str">
            <v>SAP</v>
          </cell>
          <cell r="E113" t="str">
            <v>NEERUDU SAI KUMAR</v>
          </cell>
          <cell r="F113" t="str">
            <v>HYD SEZ</v>
          </cell>
          <cell r="G113">
            <v>45000</v>
          </cell>
          <cell r="H113">
            <v>38567</v>
          </cell>
          <cell r="I113">
            <v>30</v>
          </cell>
          <cell r="J113">
            <v>30</v>
          </cell>
          <cell r="L113">
            <v>30</v>
          </cell>
          <cell r="M113">
            <v>23140.2</v>
          </cell>
          <cell r="N113">
            <v>9256.08</v>
          </cell>
          <cell r="O113">
            <v>2083</v>
          </cell>
          <cell r="P113">
            <v>2083</v>
          </cell>
          <cell r="Q113">
            <v>2117.7200000000012</v>
          </cell>
          <cell r="R113">
            <v>38680</v>
          </cell>
          <cell r="S113">
            <v>1950</v>
          </cell>
          <cell r="T113">
            <v>1554.6089999999999</v>
          </cell>
          <cell r="U113">
            <v>1113.0436199999999</v>
          </cell>
          <cell r="V113">
            <v>1928.3500000000001</v>
          </cell>
          <cell r="W113">
            <v>45226.002619999992</v>
          </cell>
          <cell r="Y113">
            <v>38680</v>
          </cell>
          <cell r="AA113">
            <v>200</v>
          </cell>
          <cell r="AB113">
            <v>1800</v>
          </cell>
          <cell r="AC113">
            <v>283</v>
          </cell>
          <cell r="AE113">
            <v>2283</v>
          </cell>
          <cell r="AF113">
            <v>40993.002619999992</v>
          </cell>
        </row>
        <row r="114">
          <cell r="C114" t="str">
            <v>BITS-726</v>
          </cell>
          <cell r="D114" t="str">
            <v>SAP</v>
          </cell>
          <cell r="E114" t="str">
            <v>Ramineni Abhilash</v>
          </cell>
          <cell r="F114" t="str">
            <v>HYD SEZ</v>
          </cell>
          <cell r="G114">
            <v>45000</v>
          </cell>
          <cell r="H114">
            <v>38567</v>
          </cell>
          <cell r="I114">
            <v>30</v>
          </cell>
          <cell r="J114">
            <v>30</v>
          </cell>
          <cell r="L114">
            <v>30</v>
          </cell>
          <cell r="M114">
            <v>23140.2</v>
          </cell>
          <cell r="N114">
            <v>9256.08</v>
          </cell>
          <cell r="O114">
            <v>2083</v>
          </cell>
          <cell r="P114">
            <v>2083</v>
          </cell>
          <cell r="Q114">
            <v>2117.7200000000012</v>
          </cell>
          <cell r="R114">
            <v>38680</v>
          </cell>
          <cell r="S114">
            <v>1950</v>
          </cell>
          <cell r="T114">
            <v>1554.6089999999999</v>
          </cell>
          <cell r="U114">
            <v>1113.0436199999999</v>
          </cell>
          <cell r="V114">
            <v>1928.3500000000001</v>
          </cell>
          <cell r="W114">
            <v>45226.002619999992</v>
          </cell>
          <cell r="Y114">
            <v>38680</v>
          </cell>
          <cell r="AA114">
            <v>200</v>
          </cell>
          <cell r="AB114">
            <v>1800</v>
          </cell>
          <cell r="AC114">
            <v>283</v>
          </cell>
          <cell r="AE114">
            <v>2283</v>
          </cell>
          <cell r="AF114">
            <v>40993.002619999992</v>
          </cell>
        </row>
        <row r="115">
          <cell r="C115" t="str">
            <v>BITS-727</v>
          </cell>
          <cell r="E115" t="str">
            <v>SRILATHA</v>
          </cell>
          <cell r="F115" t="str">
            <v>HYD SEZ</v>
          </cell>
          <cell r="G115">
            <v>115000</v>
          </cell>
          <cell r="H115">
            <v>103450</v>
          </cell>
          <cell r="I115">
            <v>30</v>
          </cell>
          <cell r="J115">
            <v>30</v>
          </cell>
          <cell r="L115">
            <v>30</v>
          </cell>
          <cell r="M115">
            <v>62070</v>
          </cell>
          <cell r="N115">
            <v>24828</v>
          </cell>
          <cell r="O115">
            <v>2083</v>
          </cell>
          <cell r="P115">
            <v>2083</v>
          </cell>
          <cell r="Q115">
            <v>12499</v>
          </cell>
          <cell r="R115">
            <v>103563</v>
          </cell>
          <cell r="S115">
            <v>1950</v>
          </cell>
          <cell r="T115">
            <v>1554.6089999999999</v>
          </cell>
          <cell r="U115">
            <v>2985.5669999999996</v>
          </cell>
          <cell r="V115">
            <v>5172.5</v>
          </cell>
          <cell r="W115">
            <v>115225.67599999999</v>
          </cell>
          <cell r="Y115">
            <v>103563</v>
          </cell>
          <cell r="AA115">
            <v>200</v>
          </cell>
          <cell r="AB115">
            <v>1800</v>
          </cell>
          <cell r="AC115">
            <v>283</v>
          </cell>
          <cell r="AE115">
            <v>2283</v>
          </cell>
          <cell r="AF115">
            <v>110992.67599999999</v>
          </cell>
        </row>
        <row r="116">
          <cell r="C116" t="str">
            <v>BITS-729</v>
          </cell>
          <cell r="E116" t="str">
            <v>Rahul Suryawanshi</v>
          </cell>
          <cell r="F116" t="str">
            <v>PUNE SEZ 1</v>
          </cell>
          <cell r="G116">
            <v>90000</v>
          </cell>
          <cell r="H116">
            <v>80278</v>
          </cell>
          <cell r="I116">
            <v>30</v>
          </cell>
          <cell r="J116">
            <v>29</v>
          </cell>
          <cell r="K116">
            <v>1</v>
          </cell>
          <cell r="L116">
            <v>30</v>
          </cell>
          <cell r="M116">
            <v>48166.8</v>
          </cell>
          <cell r="N116">
            <v>19266.72</v>
          </cell>
          <cell r="O116">
            <v>2083</v>
          </cell>
          <cell r="P116">
            <v>2083</v>
          </cell>
          <cell r="Q116">
            <v>8791.4799999999959</v>
          </cell>
          <cell r="R116">
            <v>80391</v>
          </cell>
          <cell r="S116">
            <v>1950</v>
          </cell>
          <cell r="T116">
            <v>1554.6089999999999</v>
          </cell>
          <cell r="U116">
            <v>2316.8230800000001</v>
          </cell>
          <cell r="V116">
            <v>4013.9</v>
          </cell>
          <cell r="W116">
            <v>90226.332079999993</v>
          </cell>
          <cell r="Y116">
            <v>80391</v>
          </cell>
          <cell r="AA116">
            <v>200</v>
          </cell>
          <cell r="AB116">
            <v>1800</v>
          </cell>
          <cell r="AC116">
            <v>283</v>
          </cell>
          <cell r="AE116">
            <v>2283</v>
          </cell>
          <cell r="AF116">
            <v>85993.332079999993</v>
          </cell>
        </row>
        <row r="117">
          <cell r="C117" t="str">
            <v>BITS-730</v>
          </cell>
          <cell r="E117" t="str">
            <v xml:space="preserve">Shantanu Patankar </v>
          </cell>
          <cell r="F117" t="str">
            <v>PUNE SEZ 1</v>
          </cell>
          <cell r="G117">
            <v>125000</v>
          </cell>
          <cell r="H117">
            <v>112719</v>
          </cell>
          <cell r="I117">
            <v>30</v>
          </cell>
          <cell r="J117">
            <v>30</v>
          </cell>
          <cell r="L117">
            <v>30</v>
          </cell>
          <cell r="M117">
            <v>67631.399999999994</v>
          </cell>
          <cell r="N117">
            <v>27052.559999999998</v>
          </cell>
          <cell r="O117">
            <v>2083</v>
          </cell>
          <cell r="P117">
            <v>2083</v>
          </cell>
          <cell r="Q117">
            <v>13982.040000000008</v>
          </cell>
          <cell r="R117">
            <v>112832</v>
          </cell>
          <cell r="S117">
            <v>1950</v>
          </cell>
          <cell r="T117">
            <v>1554.6089999999999</v>
          </cell>
          <cell r="U117">
            <v>3253.0703399999993</v>
          </cell>
          <cell r="V117">
            <v>5635.95</v>
          </cell>
          <cell r="W117">
            <v>125225.62934</v>
          </cell>
          <cell r="Y117">
            <v>112832</v>
          </cell>
          <cell r="AA117">
            <v>200</v>
          </cell>
          <cell r="AB117">
            <v>1800</v>
          </cell>
          <cell r="AC117">
            <v>283</v>
          </cell>
          <cell r="AE117">
            <v>2283</v>
          </cell>
          <cell r="AF117">
            <v>120992.62934</v>
          </cell>
        </row>
        <row r="118">
          <cell r="C118" t="str">
            <v>BITS-731</v>
          </cell>
          <cell r="E118" t="str">
            <v xml:space="preserve">YAMUNA S </v>
          </cell>
          <cell r="F118" t="str">
            <v>BNG STP</v>
          </cell>
          <cell r="G118">
            <v>135000</v>
          </cell>
          <cell r="H118">
            <v>121988</v>
          </cell>
          <cell r="I118">
            <v>30</v>
          </cell>
          <cell r="J118">
            <v>30</v>
          </cell>
          <cell r="L118">
            <v>30</v>
          </cell>
          <cell r="M118">
            <v>73192.800000000003</v>
          </cell>
          <cell r="N118">
            <v>29277.120000000003</v>
          </cell>
          <cell r="O118">
            <v>2083</v>
          </cell>
          <cell r="P118">
            <v>2083</v>
          </cell>
          <cell r="Q118">
            <v>15465.079999999987</v>
          </cell>
          <cell r="R118">
            <v>122101</v>
          </cell>
          <cell r="S118">
            <v>1950</v>
          </cell>
          <cell r="T118">
            <v>1554.6089999999999</v>
          </cell>
          <cell r="U118">
            <v>3520.5736799999995</v>
          </cell>
          <cell r="V118">
            <v>6099.4000000000005</v>
          </cell>
          <cell r="W118">
            <v>135225.58267999999</v>
          </cell>
          <cell r="Y118">
            <v>122101</v>
          </cell>
          <cell r="AA118">
            <v>200</v>
          </cell>
          <cell r="AB118">
            <v>1800</v>
          </cell>
          <cell r="AC118">
            <v>283</v>
          </cell>
          <cell r="AE118">
            <v>2283</v>
          </cell>
          <cell r="AF118">
            <v>130992.58267999999</v>
          </cell>
        </row>
        <row r="119">
          <cell r="C119" t="str">
            <v>BITS-732</v>
          </cell>
          <cell r="E119" t="str">
            <v xml:space="preserve">ChetanMadhukar Mundhe </v>
          </cell>
          <cell r="F119" t="str">
            <v>BNG STP</v>
          </cell>
          <cell r="G119">
            <v>125000</v>
          </cell>
          <cell r="H119">
            <v>112719</v>
          </cell>
          <cell r="I119">
            <v>30</v>
          </cell>
          <cell r="J119">
            <v>29</v>
          </cell>
          <cell r="K119">
            <v>1</v>
          </cell>
          <cell r="L119">
            <v>30</v>
          </cell>
          <cell r="M119">
            <v>67631.399999999994</v>
          </cell>
          <cell r="N119">
            <v>27052.559999999998</v>
          </cell>
          <cell r="O119">
            <v>2083</v>
          </cell>
          <cell r="P119">
            <v>2083</v>
          </cell>
          <cell r="Q119">
            <v>13982.040000000008</v>
          </cell>
          <cell r="R119">
            <v>112832</v>
          </cell>
          <cell r="S119">
            <v>1950</v>
          </cell>
          <cell r="T119">
            <v>1554.6089999999999</v>
          </cell>
          <cell r="U119">
            <v>3253.0703399999993</v>
          </cell>
          <cell r="V119">
            <v>5635.95</v>
          </cell>
          <cell r="W119">
            <v>125225.62934</v>
          </cell>
          <cell r="Y119">
            <v>112832</v>
          </cell>
          <cell r="AA119">
            <v>200</v>
          </cell>
          <cell r="AB119">
            <v>1800</v>
          </cell>
          <cell r="AC119">
            <v>283</v>
          </cell>
          <cell r="AE119">
            <v>2283</v>
          </cell>
          <cell r="AF119">
            <v>120992.62934</v>
          </cell>
        </row>
        <row r="120">
          <cell r="C120" t="str">
            <v>BITS-733</v>
          </cell>
          <cell r="E120" t="str">
            <v>Chandrashekar Patil</v>
          </cell>
          <cell r="F120" t="str">
            <v>PUNE ASC SEZ</v>
          </cell>
          <cell r="G120">
            <v>83000</v>
          </cell>
          <cell r="H120">
            <v>73789</v>
          </cell>
          <cell r="I120">
            <v>30</v>
          </cell>
          <cell r="J120">
            <v>26</v>
          </cell>
          <cell r="K120">
            <v>4</v>
          </cell>
          <cell r="L120">
            <v>27</v>
          </cell>
          <cell r="M120">
            <v>39846.060000000005</v>
          </cell>
          <cell r="N120">
            <v>15938.424000000003</v>
          </cell>
          <cell r="O120">
            <v>1875</v>
          </cell>
          <cell r="P120">
            <v>1875</v>
          </cell>
          <cell r="Q120">
            <v>6988.6159999999945</v>
          </cell>
          <cell r="R120">
            <v>66523.100000000006</v>
          </cell>
          <cell r="S120">
            <v>1950</v>
          </cell>
          <cell r="T120">
            <v>1554.6089999999999</v>
          </cell>
          <cell r="U120">
            <v>1916.5954860000002</v>
          </cell>
          <cell r="V120">
            <v>3320.5050000000006</v>
          </cell>
          <cell r="W120">
            <v>75264.809485999998</v>
          </cell>
          <cell r="Y120">
            <v>66523.100000000006</v>
          </cell>
          <cell r="AA120">
            <v>200</v>
          </cell>
          <cell r="AB120">
            <v>1800</v>
          </cell>
          <cell r="AC120">
            <v>283</v>
          </cell>
          <cell r="AE120">
            <v>2283</v>
          </cell>
          <cell r="AF120">
            <v>71031.709486000007</v>
          </cell>
        </row>
        <row r="121">
          <cell r="C121" t="str">
            <v>BITS-734</v>
          </cell>
          <cell r="E121" t="str">
            <v xml:space="preserve">ShaikFarooq Basha </v>
          </cell>
          <cell r="F121" t="str">
            <v>PUNE ASC SEZ</v>
          </cell>
          <cell r="G121">
            <v>115000</v>
          </cell>
          <cell r="H121">
            <v>103450</v>
          </cell>
          <cell r="I121">
            <v>30</v>
          </cell>
          <cell r="J121">
            <v>30</v>
          </cell>
          <cell r="L121">
            <v>30</v>
          </cell>
          <cell r="M121">
            <v>62070</v>
          </cell>
          <cell r="N121">
            <v>24828</v>
          </cell>
          <cell r="O121">
            <v>2083</v>
          </cell>
          <cell r="P121">
            <v>2083</v>
          </cell>
          <cell r="Q121">
            <v>12499</v>
          </cell>
          <cell r="R121">
            <v>103563</v>
          </cell>
          <cell r="S121">
            <v>1950</v>
          </cell>
          <cell r="T121">
            <v>1554.6089999999999</v>
          </cell>
          <cell r="U121">
            <v>2985.5669999999996</v>
          </cell>
          <cell r="V121">
            <v>5172.5</v>
          </cell>
          <cell r="W121">
            <v>115225.67599999999</v>
          </cell>
          <cell r="Y121">
            <v>103563</v>
          </cell>
          <cell r="Z121">
            <v>7419</v>
          </cell>
          <cell r="AA121">
            <v>200</v>
          </cell>
          <cell r="AB121">
            <v>1800</v>
          </cell>
          <cell r="AC121">
            <v>283</v>
          </cell>
          <cell r="AE121">
            <v>9702</v>
          </cell>
          <cell r="AF121">
            <v>103573.67599999999</v>
          </cell>
        </row>
        <row r="122">
          <cell r="C122" t="str">
            <v>BITS-734</v>
          </cell>
          <cell r="E122" t="str">
            <v>SathishKumar dhandu</v>
          </cell>
          <cell r="F122" t="str">
            <v>BNG STP</v>
          </cell>
          <cell r="G122">
            <v>95000</v>
          </cell>
          <cell r="H122">
            <v>84812</v>
          </cell>
          <cell r="I122">
            <v>30</v>
          </cell>
          <cell r="J122">
            <v>30</v>
          </cell>
          <cell r="L122">
            <v>30</v>
          </cell>
          <cell r="M122">
            <v>50887.199999999997</v>
          </cell>
          <cell r="N122">
            <v>20354.88</v>
          </cell>
          <cell r="O122">
            <v>2083</v>
          </cell>
          <cell r="P122">
            <v>2083</v>
          </cell>
          <cell r="Q122">
            <v>9516.9199999999983</v>
          </cell>
          <cell r="R122">
            <v>84925</v>
          </cell>
          <cell r="S122">
            <v>1950</v>
          </cell>
          <cell r="T122">
            <v>1554.6089999999999</v>
          </cell>
          <cell r="U122">
            <v>2447.6743199999996</v>
          </cell>
          <cell r="V122">
            <v>4240.5999999999995</v>
          </cell>
          <cell r="W122">
            <v>95117.883320000008</v>
          </cell>
          <cell r="Y122">
            <v>84925</v>
          </cell>
          <cell r="AA122">
            <v>200</v>
          </cell>
          <cell r="AC122">
            <v>283</v>
          </cell>
          <cell r="AE122">
            <v>483</v>
          </cell>
          <cell r="AF122">
            <v>92684.883320000008</v>
          </cell>
        </row>
        <row r="123">
          <cell r="C123" t="str">
            <v>BITS-735</v>
          </cell>
          <cell r="E123" t="str">
            <v>SURESH Kumar KOLA</v>
          </cell>
          <cell r="F123" t="str">
            <v>HYD SEZ</v>
          </cell>
          <cell r="G123">
            <v>90000</v>
          </cell>
          <cell r="H123">
            <v>80278</v>
          </cell>
          <cell r="I123">
            <v>30</v>
          </cell>
          <cell r="J123">
            <v>30</v>
          </cell>
          <cell r="L123">
            <v>30</v>
          </cell>
          <cell r="M123">
            <v>48166.8</v>
          </cell>
          <cell r="N123">
            <v>19266.72</v>
          </cell>
          <cell r="O123">
            <v>2083</v>
          </cell>
          <cell r="P123">
            <v>2083</v>
          </cell>
          <cell r="Q123">
            <v>8791.4799999999959</v>
          </cell>
          <cell r="R123">
            <v>80391</v>
          </cell>
          <cell r="S123">
            <v>1950</v>
          </cell>
          <cell r="T123">
            <v>1554.6089999999999</v>
          </cell>
          <cell r="U123">
            <v>2316.8230800000001</v>
          </cell>
          <cell r="V123">
            <v>4013.9</v>
          </cell>
          <cell r="W123">
            <v>90226.332079999993</v>
          </cell>
          <cell r="Y123">
            <v>80391</v>
          </cell>
          <cell r="AA123">
            <v>200</v>
          </cell>
          <cell r="AB123">
            <v>1800</v>
          </cell>
          <cell r="AC123">
            <v>283</v>
          </cell>
          <cell r="AE123">
            <v>2283</v>
          </cell>
          <cell r="AF123">
            <v>85993.332079999993</v>
          </cell>
        </row>
        <row r="124">
          <cell r="C124" t="str">
            <v>BITS-736</v>
          </cell>
          <cell r="E124" t="str">
            <v>Varalakshmi Vijay</v>
          </cell>
          <cell r="F124" t="str">
            <v>PUNE SEZ 1</v>
          </cell>
          <cell r="G124">
            <v>75000</v>
          </cell>
          <cell r="H124">
            <v>66374</v>
          </cell>
          <cell r="I124">
            <v>30</v>
          </cell>
          <cell r="J124">
            <v>30</v>
          </cell>
          <cell r="L124">
            <v>30</v>
          </cell>
          <cell r="M124">
            <v>39824.400000000001</v>
          </cell>
          <cell r="N124">
            <v>15929.760000000002</v>
          </cell>
          <cell r="O124">
            <v>2083</v>
          </cell>
          <cell r="P124">
            <v>2083</v>
          </cell>
          <cell r="Q124">
            <v>6566.8399999999965</v>
          </cell>
          <cell r="R124">
            <v>66487</v>
          </cell>
          <cell r="S124">
            <v>1950</v>
          </cell>
          <cell r="T124">
            <v>1554.6089999999999</v>
          </cell>
          <cell r="U124">
            <v>1915.5536400000001</v>
          </cell>
          <cell r="V124">
            <v>3318.7000000000003</v>
          </cell>
          <cell r="W124">
            <v>75225.862639999992</v>
          </cell>
          <cell r="Y124">
            <v>66487</v>
          </cell>
          <cell r="AA124">
            <v>200</v>
          </cell>
          <cell r="AB124">
            <v>1800</v>
          </cell>
          <cell r="AC124">
            <v>283</v>
          </cell>
          <cell r="AE124">
            <v>2283</v>
          </cell>
          <cell r="AF124">
            <v>70992.862639999992</v>
          </cell>
        </row>
        <row r="125">
          <cell r="C125" t="str">
            <v>BITS-737</v>
          </cell>
          <cell r="E125" t="str">
            <v>Rammohan Mothukuri</v>
          </cell>
          <cell r="F125" t="str">
            <v>HYD STP</v>
          </cell>
          <cell r="G125">
            <v>97000</v>
          </cell>
          <cell r="H125">
            <v>86766</v>
          </cell>
          <cell r="I125">
            <v>30</v>
          </cell>
          <cell r="J125">
            <v>30</v>
          </cell>
          <cell r="L125">
            <v>30</v>
          </cell>
          <cell r="M125">
            <v>52059.6</v>
          </cell>
          <cell r="N125">
            <v>20823.84</v>
          </cell>
          <cell r="O125">
            <v>2083</v>
          </cell>
          <cell r="P125">
            <v>2083</v>
          </cell>
          <cell r="Q125">
            <v>9829.5599999999977</v>
          </cell>
          <cell r="R125">
            <v>86879</v>
          </cell>
          <cell r="S125">
            <v>1950</v>
          </cell>
          <cell r="T125">
            <v>1554.6089999999999</v>
          </cell>
          <cell r="U125">
            <v>2504.0667599999997</v>
          </cell>
          <cell r="V125">
            <v>4338.3</v>
          </cell>
          <cell r="W125">
            <v>97225.975760000001</v>
          </cell>
          <cell r="Y125">
            <v>86879</v>
          </cell>
          <cell r="AA125">
            <v>200</v>
          </cell>
          <cell r="AB125">
            <v>1800</v>
          </cell>
          <cell r="AC125">
            <v>283</v>
          </cell>
          <cell r="AE125">
            <v>2283</v>
          </cell>
          <cell r="AF125">
            <v>92992.975760000001</v>
          </cell>
        </row>
        <row r="126">
          <cell r="C126" t="str">
            <v>BITS-738</v>
          </cell>
          <cell r="E126" t="str">
            <v>NILOTPAL BHOWAL</v>
          </cell>
          <cell r="F126" t="str">
            <v>PUNE ASC SEZ</v>
          </cell>
          <cell r="G126">
            <v>135000</v>
          </cell>
          <cell r="H126">
            <v>121988</v>
          </cell>
          <cell r="I126">
            <v>30</v>
          </cell>
          <cell r="J126">
            <v>30</v>
          </cell>
          <cell r="L126">
            <v>30</v>
          </cell>
          <cell r="M126">
            <v>73192.800000000003</v>
          </cell>
          <cell r="N126">
            <v>29277.120000000003</v>
          </cell>
          <cell r="O126">
            <v>2083</v>
          </cell>
          <cell r="P126">
            <v>2083</v>
          </cell>
          <cell r="Q126">
            <v>15465.079999999987</v>
          </cell>
          <cell r="R126">
            <v>122101</v>
          </cell>
          <cell r="S126">
            <v>1950</v>
          </cell>
          <cell r="T126">
            <v>1554.6089999999999</v>
          </cell>
          <cell r="U126">
            <v>3520.5736799999995</v>
          </cell>
          <cell r="V126">
            <v>6099.4000000000005</v>
          </cell>
          <cell r="W126">
            <v>135225.58267999999</v>
          </cell>
          <cell r="Y126">
            <v>122101</v>
          </cell>
          <cell r="AA126">
            <v>200</v>
          </cell>
          <cell r="AB126">
            <v>1800</v>
          </cell>
          <cell r="AC126">
            <v>283</v>
          </cell>
          <cell r="AE126">
            <v>2283</v>
          </cell>
          <cell r="AF126">
            <v>130992.58267999999</v>
          </cell>
        </row>
        <row r="127">
          <cell r="C127" t="str">
            <v>BITS-739</v>
          </cell>
          <cell r="E127" t="str">
            <v>PraveenKumar GATTU</v>
          </cell>
          <cell r="F127" t="str">
            <v>BNG STP</v>
          </cell>
          <cell r="G127">
            <v>90000</v>
          </cell>
          <cell r="H127">
            <v>80278</v>
          </cell>
          <cell r="I127">
            <v>30</v>
          </cell>
          <cell r="J127">
            <v>30</v>
          </cell>
          <cell r="L127">
            <v>30</v>
          </cell>
          <cell r="M127">
            <v>48166.8</v>
          </cell>
          <cell r="N127">
            <v>19266.72</v>
          </cell>
          <cell r="O127">
            <v>2083</v>
          </cell>
          <cell r="P127">
            <v>2083</v>
          </cell>
          <cell r="Q127">
            <v>8791.4799999999959</v>
          </cell>
          <cell r="R127">
            <v>80391</v>
          </cell>
          <cell r="S127">
            <v>1950</v>
          </cell>
          <cell r="T127">
            <v>1554.6089999999999</v>
          </cell>
          <cell r="U127">
            <v>2316.8230800000001</v>
          </cell>
          <cell r="V127">
            <v>4013.9</v>
          </cell>
          <cell r="W127">
            <v>90226.332079999993</v>
          </cell>
          <cell r="Y127">
            <v>80391</v>
          </cell>
          <cell r="AA127">
            <v>200</v>
          </cell>
          <cell r="AB127">
            <v>1800</v>
          </cell>
          <cell r="AC127">
            <v>283</v>
          </cell>
          <cell r="AE127">
            <v>2283</v>
          </cell>
          <cell r="AF127">
            <v>85993.332079999993</v>
          </cell>
        </row>
        <row r="128">
          <cell r="C128" t="str">
            <v>BITS-740</v>
          </cell>
          <cell r="E128" t="str">
            <v>ANILKUMAR MUMMANA</v>
          </cell>
          <cell r="F128" t="str">
            <v>HYD SEZ</v>
          </cell>
          <cell r="G128">
            <v>145000</v>
          </cell>
          <cell r="H128">
            <v>131257</v>
          </cell>
          <cell r="I128">
            <v>30</v>
          </cell>
          <cell r="J128">
            <v>30</v>
          </cell>
          <cell r="L128">
            <v>30</v>
          </cell>
          <cell r="M128">
            <v>78754.2</v>
          </cell>
          <cell r="N128">
            <v>31501.68</v>
          </cell>
          <cell r="O128">
            <v>2083</v>
          </cell>
          <cell r="P128">
            <v>2083</v>
          </cell>
          <cell r="Q128">
            <v>16948.119999999995</v>
          </cell>
          <cell r="R128">
            <v>131370</v>
          </cell>
          <cell r="S128">
            <v>1950</v>
          </cell>
          <cell r="T128">
            <v>1554.6089999999999</v>
          </cell>
          <cell r="U128">
            <v>3788.0770199999993</v>
          </cell>
          <cell r="V128">
            <v>6562.8499999999995</v>
          </cell>
          <cell r="W128">
            <v>145225.53602</v>
          </cell>
          <cell r="Y128">
            <v>131370</v>
          </cell>
          <cell r="AA128">
            <v>200</v>
          </cell>
          <cell r="AB128">
            <v>1800</v>
          </cell>
          <cell r="AC128">
            <v>283</v>
          </cell>
          <cell r="AE128">
            <v>2283</v>
          </cell>
          <cell r="AF128">
            <v>140992.53602</v>
          </cell>
        </row>
        <row r="129">
          <cell r="C129" t="str">
            <v>BITS-741</v>
          </cell>
          <cell r="E129" t="str">
            <v>susheelKumar Gabndla</v>
          </cell>
          <cell r="F129" t="str">
            <v>PUNE SEZ 2</v>
          </cell>
          <cell r="G129">
            <v>90000</v>
          </cell>
          <cell r="H129">
            <v>80278</v>
          </cell>
          <cell r="I129">
            <v>30</v>
          </cell>
          <cell r="J129">
            <v>30</v>
          </cell>
          <cell r="L129">
            <v>30</v>
          </cell>
          <cell r="M129">
            <v>48166.8</v>
          </cell>
          <cell r="N129">
            <v>19266.72</v>
          </cell>
          <cell r="O129">
            <v>2083</v>
          </cell>
          <cell r="P129">
            <v>2083</v>
          </cell>
          <cell r="Q129">
            <v>8791.4799999999959</v>
          </cell>
          <cell r="R129">
            <v>80391</v>
          </cell>
          <cell r="S129">
            <v>1950</v>
          </cell>
          <cell r="T129">
            <v>1554.6089999999999</v>
          </cell>
          <cell r="U129">
            <v>2316.8230800000001</v>
          </cell>
          <cell r="V129">
            <v>4013.9</v>
          </cell>
          <cell r="W129">
            <v>90226.332079999993</v>
          </cell>
          <cell r="Y129">
            <v>80391</v>
          </cell>
          <cell r="AA129">
            <v>200</v>
          </cell>
          <cell r="AE129">
            <v>200</v>
          </cell>
          <cell r="AF129">
            <v>88076.332079999993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MARCH- 2022"/>
      <sheetName val="Emp Details "/>
      <sheetName val="kaja Venkat Ragavendra"/>
      <sheetName val="Venegella Kanaka durga"/>
      <sheetName val="Ayyappa Kopparapu "/>
      <sheetName val="Moeenahmed Shakilahmed Shaikh"/>
      <sheetName val="AKASH DEEP CHUNAP "/>
      <sheetName val="Jagdish Salian "/>
      <sheetName val="Parteek Arora"/>
      <sheetName val="Gaunda Mohammad Arief"/>
      <sheetName val="KRANTHI KUMAR VEDULLA"/>
      <sheetName val="Vipin U.N"/>
      <sheetName val="VeerendraBabu Galam"/>
      <sheetName val="SatishKumar Dhandu"/>
      <sheetName val="RAMBABU PYDI"/>
      <sheetName val="Sudhir Perka"/>
      <sheetName val="Haneef"/>
      <sheetName val="Ramesh Baira"/>
      <sheetName val="Nilesh Baviskar"/>
      <sheetName val="Ved Prakash"/>
      <sheetName val="GauravVispute"/>
      <sheetName val="Amith a"/>
      <sheetName val="RajasekharReddy KN"/>
      <sheetName val="Moulika GM"/>
      <sheetName val="AsokKumar J"/>
      <sheetName val="RUKNUDEEN S"/>
      <sheetName val="Rajesh Kongara"/>
      <sheetName val="Dhrubajyoti Goswami"/>
      <sheetName val="Yarramaddu Raveendra Reddy"/>
      <sheetName val="Ravindra bathoji"/>
      <sheetName val="Naresh Kandhula"/>
      <sheetName val="Reno Vijayan"/>
      <sheetName val="Majed Khan"/>
      <sheetName val="SathishKumar V"/>
      <sheetName val="Madan"/>
      <sheetName val="Kutagolla Mohazzer"/>
      <sheetName val="Sachin Ameshram"/>
      <sheetName val="Naresh Subbarajulu "/>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Swati Bhattachary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Rohit Kamble"/>
      <sheetName val="Inturi Ramakrishna"/>
      <sheetName val="D.Santhoshi"/>
      <sheetName val="Bharath"/>
      <sheetName val="NEERUDU SAI KUMAR"/>
      <sheetName val="Ramineni Abhilash"/>
      <sheetName val="Sheet29"/>
    </sheetNames>
    <sheetDataSet>
      <sheetData sheetId="0">
        <row r="34">
          <cell r="C34" t="str">
            <v>BITS-603</v>
          </cell>
          <cell r="E34" t="str">
            <v>DESIR KOIPURATH 25-3-2022</v>
          </cell>
          <cell r="F34" t="str">
            <v>PUNE SEZ 2</v>
          </cell>
          <cell r="G34">
            <v>112000</v>
          </cell>
          <cell r="H34">
            <v>100670</v>
          </cell>
          <cell r="I34">
            <v>31</v>
          </cell>
          <cell r="J34">
            <v>25</v>
          </cell>
          <cell r="L34">
            <v>25</v>
          </cell>
          <cell r="M34">
            <v>48711.290322580644</v>
          </cell>
          <cell r="N34">
            <v>19484.516129032258</v>
          </cell>
          <cell r="O34">
            <v>1680</v>
          </cell>
          <cell r="P34">
            <v>1680</v>
          </cell>
          <cell r="Q34">
            <v>9629.6774193548335</v>
          </cell>
          <cell r="R34">
            <v>81185.483870967742</v>
          </cell>
          <cell r="S34">
            <v>1950</v>
          </cell>
          <cell r="T34">
            <v>1441.6089999999999</v>
          </cell>
          <cell r="U34">
            <v>2343.0130645161289</v>
          </cell>
          <cell r="V34">
            <v>4059.2741935483868</v>
          </cell>
          <cell r="W34">
            <v>90979.380129032259</v>
          </cell>
          <cell r="Y34">
            <v>81185.483870967742</v>
          </cell>
          <cell r="Z34">
            <v>7200</v>
          </cell>
          <cell r="AA34">
            <v>200</v>
          </cell>
          <cell r="AB34">
            <v>1800</v>
          </cell>
          <cell r="AC34">
            <v>378</v>
          </cell>
          <cell r="AE34">
            <v>9578</v>
          </cell>
          <cell r="AF34">
            <v>79450.896258064517</v>
          </cell>
        </row>
        <row r="35">
          <cell r="C35" t="str">
            <v>BITS-605</v>
          </cell>
          <cell r="E35" t="str">
            <v>Chitra Kulkarni</v>
          </cell>
          <cell r="F35" t="str">
            <v>PUNE SEZ 1</v>
          </cell>
          <cell r="G35">
            <v>92000</v>
          </cell>
          <cell r="H35">
            <v>82132</v>
          </cell>
          <cell r="I35">
            <v>31</v>
          </cell>
          <cell r="J35">
            <v>31</v>
          </cell>
          <cell r="L35">
            <v>31</v>
          </cell>
          <cell r="M35">
            <v>49279.199999999997</v>
          </cell>
          <cell r="N35">
            <v>19711.68</v>
          </cell>
          <cell r="O35">
            <v>2083</v>
          </cell>
          <cell r="P35">
            <v>2083</v>
          </cell>
          <cell r="Q35">
            <v>8975.1199999999953</v>
          </cell>
          <cell r="R35">
            <v>82132</v>
          </cell>
          <cell r="S35">
            <v>1950</v>
          </cell>
          <cell r="T35">
            <v>1441.6089999999999</v>
          </cell>
          <cell r="U35">
            <v>2370.3295199999998</v>
          </cell>
          <cell r="V35">
            <v>4106.5999999999995</v>
          </cell>
          <cell r="W35">
            <v>92000.538520000002</v>
          </cell>
          <cell r="Y35">
            <v>82132</v>
          </cell>
          <cell r="Z35">
            <v>1772</v>
          </cell>
          <cell r="AA35">
            <v>200</v>
          </cell>
          <cell r="AB35">
            <v>1800</v>
          </cell>
          <cell r="AC35">
            <v>335</v>
          </cell>
          <cell r="AE35">
            <v>4107</v>
          </cell>
          <cell r="AF35">
            <v>85943.538520000002</v>
          </cell>
        </row>
        <row r="36">
          <cell r="C36" t="str">
            <v>BITS-606</v>
          </cell>
          <cell r="E36" t="str">
            <v>Barathiyar A</v>
          </cell>
          <cell r="F36" t="str">
            <v>BNG STP</v>
          </cell>
          <cell r="G36">
            <v>67000</v>
          </cell>
          <cell r="H36">
            <v>58959</v>
          </cell>
          <cell r="I36">
            <v>31</v>
          </cell>
          <cell r="J36">
            <v>31</v>
          </cell>
          <cell r="L36">
            <v>31</v>
          </cell>
          <cell r="M36">
            <v>35375.4</v>
          </cell>
          <cell r="N36">
            <v>14150.160000000002</v>
          </cell>
          <cell r="O36">
            <v>2083</v>
          </cell>
          <cell r="P36">
            <v>2083</v>
          </cell>
          <cell r="Q36">
            <v>5267.4399999999951</v>
          </cell>
          <cell r="R36">
            <v>58959</v>
          </cell>
          <cell r="S36">
            <v>1950</v>
          </cell>
          <cell r="T36">
            <v>1441.6089999999999</v>
          </cell>
          <cell r="U36">
            <v>1701.55674</v>
          </cell>
          <cell r="V36">
            <v>2947.9500000000003</v>
          </cell>
          <cell r="W36">
            <v>67000.115739999994</v>
          </cell>
          <cell r="Y36">
            <v>58959</v>
          </cell>
          <cell r="AA36">
            <v>200</v>
          </cell>
          <cell r="AB36">
            <v>1800</v>
          </cell>
          <cell r="AC36">
            <v>335</v>
          </cell>
          <cell r="AE36">
            <v>2335</v>
          </cell>
          <cell r="AF36">
            <v>62715.115739999994</v>
          </cell>
        </row>
        <row r="37">
          <cell r="C37" t="str">
            <v>BITS-607</v>
          </cell>
          <cell r="E37" t="str">
            <v>Kumaravel M</v>
          </cell>
          <cell r="F37" t="str">
            <v>BNG STP</v>
          </cell>
          <cell r="G37">
            <v>55000</v>
          </cell>
          <cell r="H37">
            <v>47836</v>
          </cell>
          <cell r="I37">
            <v>31</v>
          </cell>
          <cell r="J37">
            <v>31</v>
          </cell>
          <cell r="L37">
            <v>31</v>
          </cell>
          <cell r="M37">
            <v>28701.599999999999</v>
          </cell>
          <cell r="N37">
            <v>11480.64</v>
          </cell>
          <cell r="O37">
            <v>2083</v>
          </cell>
          <cell r="P37">
            <v>2083</v>
          </cell>
          <cell r="Q37">
            <v>3487.760000000002</v>
          </cell>
          <cell r="R37">
            <v>47836</v>
          </cell>
          <cell r="S37">
            <v>1950</v>
          </cell>
          <cell r="T37">
            <v>1441.6089999999999</v>
          </cell>
          <cell r="U37">
            <v>1380.5469599999999</v>
          </cell>
          <cell r="V37">
            <v>2391.7999999999997</v>
          </cell>
          <cell r="W37">
            <v>54999.955959999999</v>
          </cell>
          <cell r="Y37">
            <v>47836</v>
          </cell>
          <cell r="AA37">
            <v>200</v>
          </cell>
          <cell r="AB37">
            <v>1800</v>
          </cell>
          <cell r="AC37">
            <v>335</v>
          </cell>
          <cell r="AE37">
            <v>2335</v>
          </cell>
          <cell r="AF37">
            <v>50714.955959999999</v>
          </cell>
        </row>
        <row r="38">
          <cell r="C38" t="str">
            <v>BITS-609</v>
          </cell>
          <cell r="E38" t="str">
            <v>CHANDRASEHARAN GERORGE</v>
          </cell>
          <cell r="F38" t="str">
            <v>BNG STP</v>
          </cell>
          <cell r="G38">
            <v>58000</v>
          </cell>
          <cell r="H38">
            <v>50617</v>
          </cell>
          <cell r="I38">
            <v>31</v>
          </cell>
          <cell r="J38">
            <v>31</v>
          </cell>
          <cell r="L38">
            <v>31</v>
          </cell>
          <cell r="M38">
            <v>30370.2</v>
          </cell>
          <cell r="N38">
            <v>12148.080000000002</v>
          </cell>
          <cell r="O38">
            <v>2083</v>
          </cell>
          <cell r="P38">
            <v>2083</v>
          </cell>
          <cell r="Q38">
            <v>3932.7200000000012</v>
          </cell>
          <cell r="R38">
            <v>50617</v>
          </cell>
          <cell r="S38">
            <v>1950</v>
          </cell>
          <cell r="T38">
            <v>1441.6089999999999</v>
          </cell>
          <cell r="U38">
            <v>1460.8066199999998</v>
          </cell>
          <cell r="V38">
            <v>2530.85</v>
          </cell>
          <cell r="W38">
            <v>58000.265619999998</v>
          </cell>
          <cell r="Y38">
            <v>50617</v>
          </cell>
          <cell r="AA38">
            <v>200</v>
          </cell>
          <cell r="AB38">
            <v>1800</v>
          </cell>
          <cell r="AC38">
            <v>335</v>
          </cell>
          <cell r="AE38">
            <v>2335</v>
          </cell>
          <cell r="AF38">
            <v>53715.265619999998</v>
          </cell>
        </row>
        <row r="39">
          <cell r="C39" t="str">
            <v>BITS-610</v>
          </cell>
          <cell r="E39" t="str">
            <v>Kannan Selvakumar</v>
          </cell>
          <cell r="F39" t="str">
            <v>BNG STP</v>
          </cell>
          <cell r="G39">
            <v>65000</v>
          </cell>
          <cell r="H39">
            <v>57105</v>
          </cell>
          <cell r="I39">
            <v>31</v>
          </cell>
          <cell r="J39">
            <v>31</v>
          </cell>
          <cell r="L39">
            <v>31</v>
          </cell>
          <cell r="M39">
            <v>34263</v>
          </cell>
          <cell r="N39">
            <v>13705.2</v>
          </cell>
          <cell r="O39">
            <v>2083</v>
          </cell>
          <cell r="P39">
            <v>2083</v>
          </cell>
          <cell r="Q39">
            <v>4970.8000000000029</v>
          </cell>
          <cell r="R39">
            <v>57105</v>
          </cell>
          <cell r="S39">
            <v>1950</v>
          </cell>
          <cell r="T39">
            <v>1441.6089999999999</v>
          </cell>
          <cell r="U39">
            <v>1648.0502999999999</v>
          </cell>
          <cell r="V39">
            <v>2855.25</v>
          </cell>
          <cell r="W39">
            <v>64999.909299999999</v>
          </cell>
          <cell r="Y39">
            <v>57105</v>
          </cell>
          <cell r="AA39">
            <v>200</v>
          </cell>
          <cell r="AB39">
            <v>1800</v>
          </cell>
          <cell r="AC39">
            <v>335</v>
          </cell>
          <cell r="AE39">
            <v>2335</v>
          </cell>
          <cell r="AF39">
            <v>60714.909299999999</v>
          </cell>
        </row>
        <row r="40">
          <cell r="C40" t="str">
            <v>BITS-611</v>
          </cell>
          <cell r="E40" t="str">
            <v>VISHNUPRASATH T</v>
          </cell>
          <cell r="F40" t="str">
            <v>BNG STP</v>
          </cell>
          <cell r="G40">
            <v>55000</v>
          </cell>
          <cell r="H40">
            <v>47836</v>
          </cell>
          <cell r="I40">
            <v>31</v>
          </cell>
          <cell r="J40">
            <v>31</v>
          </cell>
          <cell r="L40">
            <v>31</v>
          </cell>
          <cell r="M40">
            <v>28701.599999999999</v>
          </cell>
          <cell r="N40">
            <v>11480.64</v>
          </cell>
          <cell r="O40">
            <v>2083</v>
          </cell>
          <cell r="P40">
            <v>2083</v>
          </cell>
          <cell r="Q40">
            <v>3487.760000000002</v>
          </cell>
          <cell r="R40">
            <v>47836</v>
          </cell>
          <cell r="S40">
            <v>1950</v>
          </cell>
          <cell r="T40">
            <v>1441.6089999999999</v>
          </cell>
          <cell r="U40">
            <v>1380.5469599999999</v>
          </cell>
          <cell r="V40">
            <v>2391.7999999999997</v>
          </cell>
          <cell r="W40">
            <v>54999.955959999999</v>
          </cell>
          <cell r="Y40">
            <v>47836</v>
          </cell>
          <cell r="AA40">
            <v>200</v>
          </cell>
          <cell r="AB40">
            <v>1800</v>
          </cell>
          <cell r="AC40">
            <v>335</v>
          </cell>
          <cell r="AE40">
            <v>2335</v>
          </cell>
          <cell r="AF40">
            <v>50714.955959999999</v>
          </cell>
        </row>
        <row r="41">
          <cell r="C41" t="str">
            <v>BITS-612</v>
          </cell>
          <cell r="E41" t="str">
            <v>Nagaranjan S</v>
          </cell>
          <cell r="F41" t="str">
            <v>BNG STP</v>
          </cell>
          <cell r="G41">
            <v>55000</v>
          </cell>
          <cell r="H41">
            <v>47836</v>
          </cell>
          <cell r="I41">
            <v>31</v>
          </cell>
          <cell r="J41">
            <v>30</v>
          </cell>
          <cell r="K41">
            <v>1</v>
          </cell>
          <cell r="L41">
            <v>31</v>
          </cell>
          <cell r="M41">
            <v>28701.599999999999</v>
          </cell>
          <cell r="N41">
            <v>11480.64</v>
          </cell>
          <cell r="O41">
            <v>2083</v>
          </cell>
          <cell r="P41">
            <v>2083</v>
          </cell>
          <cell r="Q41">
            <v>3487.760000000002</v>
          </cell>
          <cell r="R41">
            <v>47836</v>
          </cell>
          <cell r="S41">
            <v>1950</v>
          </cell>
          <cell r="T41">
            <v>1441.6089999999999</v>
          </cell>
          <cell r="U41">
            <v>1380.5469599999999</v>
          </cell>
          <cell r="V41">
            <v>2391.7999999999997</v>
          </cell>
          <cell r="W41">
            <v>54999.955959999999</v>
          </cell>
          <cell r="Y41">
            <v>47836</v>
          </cell>
          <cell r="AA41">
            <v>200</v>
          </cell>
          <cell r="AB41">
            <v>1800</v>
          </cell>
          <cell r="AC41">
            <v>335</v>
          </cell>
          <cell r="AE41">
            <v>2335</v>
          </cell>
          <cell r="AF41">
            <v>50714.955959999999</v>
          </cell>
        </row>
        <row r="42">
          <cell r="C42" t="str">
            <v>BITS-613</v>
          </cell>
          <cell r="E42" t="str">
            <v>ELAMPARITHI SB</v>
          </cell>
          <cell r="F42" t="str">
            <v>BNG STP</v>
          </cell>
          <cell r="G42">
            <v>55000</v>
          </cell>
          <cell r="H42">
            <v>47836</v>
          </cell>
          <cell r="I42">
            <v>31</v>
          </cell>
          <cell r="J42">
            <v>31</v>
          </cell>
          <cell r="L42">
            <v>31</v>
          </cell>
          <cell r="M42">
            <v>28701.599999999999</v>
          </cell>
          <cell r="N42">
            <v>11480.64</v>
          </cell>
          <cell r="O42">
            <v>2083</v>
          </cell>
          <cell r="P42">
            <v>2083</v>
          </cell>
          <cell r="Q42">
            <v>3487.760000000002</v>
          </cell>
          <cell r="R42">
            <v>47836</v>
          </cell>
          <cell r="S42">
            <v>1950</v>
          </cell>
          <cell r="T42">
            <v>1441.6089999999999</v>
          </cell>
          <cell r="U42">
            <v>1380.5469599999999</v>
          </cell>
          <cell r="V42">
            <v>2391.7999999999997</v>
          </cell>
          <cell r="W42">
            <v>54999.955959999999</v>
          </cell>
          <cell r="Y42">
            <v>47836</v>
          </cell>
          <cell r="AA42">
            <v>200</v>
          </cell>
          <cell r="AB42">
            <v>1800</v>
          </cell>
          <cell r="AC42">
            <v>335</v>
          </cell>
          <cell r="AE42">
            <v>2335</v>
          </cell>
          <cell r="AF42">
            <v>50714.955959999999</v>
          </cell>
        </row>
        <row r="43">
          <cell r="C43" t="str">
            <v>BITS-614</v>
          </cell>
          <cell r="E43" t="str">
            <v>KISHANPRASAD GANDHE</v>
          </cell>
          <cell r="F43" t="str">
            <v>HYD STP</v>
          </cell>
          <cell r="G43">
            <v>152000</v>
          </cell>
          <cell r="H43">
            <v>137746</v>
          </cell>
          <cell r="I43">
            <v>31</v>
          </cell>
          <cell r="J43">
            <v>31</v>
          </cell>
          <cell r="L43">
            <v>31</v>
          </cell>
          <cell r="M43">
            <v>82647.600000000006</v>
          </cell>
          <cell r="N43">
            <v>33059.040000000001</v>
          </cell>
          <cell r="O43">
            <v>2083</v>
          </cell>
          <cell r="P43">
            <v>2083</v>
          </cell>
          <cell r="Q43">
            <v>17873.359999999986</v>
          </cell>
          <cell r="R43">
            <v>137746</v>
          </cell>
          <cell r="S43">
            <v>1950</v>
          </cell>
          <cell r="T43">
            <v>1441.6089999999999</v>
          </cell>
          <cell r="U43">
            <v>3975.3495600000001</v>
          </cell>
          <cell r="V43">
            <v>6887.3</v>
          </cell>
          <cell r="W43">
            <v>152000.25855999999</v>
          </cell>
          <cell r="X43">
            <v>9806</v>
          </cell>
          <cell r="Y43">
            <v>147552</v>
          </cell>
          <cell r="Z43">
            <v>17127</v>
          </cell>
          <cell r="AA43">
            <v>200</v>
          </cell>
          <cell r="AB43">
            <v>1800</v>
          </cell>
          <cell r="AC43">
            <v>839</v>
          </cell>
          <cell r="AE43">
            <v>19966</v>
          </cell>
          <cell r="AF43">
            <v>139890.25855999999</v>
          </cell>
        </row>
        <row r="44">
          <cell r="C44" t="str">
            <v>BITS-617</v>
          </cell>
          <cell r="E44" t="str">
            <v>Sunnapalli Anil</v>
          </cell>
          <cell r="F44" t="str">
            <v>PUNE SEZ 1</v>
          </cell>
          <cell r="G44">
            <v>80000</v>
          </cell>
          <cell r="H44">
            <v>69580</v>
          </cell>
          <cell r="I44">
            <v>31</v>
          </cell>
          <cell r="J44">
            <v>31</v>
          </cell>
          <cell r="L44">
            <v>31</v>
          </cell>
          <cell r="M44">
            <v>41748</v>
          </cell>
          <cell r="N44">
            <v>16699.2</v>
          </cell>
          <cell r="O44">
            <v>2083</v>
          </cell>
          <cell r="P44">
            <v>2083</v>
          </cell>
          <cell r="Q44">
            <v>6966.8000000000029</v>
          </cell>
          <cell r="R44">
            <v>69580</v>
          </cell>
          <cell r="S44">
            <v>1950</v>
          </cell>
          <cell r="T44">
            <v>1441.6089999999999</v>
          </cell>
          <cell r="U44">
            <v>2008.0787999999998</v>
          </cell>
          <cell r="V44">
            <v>3479</v>
          </cell>
          <cell r="W44">
            <v>78458.6878</v>
          </cell>
          <cell r="Y44">
            <v>69580</v>
          </cell>
          <cell r="AA44">
            <v>200</v>
          </cell>
          <cell r="AB44">
            <v>1800</v>
          </cell>
          <cell r="AC44">
            <v>335</v>
          </cell>
          <cell r="AE44">
            <v>2335</v>
          </cell>
          <cell r="AF44">
            <v>74173.6878</v>
          </cell>
        </row>
        <row r="45">
          <cell r="C45" t="str">
            <v>BITS-619</v>
          </cell>
          <cell r="D45" t="str">
            <v>Cognizant</v>
          </cell>
          <cell r="E45" t="str">
            <v>Varsha Bollu</v>
          </cell>
          <cell r="G45">
            <v>85000</v>
          </cell>
          <cell r="H45">
            <v>75643</v>
          </cell>
          <cell r="I45">
            <v>31</v>
          </cell>
          <cell r="J45">
            <v>31</v>
          </cell>
          <cell r="L45">
            <v>31</v>
          </cell>
          <cell r="M45">
            <v>45385.8</v>
          </cell>
          <cell r="N45">
            <v>18154.320000000003</v>
          </cell>
          <cell r="O45">
            <v>2083</v>
          </cell>
          <cell r="P45">
            <v>2083</v>
          </cell>
          <cell r="Q45">
            <v>7936.8799999999901</v>
          </cell>
          <cell r="R45">
            <v>75643</v>
          </cell>
          <cell r="S45">
            <v>1950</v>
          </cell>
          <cell r="T45">
            <v>1441.6089999999999</v>
          </cell>
          <cell r="U45">
            <v>2183.0569799999998</v>
          </cell>
          <cell r="V45">
            <v>3782.15</v>
          </cell>
          <cell r="W45">
            <v>84999.815979999985</v>
          </cell>
          <cell r="Y45">
            <v>75643</v>
          </cell>
          <cell r="AA45">
            <v>200</v>
          </cell>
          <cell r="AB45">
            <v>1800</v>
          </cell>
          <cell r="AC45">
            <v>335</v>
          </cell>
          <cell r="AE45">
            <v>2335</v>
          </cell>
          <cell r="AF45">
            <v>80714.815979999985</v>
          </cell>
        </row>
        <row r="46">
          <cell r="C46" t="str">
            <v>BITS-620</v>
          </cell>
          <cell r="D46" t="str">
            <v>Cognizant</v>
          </cell>
          <cell r="E46" t="str">
            <v>Bhaskar Reddy Sudha</v>
          </cell>
          <cell r="G46">
            <v>110000</v>
          </cell>
          <cell r="H46">
            <v>98816</v>
          </cell>
          <cell r="I46">
            <v>31</v>
          </cell>
          <cell r="J46">
            <v>31</v>
          </cell>
          <cell r="L46">
            <v>31</v>
          </cell>
          <cell r="M46">
            <v>59289.599999999999</v>
          </cell>
          <cell r="N46">
            <v>23715.84</v>
          </cell>
          <cell r="O46">
            <v>2083</v>
          </cell>
          <cell r="P46">
            <v>2083</v>
          </cell>
          <cell r="Q46">
            <v>11644.559999999998</v>
          </cell>
          <cell r="R46">
            <v>98816</v>
          </cell>
          <cell r="S46">
            <v>1950</v>
          </cell>
          <cell r="T46">
            <v>1441.6089999999999</v>
          </cell>
          <cell r="U46">
            <v>2851.8297599999996</v>
          </cell>
          <cell r="V46">
            <v>4940.8</v>
          </cell>
          <cell r="W46">
            <v>110000.23875999999</v>
          </cell>
          <cell r="Y46">
            <v>98816</v>
          </cell>
          <cell r="Z46">
            <v>5494</v>
          </cell>
          <cell r="AA46">
            <v>200</v>
          </cell>
          <cell r="AB46">
            <v>1800</v>
          </cell>
          <cell r="AC46">
            <v>335</v>
          </cell>
          <cell r="AE46">
            <v>7829</v>
          </cell>
          <cell r="AF46">
            <v>100221.23875999999</v>
          </cell>
        </row>
        <row r="47">
          <cell r="C47" t="str">
            <v>BITS-645</v>
          </cell>
          <cell r="D47" t="str">
            <v>Cognizant</v>
          </cell>
          <cell r="E47" t="str">
            <v>BHARGAVI .R</v>
          </cell>
          <cell r="G47">
            <v>105000</v>
          </cell>
          <cell r="H47">
            <v>94181</v>
          </cell>
          <cell r="I47">
            <v>31</v>
          </cell>
          <cell r="J47">
            <v>31</v>
          </cell>
          <cell r="L47">
            <v>31</v>
          </cell>
          <cell r="M47">
            <v>56508.6</v>
          </cell>
          <cell r="N47">
            <v>22603.440000000002</v>
          </cell>
          <cell r="O47">
            <v>2083</v>
          </cell>
          <cell r="P47">
            <v>2083</v>
          </cell>
          <cell r="Q47">
            <v>10902.959999999992</v>
          </cell>
          <cell r="R47">
            <v>94181</v>
          </cell>
          <cell r="S47">
            <v>1950</v>
          </cell>
          <cell r="T47">
            <v>1441.6089999999999</v>
          </cell>
          <cell r="U47">
            <v>2718.0636599999998</v>
          </cell>
          <cell r="V47">
            <v>4709.05</v>
          </cell>
          <cell r="W47">
            <v>104999.72266</v>
          </cell>
          <cell r="Y47">
            <v>94181</v>
          </cell>
          <cell r="AA47">
            <v>200</v>
          </cell>
          <cell r="AB47">
            <v>1800</v>
          </cell>
          <cell r="AC47">
            <v>378</v>
          </cell>
          <cell r="AE47">
            <v>2378</v>
          </cell>
          <cell r="AF47">
            <v>100671.72266</v>
          </cell>
        </row>
        <row r="48">
          <cell r="C48" t="str">
            <v>BITS-676</v>
          </cell>
          <cell r="D48" t="str">
            <v>Cognizant</v>
          </cell>
          <cell r="E48" t="str">
            <v>Siva Krishna</v>
          </cell>
          <cell r="G48">
            <v>80000</v>
          </cell>
          <cell r="H48">
            <v>71009</v>
          </cell>
          <cell r="I48">
            <v>31</v>
          </cell>
          <cell r="J48">
            <v>29</v>
          </cell>
          <cell r="K48">
            <v>2</v>
          </cell>
          <cell r="L48">
            <v>30</v>
          </cell>
          <cell r="M48">
            <v>41231.032258064515</v>
          </cell>
          <cell r="N48">
            <v>16492.412903225806</v>
          </cell>
          <cell r="O48">
            <v>2016</v>
          </cell>
          <cell r="P48">
            <v>2016</v>
          </cell>
          <cell r="Q48">
            <v>6962.9419354838756</v>
          </cell>
          <cell r="R48">
            <v>68718.387096774197</v>
          </cell>
          <cell r="S48">
            <v>1950</v>
          </cell>
          <cell r="T48">
            <v>1441.6089999999999</v>
          </cell>
          <cell r="U48">
            <v>1983.2126516129031</v>
          </cell>
          <cell r="V48">
            <v>3435.9193548387098</v>
          </cell>
          <cell r="W48">
            <v>77529.128103225812</v>
          </cell>
          <cell r="Y48">
            <v>68718.387096774197</v>
          </cell>
          <cell r="AA48">
            <v>200</v>
          </cell>
          <cell r="AB48">
            <v>1800</v>
          </cell>
          <cell r="AC48">
            <v>378</v>
          </cell>
          <cell r="AE48">
            <v>2378</v>
          </cell>
          <cell r="AF48">
            <v>73200.741006451615</v>
          </cell>
        </row>
        <row r="49">
          <cell r="C49" t="str">
            <v>BITS-621</v>
          </cell>
          <cell r="E49" t="str">
            <v>ARJUN PUNDLIK JOSHI</v>
          </cell>
          <cell r="F49" t="str">
            <v>Mysore SEZ</v>
          </cell>
          <cell r="G49">
            <v>85000</v>
          </cell>
          <cell r="H49">
            <v>75643</v>
          </cell>
          <cell r="I49">
            <v>31</v>
          </cell>
          <cell r="J49">
            <v>31</v>
          </cell>
          <cell r="L49">
            <v>31</v>
          </cell>
          <cell r="M49">
            <v>45385.8</v>
          </cell>
          <cell r="N49">
            <v>18154.320000000003</v>
          </cell>
          <cell r="O49">
            <v>2083</v>
          </cell>
          <cell r="P49">
            <v>2083</v>
          </cell>
          <cell r="Q49">
            <v>7936.8799999999901</v>
          </cell>
          <cell r="R49">
            <v>75643</v>
          </cell>
          <cell r="S49">
            <v>1950</v>
          </cell>
          <cell r="T49">
            <v>1441.6089999999999</v>
          </cell>
          <cell r="U49">
            <v>2183.0569799999998</v>
          </cell>
          <cell r="V49">
            <v>3782.15</v>
          </cell>
          <cell r="W49">
            <v>84999.815979999985</v>
          </cell>
          <cell r="X49">
            <v>1000</v>
          </cell>
          <cell r="Y49">
            <v>76643</v>
          </cell>
          <cell r="AA49">
            <v>200</v>
          </cell>
          <cell r="AB49">
            <v>1800</v>
          </cell>
          <cell r="AC49">
            <v>336</v>
          </cell>
          <cell r="AE49">
            <v>2336</v>
          </cell>
          <cell r="AF49">
            <v>81713.815979999985</v>
          </cell>
        </row>
        <row r="50">
          <cell r="C50" t="str">
            <v>BITS-624</v>
          </cell>
          <cell r="E50" t="str">
            <v>Karthick G</v>
          </cell>
          <cell r="F50" t="str">
            <v>BNG STP</v>
          </cell>
          <cell r="G50">
            <v>100000</v>
          </cell>
          <cell r="H50">
            <v>89547</v>
          </cell>
          <cell r="I50">
            <v>31</v>
          </cell>
          <cell r="J50">
            <v>31</v>
          </cell>
          <cell r="L50">
            <v>31</v>
          </cell>
          <cell r="M50">
            <v>53728.2</v>
          </cell>
          <cell r="N50">
            <v>21491.279999999999</v>
          </cell>
          <cell r="O50">
            <v>2083</v>
          </cell>
          <cell r="P50">
            <v>2083</v>
          </cell>
          <cell r="Q50">
            <v>10161.520000000004</v>
          </cell>
          <cell r="R50">
            <v>89547</v>
          </cell>
          <cell r="S50">
            <v>1950</v>
          </cell>
          <cell r="T50">
            <v>1441.6089999999999</v>
          </cell>
          <cell r="U50">
            <v>2584.3264199999994</v>
          </cell>
          <cell r="V50">
            <v>4477.3499999999995</v>
          </cell>
          <cell r="W50">
            <v>100000.28542</v>
          </cell>
          <cell r="Y50">
            <v>89547</v>
          </cell>
          <cell r="AA50">
            <v>200</v>
          </cell>
          <cell r="AB50">
            <v>1800</v>
          </cell>
          <cell r="AC50">
            <v>336</v>
          </cell>
          <cell r="AE50">
            <v>2336</v>
          </cell>
          <cell r="AF50">
            <v>95714.28542</v>
          </cell>
        </row>
        <row r="51">
          <cell r="C51" t="str">
            <v>BITS-626</v>
          </cell>
          <cell r="E51" t="str">
            <v>Somisetty VenkataKrishna</v>
          </cell>
          <cell r="F51" t="str">
            <v>BNG SEZ</v>
          </cell>
          <cell r="G51">
            <v>75000</v>
          </cell>
          <cell r="H51">
            <v>66374</v>
          </cell>
          <cell r="I51">
            <v>31</v>
          </cell>
          <cell r="J51">
            <v>30</v>
          </cell>
          <cell r="K51">
            <v>1</v>
          </cell>
          <cell r="L51">
            <v>31</v>
          </cell>
          <cell r="M51">
            <v>39824.400000000001</v>
          </cell>
          <cell r="N51">
            <v>15929.760000000002</v>
          </cell>
          <cell r="O51">
            <v>2083</v>
          </cell>
          <cell r="P51">
            <v>2083</v>
          </cell>
          <cell r="Q51">
            <v>6453.8399999999965</v>
          </cell>
          <cell r="R51">
            <v>66374</v>
          </cell>
          <cell r="S51">
            <v>1950</v>
          </cell>
          <cell r="T51">
            <v>1441.6089999999999</v>
          </cell>
          <cell r="U51">
            <v>1915.5536400000001</v>
          </cell>
          <cell r="V51">
            <v>3318.7000000000003</v>
          </cell>
          <cell r="W51">
            <v>74999.862639999992</v>
          </cell>
          <cell r="Y51">
            <v>66374</v>
          </cell>
          <cell r="AA51">
            <v>200</v>
          </cell>
          <cell r="AB51">
            <v>1800</v>
          </cell>
          <cell r="AC51">
            <v>335</v>
          </cell>
          <cell r="AE51">
            <v>2335</v>
          </cell>
          <cell r="AF51">
            <v>70714.862639999992</v>
          </cell>
        </row>
        <row r="52">
          <cell r="C52" t="str">
            <v>BITS-629</v>
          </cell>
          <cell r="E52" t="str">
            <v>CHEREDDY MURALI KRISHNA NAIDU</v>
          </cell>
          <cell r="F52" t="str">
            <v>BNG SEZ</v>
          </cell>
          <cell r="G52">
            <v>115000</v>
          </cell>
          <cell r="H52">
            <v>103451</v>
          </cell>
          <cell r="I52">
            <v>31</v>
          </cell>
          <cell r="J52">
            <v>30</v>
          </cell>
          <cell r="K52">
            <v>1</v>
          </cell>
          <cell r="L52">
            <v>31</v>
          </cell>
          <cell r="M52">
            <v>62070.6</v>
          </cell>
          <cell r="N52">
            <v>24828.240000000002</v>
          </cell>
          <cell r="O52">
            <v>2083</v>
          </cell>
          <cell r="P52">
            <v>2083</v>
          </cell>
          <cell r="Q52">
            <v>12386.160000000003</v>
          </cell>
          <cell r="R52">
            <v>103451</v>
          </cell>
          <cell r="S52">
            <v>1950</v>
          </cell>
          <cell r="T52">
            <v>1441.6089999999999</v>
          </cell>
          <cell r="U52">
            <v>2985.5958599999994</v>
          </cell>
          <cell r="V52">
            <v>5172.55</v>
          </cell>
          <cell r="W52">
            <v>115000.75486</v>
          </cell>
          <cell r="Y52">
            <v>103451</v>
          </cell>
          <cell r="Z52">
            <v>8469</v>
          </cell>
          <cell r="AA52">
            <v>200</v>
          </cell>
          <cell r="AB52">
            <v>1800</v>
          </cell>
          <cell r="AC52">
            <v>336</v>
          </cell>
          <cell r="AE52">
            <v>10805</v>
          </cell>
          <cell r="AF52">
            <v>102245.75486</v>
          </cell>
        </row>
        <row r="53">
          <cell r="C53" t="str">
            <v>BITS-630</v>
          </cell>
          <cell r="E53" t="str">
            <v>Gangadhar Yarabham</v>
          </cell>
          <cell r="F53" t="str">
            <v>HYD SEZ</v>
          </cell>
          <cell r="G53">
            <v>95000</v>
          </cell>
          <cell r="H53">
            <v>84912</v>
          </cell>
          <cell r="I53">
            <v>31</v>
          </cell>
          <cell r="J53">
            <v>31</v>
          </cell>
          <cell r="L53">
            <v>31</v>
          </cell>
          <cell r="M53">
            <v>50947.199999999997</v>
          </cell>
          <cell r="N53">
            <v>20378.88</v>
          </cell>
          <cell r="O53">
            <v>2083</v>
          </cell>
          <cell r="P53">
            <v>2083</v>
          </cell>
          <cell r="Q53">
            <v>9419.9199999999983</v>
          </cell>
          <cell r="R53">
            <v>84912</v>
          </cell>
          <cell r="S53">
            <v>1950</v>
          </cell>
          <cell r="T53">
            <v>1441.6089999999999</v>
          </cell>
          <cell r="U53">
            <v>2450.5603199999996</v>
          </cell>
          <cell r="V53">
            <v>4245.5999999999995</v>
          </cell>
          <cell r="W53">
            <v>94999.769320000007</v>
          </cell>
          <cell r="Y53">
            <v>84912</v>
          </cell>
          <cell r="AA53">
            <v>200</v>
          </cell>
          <cell r="AB53">
            <v>1800</v>
          </cell>
          <cell r="AC53">
            <v>377</v>
          </cell>
          <cell r="AE53">
            <v>2377</v>
          </cell>
          <cell r="AF53">
            <v>90672.769320000007</v>
          </cell>
        </row>
        <row r="54">
          <cell r="C54" t="str">
            <v>BITS-632</v>
          </cell>
          <cell r="E54" t="str">
            <v>Himanshu Anand</v>
          </cell>
          <cell r="F54" t="str">
            <v>PUNE SEZ 1</v>
          </cell>
          <cell r="G54">
            <v>110000</v>
          </cell>
          <cell r="H54">
            <v>98501</v>
          </cell>
          <cell r="I54">
            <v>31</v>
          </cell>
          <cell r="J54">
            <v>31</v>
          </cell>
          <cell r="L54">
            <v>31</v>
          </cell>
          <cell r="M54">
            <v>59100.6</v>
          </cell>
          <cell r="N54">
            <v>23640.240000000002</v>
          </cell>
          <cell r="O54">
            <v>2083</v>
          </cell>
          <cell r="P54">
            <v>2083</v>
          </cell>
          <cell r="Q54">
            <v>11594.160000000003</v>
          </cell>
          <cell r="R54">
            <v>98501</v>
          </cell>
          <cell r="S54">
            <v>1950</v>
          </cell>
          <cell r="T54">
            <v>1441.6089999999999</v>
          </cell>
          <cell r="U54">
            <v>2842.7388599999999</v>
          </cell>
          <cell r="V54">
            <v>4925.05</v>
          </cell>
          <cell r="W54">
            <v>109660.39786</v>
          </cell>
          <cell r="Y54">
            <v>98501</v>
          </cell>
          <cell r="Z54">
            <v>6461</v>
          </cell>
          <cell r="AA54">
            <v>200</v>
          </cell>
          <cell r="AB54">
            <v>1800</v>
          </cell>
          <cell r="AC54">
            <v>336</v>
          </cell>
          <cell r="AE54">
            <v>8797</v>
          </cell>
          <cell r="AF54">
            <v>98913.397859999997</v>
          </cell>
        </row>
        <row r="55">
          <cell r="C55" t="str">
            <v>BITS-633</v>
          </cell>
          <cell r="E55" t="str">
            <v>Kanchupati Kondaiah</v>
          </cell>
          <cell r="F55" t="str">
            <v>PUNE SEZ 1</v>
          </cell>
          <cell r="G55">
            <v>54000</v>
          </cell>
          <cell r="H55">
            <v>46909</v>
          </cell>
          <cell r="I55">
            <v>31</v>
          </cell>
          <cell r="J55">
            <v>27.5</v>
          </cell>
          <cell r="K55">
            <v>3.5</v>
          </cell>
          <cell r="L55">
            <v>28.5</v>
          </cell>
          <cell r="M55">
            <v>25875.609677419354</v>
          </cell>
          <cell r="N55">
            <v>10350.243870967743</v>
          </cell>
          <cell r="O55">
            <v>1915</v>
          </cell>
          <cell r="P55">
            <v>1915</v>
          </cell>
          <cell r="Q55">
            <v>3070.162580645163</v>
          </cell>
          <cell r="R55">
            <v>43126.016129032258</v>
          </cell>
          <cell r="S55">
            <v>1950</v>
          </cell>
          <cell r="T55">
            <v>1441.6089999999999</v>
          </cell>
          <cell r="U55">
            <v>1244.6168254838708</v>
          </cell>
          <cell r="V55">
            <v>2156.300806451613</v>
          </cell>
          <cell r="W55">
            <v>49918.542760967735</v>
          </cell>
          <cell r="Y55">
            <v>43126.016129032258</v>
          </cell>
          <cell r="AA55">
            <v>200</v>
          </cell>
          <cell r="AB55">
            <v>1800</v>
          </cell>
          <cell r="AC55">
            <v>336</v>
          </cell>
          <cell r="AE55">
            <v>2336</v>
          </cell>
          <cell r="AF55">
            <v>45632.526631935478</v>
          </cell>
        </row>
        <row r="56">
          <cell r="C56" t="str">
            <v>BITS-634</v>
          </cell>
          <cell r="E56" t="str">
            <v>Santosh Patel</v>
          </cell>
          <cell r="F56" t="str">
            <v>PUNE SEZ 1</v>
          </cell>
          <cell r="G56">
            <v>145000</v>
          </cell>
          <cell r="H56">
            <v>131257</v>
          </cell>
          <cell r="I56">
            <v>31</v>
          </cell>
          <cell r="J56">
            <v>31</v>
          </cell>
          <cell r="L56">
            <v>31</v>
          </cell>
          <cell r="M56">
            <v>78754.2</v>
          </cell>
          <cell r="N56">
            <v>31501.68</v>
          </cell>
          <cell r="O56">
            <v>2083</v>
          </cell>
          <cell r="P56">
            <v>2083</v>
          </cell>
          <cell r="Q56">
            <v>16835.119999999995</v>
          </cell>
          <cell r="R56">
            <v>131257</v>
          </cell>
          <cell r="S56">
            <v>1950</v>
          </cell>
          <cell r="T56">
            <v>1441.6089999999999</v>
          </cell>
          <cell r="U56">
            <v>3788.0770199999993</v>
          </cell>
          <cell r="V56">
            <v>6562.8499999999995</v>
          </cell>
          <cell r="W56">
            <v>144999.53602</v>
          </cell>
          <cell r="Y56">
            <v>131257</v>
          </cell>
          <cell r="Z56">
            <v>17416</v>
          </cell>
          <cell r="AA56">
            <v>200</v>
          </cell>
          <cell r="AB56">
            <v>1800</v>
          </cell>
          <cell r="AC56">
            <v>336</v>
          </cell>
          <cell r="AE56">
            <v>19752</v>
          </cell>
          <cell r="AF56">
            <v>123297.53602</v>
          </cell>
        </row>
        <row r="57">
          <cell r="C57" t="str">
            <v>BITS-635</v>
          </cell>
          <cell r="E57" t="str">
            <v>Saleem Ahmed Natamkar</v>
          </cell>
          <cell r="F57" t="str">
            <v>BNG SEZ</v>
          </cell>
          <cell r="G57">
            <v>75000</v>
          </cell>
          <cell r="H57">
            <v>66374</v>
          </cell>
          <cell r="I57">
            <v>31</v>
          </cell>
          <cell r="J57">
            <v>0</v>
          </cell>
          <cell r="K57">
            <v>0</v>
          </cell>
          <cell r="L57">
            <v>0</v>
          </cell>
          <cell r="M57">
            <v>0</v>
          </cell>
          <cell r="N57">
            <v>0</v>
          </cell>
          <cell r="O57">
            <v>0</v>
          </cell>
          <cell r="P57">
            <v>0</v>
          </cell>
          <cell r="Q57">
            <v>0</v>
          </cell>
          <cell r="R57">
            <v>0</v>
          </cell>
          <cell r="S57">
            <v>0</v>
          </cell>
          <cell r="T57">
            <v>1441.6089999999999</v>
          </cell>
          <cell r="U57">
            <v>0</v>
          </cell>
          <cell r="V57">
            <v>0</v>
          </cell>
          <cell r="W57">
            <v>1441.6089999999999</v>
          </cell>
          <cell r="Y57">
            <v>0</v>
          </cell>
          <cell r="AA57">
            <v>0</v>
          </cell>
          <cell r="AB57">
            <v>0</v>
          </cell>
          <cell r="AC57">
            <v>377</v>
          </cell>
          <cell r="AE57">
            <v>377</v>
          </cell>
          <cell r="AF57">
            <v>1064.6089999999999</v>
          </cell>
        </row>
        <row r="58">
          <cell r="C58" t="str">
            <v>BITS-637</v>
          </cell>
          <cell r="E58" t="str">
            <v>Sambasivarao M left</v>
          </cell>
          <cell r="F58" t="str">
            <v>BNG STP</v>
          </cell>
          <cell r="G58">
            <v>105000</v>
          </cell>
          <cell r="H58">
            <v>94181</v>
          </cell>
          <cell r="I58">
            <v>31</v>
          </cell>
          <cell r="J58">
            <v>31</v>
          </cell>
          <cell r="L58">
            <v>31</v>
          </cell>
          <cell r="M58">
            <v>56508.6</v>
          </cell>
          <cell r="N58">
            <v>22603.440000000002</v>
          </cell>
          <cell r="O58">
            <v>2083</v>
          </cell>
          <cell r="P58">
            <v>2083</v>
          </cell>
          <cell r="Q58">
            <v>10902.959999999992</v>
          </cell>
          <cell r="R58">
            <v>94181</v>
          </cell>
          <cell r="S58">
            <v>1950</v>
          </cell>
          <cell r="T58">
            <v>1441.6089999999999</v>
          </cell>
          <cell r="U58">
            <v>2718.0636599999998</v>
          </cell>
          <cell r="V58">
            <v>4709.05</v>
          </cell>
          <cell r="W58">
            <v>104999.72266</v>
          </cell>
          <cell r="Y58">
            <v>94181</v>
          </cell>
          <cell r="AA58">
            <v>200</v>
          </cell>
          <cell r="AB58">
            <v>1800</v>
          </cell>
          <cell r="AC58">
            <v>224</v>
          </cell>
          <cell r="AE58">
            <v>2224</v>
          </cell>
          <cell r="AF58">
            <v>100825.72266</v>
          </cell>
        </row>
        <row r="59">
          <cell r="C59" t="str">
            <v>BITS-638</v>
          </cell>
          <cell r="E59" t="str">
            <v>Basweshwar Pawar</v>
          </cell>
          <cell r="F59" t="str">
            <v>PUNE SEZ 1</v>
          </cell>
          <cell r="G59">
            <v>100000</v>
          </cell>
          <cell r="H59">
            <v>89547</v>
          </cell>
          <cell r="I59">
            <v>31</v>
          </cell>
          <cell r="J59">
            <v>31</v>
          </cell>
          <cell r="L59">
            <v>31</v>
          </cell>
          <cell r="M59">
            <v>53728.2</v>
          </cell>
          <cell r="N59">
            <v>21491.279999999999</v>
          </cell>
          <cell r="O59">
            <v>2083</v>
          </cell>
          <cell r="P59">
            <v>2083</v>
          </cell>
          <cell r="Q59">
            <v>10161.520000000004</v>
          </cell>
          <cell r="R59">
            <v>89547</v>
          </cell>
          <cell r="S59">
            <v>1950</v>
          </cell>
          <cell r="T59">
            <v>1441.6089999999999</v>
          </cell>
          <cell r="U59">
            <v>2584.3264199999994</v>
          </cell>
          <cell r="V59">
            <v>4477.3499999999995</v>
          </cell>
          <cell r="W59">
            <v>100000.28542</v>
          </cell>
          <cell r="Y59">
            <v>89547</v>
          </cell>
          <cell r="AA59">
            <v>200</v>
          </cell>
          <cell r="AB59">
            <v>1800</v>
          </cell>
          <cell r="AC59">
            <v>224</v>
          </cell>
          <cell r="AE59">
            <v>2224</v>
          </cell>
          <cell r="AF59">
            <v>95826.28542</v>
          </cell>
        </row>
        <row r="60">
          <cell r="C60" t="str">
            <v>BITS-640</v>
          </cell>
          <cell r="E60" t="str">
            <v>K V Kannan</v>
          </cell>
          <cell r="F60" t="str">
            <v>BNG STP</v>
          </cell>
          <cell r="G60">
            <v>43000</v>
          </cell>
          <cell r="H60">
            <v>36713</v>
          </cell>
          <cell r="I60">
            <v>31</v>
          </cell>
          <cell r="J60">
            <v>30</v>
          </cell>
          <cell r="K60">
            <v>1</v>
          </cell>
          <cell r="L60">
            <v>31</v>
          </cell>
          <cell r="M60">
            <v>22027.8</v>
          </cell>
          <cell r="N60">
            <v>8811.1200000000008</v>
          </cell>
          <cell r="O60">
            <v>2083</v>
          </cell>
          <cell r="P60">
            <v>2083</v>
          </cell>
          <cell r="Q60">
            <v>1708.0800000000017</v>
          </cell>
          <cell r="R60">
            <v>36713</v>
          </cell>
          <cell r="S60">
            <v>1950</v>
          </cell>
          <cell r="T60">
            <v>1441.6089999999999</v>
          </cell>
          <cell r="U60">
            <v>1059.53718</v>
          </cell>
          <cell r="V60">
            <v>1835.6499999999999</v>
          </cell>
          <cell r="W60">
            <v>42999.796179999998</v>
          </cell>
          <cell r="Y60">
            <v>36713</v>
          </cell>
          <cell r="AA60">
            <v>200</v>
          </cell>
          <cell r="AB60">
            <v>1800</v>
          </cell>
          <cell r="AC60">
            <v>252</v>
          </cell>
          <cell r="AE60">
            <v>2252</v>
          </cell>
          <cell r="AF60">
            <v>38797.796179999998</v>
          </cell>
        </row>
        <row r="61">
          <cell r="C61" t="str">
            <v>BITS-641</v>
          </cell>
          <cell r="E61" t="str">
            <v>Thanigaivel.J</v>
          </cell>
          <cell r="F61" t="str">
            <v>BNG STP</v>
          </cell>
          <cell r="G61">
            <v>43000</v>
          </cell>
          <cell r="H61">
            <v>36713</v>
          </cell>
          <cell r="I61">
            <v>31</v>
          </cell>
          <cell r="J61">
            <v>31</v>
          </cell>
          <cell r="L61">
            <v>31</v>
          </cell>
          <cell r="M61">
            <v>22027.8</v>
          </cell>
          <cell r="N61">
            <v>8811.1200000000008</v>
          </cell>
          <cell r="O61">
            <v>2083</v>
          </cell>
          <cell r="P61">
            <v>2083</v>
          </cell>
          <cell r="Q61">
            <v>1708.0800000000017</v>
          </cell>
          <cell r="R61">
            <v>36713</v>
          </cell>
          <cell r="S61">
            <v>1950</v>
          </cell>
          <cell r="T61">
            <v>1441.6089999999999</v>
          </cell>
          <cell r="U61">
            <v>1059.53718</v>
          </cell>
          <cell r="V61">
            <v>1835.6499999999999</v>
          </cell>
          <cell r="W61">
            <v>42999.796179999998</v>
          </cell>
          <cell r="Y61">
            <v>36713</v>
          </cell>
          <cell r="AA61">
            <v>200</v>
          </cell>
          <cell r="AB61">
            <v>1800</v>
          </cell>
          <cell r="AC61">
            <v>224</v>
          </cell>
          <cell r="AE61">
            <v>2224</v>
          </cell>
          <cell r="AF61">
            <v>38825.796179999998</v>
          </cell>
        </row>
        <row r="62">
          <cell r="C62" t="str">
            <v>BITS-644</v>
          </cell>
          <cell r="E62" t="str">
            <v>gopi reddy chirra</v>
          </cell>
          <cell r="F62" t="str">
            <v>Chandigarh</v>
          </cell>
          <cell r="G62">
            <v>66000</v>
          </cell>
          <cell r="H62">
            <v>58032</v>
          </cell>
          <cell r="I62">
            <v>31</v>
          </cell>
          <cell r="J62">
            <v>30</v>
          </cell>
          <cell r="K62">
            <v>1</v>
          </cell>
          <cell r="L62">
            <v>31</v>
          </cell>
          <cell r="M62">
            <v>34819.199999999997</v>
          </cell>
          <cell r="N62">
            <v>13927.68</v>
          </cell>
          <cell r="O62">
            <v>2083</v>
          </cell>
          <cell r="P62">
            <v>2083</v>
          </cell>
          <cell r="Q62">
            <v>5119.1200000000026</v>
          </cell>
          <cell r="R62">
            <v>58032</v>
          </cell>
          <cell r="S62">
            <v>1950</v>
          </cell>
          <cell r="T62">
            <v>1441.6089999999999</v>
          </cell>
          <cell r="U62">
            <v>1674.8035199999999</v>
          </cell>
          <cell r="V62">
            <v>2901.6</v>
          </cell>
          <cell r="W62">
            <v>66000.012519999989</v>
          </cell>
          <cell r="Y62">
            <v>58032</v>
          </cell>
          <cell r="AA62">
            <v>200</v>
          </cell>
          <cell r="AB62">
            <v>1800</v>
          </cell>
          <cell r="AC62">
            <v>224</v>
          </cell>
          <cell r="AE62">
            <v>2224</v>
          </cell>
          <cell r="AF62">
            <v>61826.012519999997</v>
          </cell>
        </row>
        <row r="63">
          <cell r="C63" t="str">
            <v>BITS-645</v>
          </cell>
          <cell r="E63" t="str">
            <v>Anil kumar Redd kusam</v>
          </cell>
          <cell r="F63" t="str">
            <v>BNG STP</v>
          </cell>
          <cell r="G63">
            <v>90000</v>
          </cell>
          <cell r="H63">
            <v>80278</v>
          </cell>
          <cell r="I63">
            <v>31</v>
          </cell>
          <cell r="J63">
            <v>31</v>
          </cell>
          <cell r="L63">
            <v>31</v>
          </cell>
          <cell r="M63">
            <v>48166.8</v>
          </cell>
          <cell r="N63">
            <v>19266.72</v>
          </cell>
          <cell r="O63">
            <v>2083</v>
          </cell>
          <cell r="P63">
            <v>2083</v>
          </cell>
          <cell r="Q63">
            <v>8678.4799999999959</v>
          </cell>
          <cell r="R63">
            <v>80278</v>
          </cell>
          <cell r="S63">
            <v>1950</v>
          </cell>
          <cell r="T63">
            <v>1441.6089999999999</v>
          </cell>
          <cell r="U63">
            <v>2316.8230800000001</v>
          </cell>
          <cell r="V63">
            <v>4013.9</v>
          </cell>
          <cell r="W63">
            <v>90000.332079999993</v>
          </cell>
          <cell r="Y63">
            <v>80278</v>
          </cell>
          <cell r="AA63">
            <v>200</v>
          </cell>
          <cell r="AB63">
            <v>1800</v>
          </cell>
          <cell r="AC63">
            <v>224</v>
          </cell>
          <cell r="AE63">
            <v>2224</v>
          </cell>
          <cell r="AF63">
            <v>85826.332079999993</v>
          </cell>
        </row>
        <row r="64">
          <cell r="C64" t="str">
            <v>BITS-646</v>
          </cell>
          <cell r="E64" t="str">
            <v>Vijay Kumar Sundara</v>
          </cell>
          <cell r="F64" t="str">
            <v>HYD STP</v>
          </cell>
          <cell r="G64">
            <v>90000</v>
          </cell>
          <cell r="H64">
            <v>80278</v>
          </cell>
          <cell r="I64">
            <v>31</v>
          </cell>
          <cell r="J64">
            <v>29</v>
          </cell>
          <cell r="K64">
            <v>2</v>
          </cell>
          <cell r="L64">
            <v>30</v>
          </cell>
          <cell r="M64">
            <v>46613.032258064515</v>
          </cell>
          <cell r="N64">
            <v>18645.212903225805</v>
          </cell>
          <cell r="O64">
            <v>2016</v>
          </cell>
          <cell r="P64">
            <v>2016</v>
          </cell>
          <cell r="Q64">
            <v>8398.1419354838727</v>
          </cell>
          <cell r="R64">
            <v>77688.387096774197</v>
          </cell>
          <cell r="S64">
            <v>1950</v>
          </cell>
          <cell r="T64">
            <v>1441.6089999999999</v>
          </cell>
          <cell r="U64">
            <v>2242.086851612903</v>
          </cell>
          <cell r="V64">
            <v>3884.4193548387098</v>
          </cell>
          <cell r="W64">
            <v>87206.502303225803</v>
          </cell>
          <cell r="Y64">
            <v>77688.387096774197</v>
          </cell>
          <cell r="AA64">
            <v>200</v>
          </cell>
          <cell r="AB64">
            <v>1800</v>
          </cell>
          <cell r="AC64">
            <v>224</v>
          </cell>
          <cell r="AE64">
            <v>2224</v>
          </cell>
          <cell r="AF64">
            <v>83032.115206451606</v>
          </cell>
        </row>
        <row r="65">
          <cell r="C65" t="str">
            <v>BITS-649</v>
          </cell>
          <cell r="E65" t="str">
            <v>Paparao</v>
          </cell>
          <cell r="F65">
            <v>44629</v>
          </cell>
          <cell r="G65">
            <v>125000</v>
          </cell>
          <cell r="H65">
            <v>112719</v>
          </cell>
          <cell r="I65">
            <v>31</v>
          </cell>
          <cell r="J65">
            <v>9</v>
          </cell>
          <cell r="L65">
            <v>9</v>
          </cell>
          <cell r="M65">
            <v>19634.922580645161</v>
          </cell>
          <cell r="N65">
            <v>7853.9690322580645</v>
          </cell>
          <cell r="O65">
            <v>605</v>
          </cell>
          <cell r="P65">
            <v>605</v>
          </cell>
          <cell r="Q65">
            <v>4025.9793548387097</v>
          </cell>
          <cell r="R65">
            <v>32724.870967741936</v>
          </cell>
          <cell r="S65">
            <v>1950</v>
          </cell>
          <cell r="T65">
            <v>1441.6089999999999</v>
          </cell>
          <cell r="U65">
            <v>944.43977612903223</v>
          </cell>
          <cell r="V65">
            <v>1636.2435483870968</v>
          </cell>
          <cell r="W65">
            <v>38697.163292258061</v>
          </cell>
          <cell r="Y65">
            <v>32724.870967741936</v>
          </cell>
          <cell r="AA65">
            <v>200</v>
          </cell>
          <cell r="AB65">
            <v>1800</v>
          </cell>
          <cell r="AC65">
            <v>224</v>
          </cell>
          <cell r="AE65">
            <v>2224</v>
          </cell>
          <cell r="AF65">
            <v>34523.292324516129</v>
          </cell>
        </row>
        <row r="66">
          <cell r="C66" t="str">
            <v>BITS-650</v>
          </cell>
          <cell r="E66" t="str">
            <v>Bhaskar Idagottu</v>
          </cell>
          <cell r="G66">
            <v>125000</v>
          </cell>
          <cell r="H66">
            <v>112719</v>
          </cell>
          <cell r="I66">
            <v>31</v>
          </cell>
          <cell r="J66">
            <v>30</v>
          </cell>
          <cell r="K66">
            <v>1</v>
          </cell>
          <cell r="L66">
            <v>31</v>
          </cell>
          <cell r="M66">
            <v>67631.399999999994</v>
          </cell>
          <cell r="N66">
            <v>27052.559999999998</v>
          </cell>
          <cell r="O66">
            <v>2083</v>
          </cell>
          <cell r="P66">
            <v>2083</v>
          </cell>
          <cell r="Q66">
            <v>13869.040000000008</v>
          </cell>
          <cell r="R66">
            <v>112719</v>
          </cell>
          <cell r="T66">
            <v>1441.6089999999999</v>
          </cell>
          <cell r="U66">
            <v>3253.0703399999993</v>
          </cell>
          <cell r="V66">
            <v>5635.95</v>
          </cell>
          <cell r="W66">
            <v>123049.62934</v>
          </cell>
          <cell r="Y66">
            <v>112719</v>
          </cell>
          <cell r="Z66">
            <v>4446</v>
          </cell>
          <cell r="AA66">
            <v>200</v>
          </cell>
          <cell r="AE66">
            <v>4646</v>
          </cell>
          <cell r="AF66">
            <v>118403.62934</v>
          </cell>
        </row>
        <row r="67">
          <cell r="C67" t="str">
            <v>BITS-651</v>
          </cell>
          <cell r="E67" t="str">
            <v>Snehal Shirsat</v>
          </cell>
          <cell r="F67" t="str">
            <v>PUNE ASC SEZ</v>
          </cell>
          <cell r="G67">
            <v>67000</v>
          </cell>
          <cell r="H67">
            <v>58959</v>
          </cell>
          <cell r="I67">
            <v>31</v>
          </cell>
          <cell r="J67">
            <v>30</v>
          </cell>
          <cell r="K67">
            <v>1</v>
          </cell>
          <cell r="L67">
            <v>31</v>
          </cell>
          <cell r="M67">
            <v>35375.4</v>
          </cell>
          <cell r="N67">
            <v>14150.160000000002</v>
          </cell>
          <cell r="O67">
            <v>2083</v>
          </cell>
          <cell r="P67">
            <v>2083</v>
          </cell>
          <cell r="Q67">
            <v>5267.4399999999951</v>
          </cell>
          <cell r="R67">
            <v>58959</v>
          </cell>
          <cell r="S67">
            <v>1950</v>
          </cell>
          <cell r="T67">
            <v>1441.6089999999999</v>
          </cell>
          <cell r="U67">
            <v>1701.55674</v>
          </cell>
          <cell r="V67">
            <v>2947.9500000000003</v>
          </cell>
          <cell r="W67">
            <v>67000.115739999994</v>
          </cell>
          <cell r="Y67">
            <v>58959</v>
          </cell>
          <cell r="AA67">
            <v>200</v>
          </cell>
          <cell r="AB67">
            <v>1800</v>
          </cell>
          <cell r="AC67">
            <v>254</v>
          </cell>
          <cell r="AE67">
            <v>2254</v>
          </cell>
          <cell r="AF67">
            <v>62796.115739999994</v>
          </cell>
        </row>
        <row r="68">
          <cell r="C68" t="str">
            <v>BITS-652</v>
          </cell>
          <cell r="E68" t="str">
            <v>Shaikh Mohammed Sartaj</v>
          </cell>
          <cell r="F68" t="str">
            <v>PUNE SEZ 2</v>
          </cell>
          <cell r="G68">
            <v>90000</v>
          </cell>
          <cell r="H68">
            <v>80278</v>
          </cell>
          <cell r="I68">
            <v>31</v>
          </cell>
          <cell r="J68">
            <v>27</v>
          </cell>
          <cell r="K68">
            <v>4</v>
          </cell>
          <cell r="L68">
            <v>28</v>
          </cell>
          <cell r="M68">
            <v>43505.49677419354</v>
          </cell>
          <cell r="N68">
            <v>17402.198709677417</v>
          </cell>
          <cell r="O68">
            <v>1881</v>
          </cell>
          <cell r="P68">
            <v>1881</v>
          </cell>
          <cell r="Q68">
            <v>7839.4658064516188</v>
          </cell>
          <cell r="R68">
            <v>72509.161290322576</v>
          </cell>
          <cell r="S68">
            <v>1950</v>
          </cell>
          <cell r="T68">
            <v>1441.6089999999999</v>
          </cell>
          <cell r="U68">
            <v>2092.6143948387089</v>
          </cell>
          <cell r="V68">
            <v>3625.4580645161282</v>
          </cell>
          <cell r="W68">
            <v>81618.842749677395</v>
          </cell>
          <cell r="Y68">
            <v>72509.161290322576</v>
          </cell>
          <cell r="AA68">
            <v>200</v>
          </cell>
          <cell r="AB68">
            <v>1800</v>
          </cell>
          <cell r="AC68">
            <v>254</v>
          </cell>
          <cell r="AE68">
            <v>2254</v>
          </cell>
          <cell r="AF68">
            <v>77414.681459354833</v>
          </cell>
        </row>
        <row r="69">
          <cell r="C69" t="str">
            <v>BITS-654</v>
          </cell>
          <cell r="E69" t="str">
            <v>Dinesh Kumar Maran</v>
          </cell>
          <cell r="F69" t="str">
            <v>Chennai STP</v>
          </cell>
          <cell r="G69">
            <v>50000</v>
          </cell>
          <cell r="H69">
            <v>43202</v>
          </cell>
          <cell r="I69">
            <v>31</v>
          </cell>
          <cell r="J69">
            <v>30</v>
          </cell>
          <cell r="K69">
            <v>1</v>
          </cell>
          <cell r="L69">
            <v>31</v>
          </cell>
          <cell r="M69">
            <v>25921.200000000001</v>
          </cell>
          <cell r="N69">
            <v>10368.480000000001</v>
          </cell>
          <cell r="O69">
            <v>2083</v>
          </cell>
          <cell r="P69">
            <v>2083</v>
          </cell>
          <cell r="Q69">
            <v>2746.3199999999997</v>
          </cell>
          <cell r="R69">
            <v>43202</v>
          </cell>
          <cell r="S69">
            <v>1950</v>
          </cell>
          <cell r="T69">
            <v>1441.6089999999999</v>
          </cell>
          <cell r="U69">
            <v>1246.80972</v>
          </cell>
          <cell r="V69">
            <v>2160.1</v>
          </cell>
          <cell r="W69">
            <v>50000.518719999993</v>
          </cell>
          <cell r="Y69">
            <v>43202</v>
          </cell>
          <cell r="AA69">
            <v>200</v>
          </cell>
          <cell r="AB69">
            <v>1800</v>
          </cell>
          <cell r="AC69">
            <v>254</v>
          </cell>
          <cell r="AE69">
            <v>2254</v>
          </cell>
          <cell r="AF69">
            <v>45796.518719999993</v>
          </cell>
        </row>
        <row r="70">
          <cell r="C70" t="str">
            <v>BITS-656</v>
          </cell>
          <cell r="E70" t="str">
            <v>Ranjith Kumar Karanam</v>
          </cell>
          <cell r="F70" t="str">
            <v>HYD STP</v>
          </cell>
          <cell r="G70">
            <v>120000</v>
          </cell>
          <cell r="H70">
            <v>108085</v>
          </cell>
          <cell r="I70">
            <v>31</v>
          </cell>
          <cell r="J70">
            <v>31</v>
          </cell>
          <cell r="L70">
            <v>31</v>
          </cell>
          <cell r="M70">
            <v>64851</v>
          </cell>
          <cell r="N70">
            <v>25940.400000000001</v>
          </cell>
          <cell r="O70">
            <v>2083</v>
          </cell>
          <cell r="P70">
            <v>2083</v>
          </cell>
          <cell r="Q70">
            <v>13127.600000000006</v>
          </cell>
          <cell r="R70">
            <v>108085</v>
          </cell>
          <cell r="S70">
            <v>1950</v>
          </cell>
          <cell r="T70">
            <v>1441.6089999999999</v>
          </cell>
          <cell r="U70">
            <v>3119.3330999999998</v>
          </cell>
          <cell r="V70">
            <v>5404.25</v>
          </cell>
          <cell r="W70">
            <v>120000.1921</v>
          </cell>
          <cell r="Y70">
            <v>108085</v>
          </cell>
          <cell r="AA70">
            <v>200</v>
          </cell>
          <cell r="AB70">
            <v>1800</v>
          </cell>
          <cell r="AC70">
            <v>254</v>
          </cell>
          <cell r="AE70">
            <v>2254</v>
          </cell>
          <cell r="AF70">
            <v>115796.1921</v>
          </cell>
        </row>
        <row r="71">
          <cell r="C71" t="str">
            <v>BITS-657</v>
          </cell>
          <cell r="E71" t="str">
            <v>Shashanki Mishra 15-3-2022</v>
          </cell>
          <cell r="F71" t="str">
            <v>PUNE ASC SEZ</v>
          </cell>
          <cell r="G71">
            <v>55000</v>
          </cell>
          <cell r="H71">
            <v>47836</v>
          </cell>
          <cell r="I71">
            <v>31</v>
          </cell>
          <cell r="J71">
            <v>15</v>
          </cell>
          <cell r="L71">
            <v>15</v>
          </cell>
          <cell r="M71">
            <v>13887.870967741937</v>
          </cell>
          <cell r="N71">
            <v>5555.148387096775</v>
          </cell>
          <cell r="O71">
            <v>1008</v>
          </cell>
          <cell r="P71">
            <v>1008</v>
          </cell>
          <cell r="Q71">
            <v>1687.4322580645166</v>
          </cell>
          <cell r="R71">
            <v>23146.451612903227</v>
          </cell>
          <cell r="S71">
            <v>1805.4232258064519</v>
          </cell>
          <cell r="T71">
            <v>1441.6089999999999</v>
          </cell>
          <cell r="U71">
            <v>668.00659354838717</v>
          </cell>
          <cell r="V71">
            <v>1157.3225806451615</v>
          </cell>
          <cell r="W71">
            <v>28218.813012903229</v>
          </cell>
          <cell r="Y71">
            <v>23146.451612903227</v>
          </cell>
          <cell r="AA71">
            <v>200</v>
          </cell>
          <cell r="AB71">
            <v>1667</v>
          </cell>
          <cell r="AC71">
            <v>254</v>
          </cell>
          <cell r="AE71">
            <v>2121</v>
          </cell>
          <cell r="AF71">
            <v>24291.93817419355</v>
          </cell>
        </row>
        <row r="72">
          <cell r="C72" t="str">
            <v>BITS-658</v>
          </cell>
          <cell r="E72" t="str">
            <v>Anjali Dubey</v>
          </cell>
          <cell r="F72" t="str">
            <v>PUNE ASC SEZ</v>
          </cell>
          <cell r="G72">
            <v>67000</v>
          </cell>
          <cell r="H72">
            <v>58959</v>
          </cell>
          <cell r="I72">
            <v>31</v>
          </cell>
          <cell r="J72">
            <v>30</v>
          </cell>
          <cell r="K72">
            <v>1</v>
          </cell>
          <cell r="L72">
            <v>31</v>
          </cell>
          <cell r="M72">
            <v>35375.4</v>
          </cell>
          <cell r="N72">
            <v>14150.160000000002</v>
          </cell>
          <cell r="O72">
            <v>2083</v>
          </cell>
          <cell r="P72">
            <v>2083</v>
          </cell>
          <cell r="Q72">
            <v>5267.4399999999951</v>
          </cell>
          <cell r="R72">
            <v>58959</v>
          </cell>
          <cell r="S72">
            <v>1950</v>
          </cell>
          <cell r="T72">
            <v>1441.6089999999999</v>
          </cell>
          <cell r="U72">
            <v>1701.55674</v>
          </cell>
          <cell r="V72">
            <v>2947.9500000000003</v>
          </cell>
          <cell r="W72">
            <v>67000.115739999994</v>
          </cell>
          <cell r="Y72">
            <v>58959</v>
          </cell>
          <cell r="AA72">
            <v>200</v>
          </cell>
          <cell r="AB72">
            <v>1800</v>
          </cell>
          <cell r="AC72">
            <v>254</v>
          </cell>
          <cell r="AE72">
            <v>2254</v>
          </cell>
          <cell r="AF72">
            <v>62796.115739999994</v>
          </cell>
        </row>
        <row r="73">
          <cell r="C73" t="str">
            <v>BITS-659</v>
          </cell>
          <cell r="E73" t="str">
            <v>Manzoor Ahamed</v>
          </cell>
          <cell r="F73" t="str">
            <v>BNG STP</v>
          </cell>
          <cell r="G73">
            <v>245000</v>
          </cell>
          <cell r="H73">
            <v>223948</v>
          </cell>
          <cell r="I73">
            <v>31</v>
          </cell>
          <cell r="J73">
            <v>31</v>
          </cell>
          <cell r="L73">
            <v>31</v>
          </cell>
          <cell r="M73">
            <v>134368.79999999999</v>
          </cell>
          <cell r="N73">
            <v>53747.519999999997</v>
          </cell>
          <cell r="O73">
            <v>2083</v>
          </cell>
          <cell r="P73">
            <v>2083</v>
          </cell>
          <cell r="Q73">
            <v>31665.680000000022</v>
          </cell>
          <cell r="R73">
            <v>223948</v>
          </cell>
          <cell r="S73">
            <v>1950</v>
          </cell>
          <cell r="T73">
            <v>1441.6089999999999</v>
          </cell>
          <cell r="U73">
            <v>6463.1392799999985</v>
          </cell>
          <cell r="V73">
            <v>11197.4</v>
          </cell>
          <cell r="W73">
            <v>245000.14827999999</v>
          </cell>
          <cell r="Y73">
            <v>223948</v>
          </cell>
          <cell r="Z73">
            <v>35917</v>
          </cell>
          <cell r="AA73">
            <v>200</v>
          </cell>
          <cell r="AB73">
            <v>1800</v>
          </cell>
          <cell r="AC73">
            <v>286</v>
          </cell>
          <cell r="AE73">
            <v>38203</v>
          </cell>
          <cell r="AF73">
            <v>204847.14827999999</v>
          </cell>
        </row>
        <row r="74">
          <cell r="C74" t="str">
            <v>BITS-660</v>
          </cell>
          <cell r="E74" t="str">
            <v>Moin Ahemad Jahur Ahemad Kumarkiri</v>
          </cell>
          <cell r="F74" t="str">
            <v>PUNE SEZ 2</v>
          </cell>
          <cell r="G74">
            <v>158000</v>
          </cell>
          <cell r="H74">
            <v>143307</v>
          </cell>
          <cell r="I74">
            <v>31</v>
          </cell>
          <cell r="J74">
            <v>31</v>
          </cell>
          <cell r="L74">
            <v>31</v>
          </cell>
          <cell r="M74">
            <v>85984.2</v>
          </cell>
          <cell r="N74">
            <v>34393.68</v>
          </cell>
          <cell r="O74">
            <v>2083</v>
          </cell>
          <cell r="P74">
            <v>2083</v>
          </cell>
          <cell r="Q74">
            <v>18763.119999999995</v>
          </cell>
          <cell r="R74">
            <v>143307</v>
          </cell>
          <cell r="S74">
            <v>1950</v>
          </cell>
          <cell r="T74">
            <v>1441.6089999999999</v>
          </cell>
          <cell r="U74">
            <v>4135.8400199999996</v>
          </cell>
          <cell r="V74">
            <v>7165.3499999999995</v>
          </cell>
          <cell r="W74">
            <v>157999.79902000001</v>
          </cell>
          <cell r="Y74">
            <v>143307</v>
          </cell>
          <cell r="Z74">
            <v>11561</v>
          </cell>
          <cell r="AA74">
            <v>200</v>
          </cell>
          <cell r="AB74">
            <v>1800</v>
          </cell>
          <cell r="AC74">
            <v>254</v>
          </cell>
          <cell r="AE74">
            <v>13815</v>
          </cell>
          <cell r="AF74">
            <v>142234.79902000001</v>
          </cell>
        </row>
        <row r="75">
          <cell r="C75" t="str">
            <v>BITS-661</v>
          </cell>
          <cell r="E75" t="str">
            <v>Hemanth Mishra</v>
          </cell>
          <cell r="F75" t="str">
            <v>PUNE SEZ 1</v>
          </cell>
          <cell r="G75">
            <v>110000</v>
          </cell>
          <cell r="H75">
            <v>98816</v>
          </cell>
          <cell r="I75">
            <v>31</v>
          </cell>
          <cell r="J75">
            <v>30</v>
          </cell>
          <cell r="K75">
            <v>1</v>
          </cell>
          <cell r="L75">
            <v>31</v>
          </cell>
          <cell r="M75">
            <v>59289.599999999999</v>
          </cell>
          <cell r="N75">
            <v>23715.84</v>
          </cell>
          <cell r="O75">
            <v>2083</v>
          </cell>
          <cell r="P75">
            <v>2083</v>
          </cell>
          <cell r="Q75">
            <v>11644.559999999998</v>
          </cell>
          <cell r="R75">
            <v>98816</v>
          </cell>
          <cell r="S75">
            <v>1950</v>
          </cell>
          <cell r="T75">
            <v>1441.6089999999999</v>
          </cell>
          <cell r="U75">
            <v>2851.8297599999996</v>
          </cell>
          <cell r="V75">
            <v>4940.8</v>
          </cell>
          <cell r="W75">
            <v>110000.23875999999</v>
          </cell>
          <cell r="Y75">
            <v>98816</v>
          </cell>
          <cell r="AA75">
            <v>200</v>
          </cell>
          <cell r="AB75">
            <v>1800</v>
          </cell>
          <cell r="AC75">
            <v>254</v>
          </cell>
          <cell r="AE75">
            <v>2254</v>
          </cell>
          <cell r="AF75">
            <v>105796.23875999999</v>
          </cell>
        </row>
        <row r="76">
          <cell r="C76" t="str">
            <v>BITS-662</v>
          </cell>
          <cell r="E76" t="str">
            <v>Sandeep Kumar Gupta</v>
          </cell>
          <cell r="F76" t="str">
            <v>HYD SEZ</v>
          </cell>
          <cell r="G76">
            <v>125000</v>
          </cell>
          <cell r="H76">
            <v>112719</v>
          </cell>
          <cell r="I76">
            <v>31</v>
          </cell>
          <cell r="J76">
            <v>29</v>
          </cell>
          <cell r="K76">
            <v>2</v>
          </cell>
          <cell r="L76">
            <v>30</v>
          </cell>
          <cell r="M76">
            <v>65449.741935483871</v>
          </cell>
          <cell r="N76">
            <v>26179.896774193548</v>
          </cell>
          <cell r="O76">
            <v>2016</v>
          </cell>
          <cell r="P76">
            <v>2016</v>
          </cell>
          <cell r="Q76">
            <v>13421.264516129042</v>
          </cell>
          <cell r="R76">
            <v>109082.90322580645</v>
          </cell>
          <cell r="S76">
            <v>1950</v>
          </cell>
          <cell r="T76">
            <v>1441.6089999999999</v>
          </cell>
          <cell r="U76">
            <v>3148.1325870967739</v>
          </cell>
          <cell r="V76">
            <v>5454.1451612903229</v>
          </cell>
          <cell r="W76">
            <v>121076.78997419354</v>
          </cell>
          <cell r="Y76">
            <v>109082.90322580645</v>
          </cell>
          <cell r="AA76">
            <v>200</v>
          </cell>
          <cell r="AB76">
            <v>1800</v>
          </cell>
          <cell r="AC76">
            <v>254</v>
          </cell>
          <cell r="AE76">
            <v>2254</v>
          </cell>
          <cell r="AF76">
            <v>116872.88674838709</v>
          </cell>
        </row>
        <row r="77">
          <cell r="C77" t="str">
            <v>BITS-663</v>
          </cell>
          <cell r="E77" t="str">
            <v>FAZALAHMED IRKAL</v>
          </cell>
          <cell r="F77" t="str">
            <v>PUNE SEZ 1</v>
          </cell>
          <cell r="G77">
            <v>68000</v>
          </cell>
          <cell r="H77">
            <v>59886</v>
          </cell>
          <cell r="I77">
            <v>31</v>
          </cell>
          <cell r="J77">
            <v>30</v>
          </cell>
          <cell r="K77">
            <v>1</v>
          </cell>
          <cell r="L77">
            <v>31</v>
          </cell>
          <cell r="M77">
            <v>35931.599999999999</v>
          </cell>
          <cell r="N77">
            <v>14372.64</v>
          </cell>
          <cell r="O77">
            <v>2083</v>
          </cell>
          <cell r="P77">
            <v>2083</v>
          </cell>
          <cell r="Q77">
            <v>5415.760000000002</v>
          </cell>
          <cell r="R77">
            <v>59886</v>
          </cell>
          <cell r="S77">
            <v>1950</v>
          </cell>
          <cell r="T77">
            <v>1441.6089999999999</v>
          </cell>
          <cell r="U77">
            <v>1728.3099599999998</v>
          </cell>
          <cell r="V77">
            <v>2994.2999999999997</v>
          </cell>
          <cell r="W77">
            <v>68000.218959999998</v>
          </cell>
          <cell r="Y77">
            <v>59886</v>
          </cell>
          <cell r="AA77">
            <v>200</v>
          </cell>
          <cell r="AB77">
            <v>1800</v>
          </cell>
          <cell r="AC77">
            <v>254</v>
          </cell>
          <cell r="AE77">
            <v>2254</v>
          </cell>
          <cell r="AF77">
            <v>63796.218959999998</v>
          </cell>
        </row>
        <row r="78">
          <cell r="C78" t="str">
            <v>BITS-664</v>
          </cell>
          <cell r="E78" t="str">
            <v>Savana Saritha Dora</v>
          </cell>
          <cell r="F78" t="str">
            <v>PUNE SEZ 2</v>
          </cell>
          <cell r="G78">
            <v>63000</v>
          </cell>
          <cell r="H78">
            <v>55251</v>
          </cell>
          <cell r="I78">
            <v>31</v>
          </cell>
          <cell r="J78">
            <v>30</v>
          </cell>
          <cell r="K78">
            <v>1</v>
          </cell>
          <cell r="L78">
            <v>31</v>
          </cell>
          <cell r="M78">
            <v>33150.6</v>
          </cell>
          <cell r="N78">
            <v>13260.24</v>
          </cell>
          <cell r="O78">
            <v>2083</v>
          </cell>
          <cell r="P78">
            <v>2083</v>
          </cell>
          <cell r="Q78">
            <v>4674.1600000000035</v>
          </cell>
          <cell r="R78">
            <v>55251</v>
          </cell>
          <cell r="S78">
            <v>1950</v>
          </cell>
          <cell r="T78">
            <v>1441.6089999999999</v>
          </cell>
          <cell r="U78">
            <v>1594.5438599999998</v>
          </cell>
          <cell r="V78">
            <v>2762.5499999999997</v>
          </cell>
          <cell r="W78">
            <v>62999.702859999998</v>
          </cell>
          <cell r="Y78">
            <v>55251</v>
          </cell>
          <cell r="AA78">
            <v>200</v>
          </cell>
          <cell r="AB78">
            <v>1800</v>
          </cell>
          <cell r="AC78">
            <v>286</v>
          </cell>
          <cell r="AE78">
            <v>2286</v>
          </cell>
          <cell r="AF78">
            <v>58763.702859999998</v>
          </cell>
        </row>
        <row r="79">
          <cell r="C79" t="str">
            <v>BITS-667</v>
          </cell>
          <cell r="E79" t="str">
            <v>SUKRUTH YELLAMBOTLA</v>
          </cell>
          <cell r="F79" t="str">
            <v>PUNE SEZ 1</v>
          </cell>
          <cell r="G79">
            <v>42000</v>
          </cell>
          <cell r="H79">
            <v>35786</v>
          </cell>
          <cell r="I79">
            <v>31</v>
          </cell>
          <cell r="J79">
            <v>28</v>
          </cell>
          <cell r="K79">
            <v>3</v>
          </cell>
          <cell r="L79">
            <v>29</v>
          </cell>
          <cell r="M79">
            <v>20086.335483870967</v>
          </cell>
          <cell r="N79">
            <v>8034.5341935483875</v>
          </cell>
          <cell r="O79">
            <v>1949</v>
          </cell>
          <cell r="P79">
            <v>1949</v>
          </cell>
          <cell r="Q79">
            <v>1458.3561290322577</v>
          </cell>
          <cell r="R79">
            <v>33477.225806451614</v>
          </cell>
          <cell r="S79">
            <v>1950</v>
          </cell>
          <cell r="T79">
            <v>1441.6089999999999</v>
          </cell>
          <cell r="U79">
            <v>966.1527367741935</v>
          </cell>
          <cell r="V79">
            <v>1673.8612903225805</v>
          </cell>
          <cell r="W79">
            <v>39508.848833548385</v>
          </cell>
          <cell r="Y79">
            <v>33477.225806451614</v>
          </cell>
          <cell r="AA79">
            <v>200</v>
          </cell>
          <cell r="AB79">
            <v>1800</v>
          </cell>
          <cell r="AC79">
            <v>252</v>
          </cell>
          <cell r="AE79">
            <v>2252</v>
          </cell>
          <cell r="AF79">
            <v>35306.623027096772</v>
          </cell>
        </row>
        <row r="80">
          <cell r="C80" t="str">
            <v>BITS-668</v>
          </cell>
          <cell r="E80" t="str">
            <v xml:space="preserve">Mandar Shetty </v>
          </cell>
          <cell r="F80" t="str">
            <v>PUNE SEZ 2</v>
          </cell>
          <cell r="G80">
            <v>116000</v>
          </cell>
          <cell r="H80">
            <v>104377</v>
          </cell>
          <cell r="I80">
            <v>31</v>
          </cell>
          <cell r="J80">
            <v>31</v>
          </cell>
          <cell r="L80">
            <v>31</v>
          </cell>
          <cell r="M80">
            <v>62626.2</v>
          </cell>
          <cell r="N80">
            <v>25050.48</v>
          </cell>
          <cell r="O80">
            <v>2083</v>
          </cell>
          <cell r="P80">
            <v>2083</v>
          </cell>
          <cell r="Q80">
            <v>12534.320000000007</v>
          </cell>
          <cell r="R80">
            <v>104377</v>
          </cell>
          <cell r="S80">
            <v>1950</v>
          </cell>
          <cell r="T80">
            <v>1441.6089999999999</v>
          </cell>
          <cell r="U80">
            <v>3012.3202199999996</v>
          </cell>
          <cell r="V80">
            <v>5218.8499999999995</v>
          </cell>
          <cell r="W80">
            <v>115999.77922</v>
          </cell>
          <cell r="Y80">
            <v>104377</v>
          </cell>
          <cell r="AA80">
            <v>200</v>
          </cell>
          <cell r="AB80">
            <v>1800</v>
          </cell>
          <cell r="AC80">
            <v>283</v>
          </cell>
          <cell r="AE80">
            <v>2283</v>
          </cell>
          <cell r="AF80">
            <v>111766.77922</v>
          </cell>
        </row>
        <row r="81">
          <cell r="C81" t="str">
            <v>BITS-671</v>
          </cell>
          <cell r="E81" t="str">
            <v>Ramakrishna J Reddy</v>
          </cell>
          <cell r="F81" t="str">
            <v>BNG STP</v>
          </cell>
          <cell r="G81">
            <v>210000</v>
          </cell>
          <cell r="H81">
            <v>191506</v>
          </cell>
          <cell r="I81">
            <v>31</v>
          </cell>
          <cell r="J81">
            <v>31</v>
          </cell>
          <cell r="L81">
            <v>31</v>
          </cell>
          <cell r="M81">
            <v>114903.6</v>
          </cell>
          <cell r="N81">
            <v>45961.440000000002</v>
          </cell>
          <cell r="O81">
            <v>2083</v>
          </cell>
          <cell r="P81">
            <v>2083</v>
          </cell>
          <cell r="Q81">
            <v>26474.959999999992</v>
          </cell>
          <cell r="R81">
            <v>191506</v>
          </cell>
          <cell r="S81">
            <v>1950</v>
          </cell>
          <cell r="T81">
            <v>1441.6089999999999</v>
          </cell>
          <cell r="U81">
            <v>5526.8631599999999</v>
          </cell>
          <cell r="V81">
            <v>9575.3000000000011</v>
          </cell>
          <cell r="W81">
            <v>209999.77215999999</v>
          </cell>
          <cell r="Y81">
            <v>191506</v>
          </cell>
          <cell r="AA81">
            <v>200</v>
          </cell>
          <cell r="AB81">
            <v>1800</v>
          </cell>
          <cell r="AC81">
            <v>252</v>
          </cell>
          <cell r="AE81">
            <v>2252</v>
          </cell>
          <cell r="AF81">
            <v>205797.77215999999</v>
          </cell>
        </row>
        <row r="82">
          <cell r="C82" t="str">
            <v>BITS-672</v>
          </cell>
          <cell r="E82" t="str">
            <v xml:space="preserve">Vivek Dongre </v>
          </cell>
          <cell r="F82" t="str">
            <v>PUNE SEZ 2</v>
          </cell>
          <cell r="G82">
            <v>75000</v>
          </cell>
          <cell r="H82">
            <v>66374</v>
          </cell>
          <cell r="I82">
            <v>31</v>
          </cell>
          <cell r="J82">
            <v>29</v>
          </cell>
          <cell r="K82">
            <v>2</v>
          </cell>
          <cell r="L82">
            <v>30</v>
          </cell>
          <cell r="M82">
            <v>38539.741935483871</v>
          </cell>
          <cell r="N82">
            <v>15415.896774193548</v>
          </cell>
          <cell r="O82">
            <v>2016</v>
          </cell>
          <cell r="P82">
            <v>2016</v>
          </cell>
          <cell r="Q82">
            <v>6245.2645161290347</v>
          </cell>
          <cell r="R82">
            <v>64232.903225806454</v>
          </cell>
          <cell r="S82">
            <v>1950</v>
          </cell>
          <cell r="T82">
            <v>1441.6089999999999</v>
          </cell>
          <cell r="U82">
            <v>1853.7615870967741</v>
          </cell>
          <cell r="V82">
            <v>3211.6451612903224</v>
          </cell>
          <cell r="W82">
            <v>72689.918974193541</v>
          </cell>
          <cell r="Y82">
            <v>64232.903225806454</v>
          </cell>
          <cell r="AA82">
            <v>200</v>
          </cell>
          <cell r="AB82">
            <v>1800</v>
          </cell>
          <cell r="AC82">
            <v>252</v>
          </cell>
          <cell r="AE82">
            <v>2252</v>
          </cell>
          <cell r="AF82">
            <v>68488.015748387086</v>
          </cell>
        </row>
        <row r="83">
          <cell r="C83" t="str">
            <v>BITS-673</v>
          </cell>
          <cell r="E83" t="str">
            <v>Praveen Kumar Beesabat 9-3-2022</v>
          </cell>
          <cell r="F83" t="str">
            <v>HYD SEZ</v>
          </cell>
          <cell r="G83">
            <v>90000</v>
          </cell>
          <cell r="H83">
            <v>80278</v>
          </cell>
          <cell r="I83">
            <v>31</v>
          </cell>
          <cell r="J83">
            <v>31</v>
          </cell>
          <cell r="L83">
            <v>31</v>
          </cell>
          <cell r="M83">
            <v>48166.8</v>
          </cell>
          <cell r="N83">
            <v>19266.72</v>
          </cell>
          <cell r="O83">
            <v>2083</v>
          </cell>
          <cell r="P83">
            <v>2083</v>
          </cell>
          <cell r="Q83">
            <v>8678.4799999999959</v>
          </cell>
          <cell r="R83">
            <v>80278</v>
          </cell>
          <cell r="S83">
            <v>1950</v>
          </cell>
          <cell r="T83">
            <v>1441.6089999999999</v>
          </cell>
          <cell r="U83">
            <v>2316.8230800000001</v>
          </cell>
          <cell r="V83">
            <v>4013.9</v>
          </cell>
          <cell r="W83">
            <v>90000.332079999993</v>
          </cell>
          <cell r="Y83">
            <v>80278</v>
          </cell>
          <cell r="AA83">
            <v>200</v>
          </cell>
          <cell r="AB83">
            <v>1800</v>
          </cell>
          <cell r="AC83">
            <v>252</v>
          </cell>
          <cell r="AE83">
            <v>2252</v>
          </cell>
          <cell r="AF83">
            <v>85798.332079999993</v>
          </cell>
        </row>
        <row r="84">
          <cell r="C84" t="str">
            <v>BITS-674</v>
          </cell>
          <cell r="E84" t="str">
            <v>Amit Chalwadi</v>
          </cell>
          <cell r="F84" t="str">
            <v>PUNE SEZ 2</v>
          </cell>
          <cell r="G84">
            <v>90000</v>
          </cell>
          <cell r="H84">
            <v>80278</v>
          </cell>
          <cell r="I84">
            <v>31</v>
          </cell>
          <cell r="J84">
            <v>31</v>
          </cell>
          <cell r="L84">
            <v>31</v>
          </cell>
          <cell r="M84">
            <v>48166.8</v>
          </cell>
          <cell r="N84">
            <v>19266.72</v>
          </cell>
          <cell r="O84">
            <v>2083</v>
          </cell>
          <cell r="P84">
            <v>2083</v>
          </cell>
          <cell r="Q84">
            <v>8678.4799999999959</v>
          </cell>
          <cell r="R84">
            <v>80278</v>
          </cell>
          <cell r="S84">
            <v>1950</v>
          </cell>
          <cell r="T84">
            <v>1441.6089999999999</v>
          </cell>
          <cell r="U84">
            <v>2316.8230800000001</v>
          </cell>
          <cell r="V84">
            <v>4013.9</v>
          </cell>
          <cell r="W84">
            <v>90000.332079999993</v>
          </cell>
          <cell r="Y84">
            <v>80278</v>
          </cell>
          <cell r="AA84">
            <v>200</v>
          </cell>
          <cell r="AB84">
            <v>1800</v>
          </cell>
          <cell r="AC84">
            <v>283</v>
          </cell>
          <cell r="AE84">
            <v>2283</v>
          </cell>
          <cell r="AF84">
            <v>85767.332079999993</v>
          </cell>
        </row>
        <row r="85">
          <cell r="C85" t="str">
            <v>BITS-675</v>
          </cell>
          <cell r="E85" t="str">
            <v xml:space="preserve">Nikhila Kaveri </v>
          </cell>
          <cell r="F85" t="str">
            <v>HYD SEZ</v>
          </cell>
          <cell r="G85">
            <v>120000</v>
          </cell>
          <cell r="H85">
            <v>108085</v>
          </cell>
          <cell r="I85">
            <v>31</v>
          </cell>
          <cell r="J85">
            <v>29</v>
          </cell>
          <cell r="K85">
            <v>2</v>
          </cell>
          <cell r="L85">
            <v>30</v>
          </cell>
          <cell r="M85">
            <v>62759.032258064515</v>
          </cell>
          <cell r="N85">
            <v>25103.612903225807</v>
          </cell>
          <cell r="O85">
            <v>2016</v>
          </cell>
          <cell r="P85">
            <v>2016</v>
          </cell>
          <cell r="Q85">
            <v>12703.741935483878</v>
          </cell>
          <cell r="R85">
            <v>104598.3870967742</v>
          </cell>
          <cell r="S85">
            <v>1950</v>
          </cell>
          <cell r="T85">
            <v>1441.6089999999999</v>
          </cell>
          <cell r="U85">
            <v>3018.7094516129027</v>
          </cell>
          <cell r="V85">
            <v>5229.9193548387093</v>
          </cell>
          <cell r="W85">
            <v>116238.62490322581</v>
          </cell>
          <cell r="Y85">
            <v>104598.3870967742</v>
          </cell>
          <cell r="AA85">
            <v>200</v>
          </cell>
          <cell r="AB85">
            <v>1800</v>
          </cell>
          <cell r="AC85">
            <v>252</v>
          </cell>
          <cell r="AE85">
            <v>2252</v>
          </cell>
          <cell r="AF85">
            <v>112036.23780645161</v>
          </cell>
        </row>
        <row r="86">
          <cell r="C86" t="str">
            <v>BITS-677</v>
          </cell>
          <cell r="E86" t="str">
            <v>Ashwini Nanaware</v>
          </cell>
          <cell r="F86" t="str">
            <v>PUNE SEZ 2</v>
          </cell>
          <cell r="G86">
            <v>62000</v>
          </cell>
          <cell r="H86">
            <v>54324</v>
          </cell>
          <cell r="I86">
            <v>31</v>
          </cell>
          <cell r="J86">
            <v>31</v>
          </cell>
          <cell r="L86">
            <v>31</v>
          </cell>
          <cell r="M86">
            <v>32594.400000000001</v>
          </cell>
          <cell r="N86">
            <v>13037.760000000002</v>
          </cell>
          <cell r="O86">
            <v>2083</v>
          </cell>
          <cell r="P86">
            <v>2083</v>
          </cell>
          <cell r="Q86">
            <v>4525.8399999999965</v>
          </cell>
          <cell r="R86">
            <v>54324</v>
          </cell>
          <cell r="S86">
            <v>1950</v>
          </cell>
          <cell r="T86">
            <v>1441.6089999999999</v>
          </cell>
          <cell r="U86">
            <v>1567.7906399999999</v>
          </cell>
          <cell r="V86">
            <v>2716.2000000000003</v>
          </cell>
          <cell r="W86">
            <v>61999.599639999993</v>
          </cell>
          <cell r="Y86">
            <v>54324</v>
          </cell>
          <cell r="AA86">
            <v>200</v>
          </cell>
          <cell r="AB86">
            <v>1800</v>
          </cell>
          <cell r="AC86">
            <v>283</v>
          </cell>
          <cell r="AE86">
            <v>2283</v>
          </cell>
          <cell r="AF86">
            <v>57766.599639999993</v>
          </cell>
        </row>
        <row r="87">
          <cell r="C87" t="str">
            <v>BITS-678</v>
          </cell>
          <cell r="E87" t="str">
            <v>Kaushal Sushil Sharma</v>
          </cell>
          <cell r="F87" t="str">
            <v>PUNE SEZ 2</v>
          </cell>
          <cell r="G87">
            <v>70000</v>
          </cell>
          <cell r="H87">
            <v>61740</v>
          </cell>
          <cell r="I87">
            <v>31</v>
          </cell>
          <cell r="J87">
            <v>30</v>
          </cell>
          <cell r="K87">
            <v>1</v>
          </cell>
          <cell r="L87">
            <v>31</v>
          </cell>
          <cell r="M87">
            <v>37044</v>
          </cell>
          <cell r="N87">
            <v>14817.6</v>
          </cell>
          <cell r="O87">
            <v>2083</v>
          </cell>
          <cell r="P87">
            <v>2083</v>
          </cell>
          <cell r="Q87">
            <v>5712.4000000000015</v>
          </cell>
          <cell r="R87">
            <v>61740</v>
          </cell>
          <cell r="S87">
            <v>1950</v>
          </cell>
          <cell r="T87">
            <v>1441.6089999999999</v>
          </cell>
          <cell r="U87">
            <v>1781.8163999999999</v>
          </cell>
          <cell r="V87">
            <v>3087</v>
          </cell>
          <cell r="W87">
            <v>70000.425400000007</v>
          </cell>
          <cell r="Y87">
            <v>61740</v>
          </cell>
          <cell r="AA87">
            <v>200</v>
          </cell>
          <cell r="AB87">
            <v>1800</v>
          </cell>
          <cell r="AC87">
            <v>283</v>
          </cell>
          <cell r="AE87">
            <v>2283</v>
          </cell>
          <cell r="AF87">
            <v>65767.425400000007</v>
          </cell>
        </row>
        <row r="88">
          <cell r="C88" t="str">
            <v>BITS-679</v>
          </cell>
          <cell r="E88" t="str">
            <v>Praveen Kumar Tandra</v>
          </cell>
          <cell r="F88" t="str">
            <v>BNG STP</v>
          </cell>
          <cell r="G88">
            <v>110000</v>
          </cell>
          <cell r="H88">
            <v>98816</v>
          </cell>
          <cell r="I88">
            <v>31</v>
          </cell>
          <cell r="J88">
            <v>31</v>
          </cell>
          <cell r="L88">
            <v>31</v>
          </cell>
          <cell r="M88">
            <v>59289.599999999999</v>
          </cell>
          <cell r="N88">
            <v>23715.84</v>
          </cell>
          <cell r="O88">
            <v>2083</v>
          </cell>
          <cell r="P88">
            <v>2083</v>
          </cell>
          <cell r="Q88">
            <v>11644.559999999998</v>
          </cell>
          <cell r="R88">
            <v>98816</v>
          </cell>
          <cell r="S88">
            <v>1950</v>
          </cell>
          <cell r="T88">
            <v>1441.6089999999999</v>
          </cell>
          <cell r="U88">
            <v>2851.8297599999996</v>
          </cell>
          <cell r="V88">
            <v>4940.8</v>
          </cell>
          <cell r="W88">
            <v>110000.23875999999</v>
          </cell>
          <cell r="Y88">
            <v>98816</v>
          </cell>
          <cell r="AA88">
            <v>200</v>
          </cell>
          <cell r="AB88">
            <v>1800</v>
          </cell>
          <cell r="AC88">
            <v>283</v>
          </cell>
          <cell r="AE88">
            <v>2283</v>
          </cell>
          <cell r="AF88">
            <v>105767.23875999999</v>
          </cell>
        </row>
        <row r="89">
          <cell r="C89" t="str">
            <v>BITS-680</v>
          </cell>
          <cell r="E89" t="str">
            <v>Arvind Akhare</v>
          </cell>
          <cell r="F89" t="str">
            <v>PUNE SEZ 2</v>
          </cell>
          <cell r="G89">
            <v>95000</v>
          </cell>
          <cell r="H89">
            <v>84912</v>
          </cell>
          <cell r="I89">
            <v>31</v>
          </cell>
          <cell r="J89">
            <v>31</v>
          </cell>
          <cell r="L89">
            <v>31</v>
          </cell>
          <cell r="M89">
            <v>50947.199999999997</v>
          </cell>
          <cell r="N89">
            <v>20378.88</v>
          </cell>
          <cell r="O89">
            <v>2083</v>
          </cell>
          <cell r="P89">
            <v>2083</v>
          </cell>
          <cell r="Q89">
            <v>9419.9199999999983</v>
          </cell>
          <cell r="R89">
            <v>84912</v>
          </cell>
          <cell r="S89">
            <v>1950</v>
          </cell>
          <cell r="T89">
            <v>1441.6089999999999</v>
          </cell>
          <cell r="U89">
            <v>2450.5603199999996</v>
          </cell>
          <cell r="V89">
            <v>4245.5999999999995</v>
          </cell>
          <cell r="W89">
            <v>94999.769320000007</v>
          </cell>
          <cell r="Y89">
            <v>84912</v>
          </cell>
          <cell r="AA89">
            <v>200</v>
          </cell>
          <cell r="AB89">
            <v>1800</v>
          </cell>
          <cell r="AC89">
            <v>283</v>
          </cell>
          <cell r="AE89">
            <v>2283</v>
          </cell>
          <cell r="AF89">
            <v>90766.769320000007</v>
          </cell>
        </row>
        <row r="90">
          <cell r="C90" t="str">
            <v>BITS-681</v>
          </cell>
          <cell r="E90" t="str">
            <v>Pallavi Rishikesh Naik</v>
          </cell>
          <cell r="F90" t="str">
            <v>PUNE SEZ 2</v>
          </cell>
          <cell r="G90">
            <v>80000</v>
          </cell>
          <cell r="H90">
            <v>71009</v>
          </cell>
          <cell r="I90">
            <v>31</v>
          </cell>
          <cell r="J90">
            <v>30</v>
          </cell>
          <cell r="K90">
            <v>1</v>
          </cell>
          <cell r="L90">
            <v>31</v>
          </cell>
          <cell r="M90">
            <v>42605.4</v>
          </cell>
          <cell r="N90">
            <v>17042.16</v>
          </cell>
          <cell r="O90">
            <v>2083</v>
          </cell>
          <cell r="P90">
            <v>2083</v>
          </cell>
          <cell r="Q90">
            <v>7195.4400000000023</v>
          </cell>
          <cell r="R90">
            <v>71009</v>
          </cell>
          <cell r="S90">
            <v>1950</v>
          </cell>
          <cell r="T90">
            <v>1441.6089999999999</v>
          </cell>
          <cell r="U90">
            <v>2049.3197399999999</v>
          </cell>
          <cell r="V90">
            <v>3550.4500000000003</v>
          </cell>
          <cell r="W90">
            <v>80000.37874</v>
          </cell>
          <cell r="Y90">
            <v>71009</v>
          </cell>
          <cell r="AA90">
            <v>200</v>
          </cell>
          <cell r="AB90">
            <v>1800</v>
          </cell>
          <cell r="AC90">
            <v>283</v>
          </cell>
          <cell r="AE90">
            <v>2283</v>
          </cell>
          <cell r="AF90">
            <v>75767.37874</v>
          </cell>
        </row>
        <row r="91">
          <cell r="C91" t="str">
            <v>BITS-682</v>
          </cell>
          <cell r="E91" t="str">
            <v>Ajay Singh</v>
          </cell>
          <cell r="F91" t="str">
            <v>PUNE SEZ 1</v>
          </cell>
          <cell r="G91">
            <v>142000</v>
          </cell>
          <cell r="H91">
            <v>128477</v>
          </cell>
          <cell r="I91">
            <v>31</v>
          </cell>
          <cell r="J91">
            <v>30</v>
          </cell>
          <cell r="K91">
            <v>1</v>
          </cell>
          <cell r="L91">
            <v>31</v>
          </cell>
          <cell r="M91">
            <v>77086.2</v>
          </cell>
          <cell r="N91">
            <v>30834.48</v>
          </cell>
          <cell r="O91">
            <v>2083</v>
          </cell>
          <cell r="P91">
            <v>2083</v>
          </cell>
          <cell r="Q91">
            <v>16390.320000000007</v>
          </cell>
          <cell r="R91">
            <v>128477</v>
          </cell>
          <cell r="S91">
            <v>1950</v>
          </cell>
          <cell r="T91">
            <v>1441.6089999999999</v>
          </cell>
          <cell r="U91">
            <v>3707.8462199999999</v>
          </cell>
          <cell r="V91">
            <v>6423.8499999999995</v>
          </cell>
          <cell r="W91">
            <v>142000.30522000001</v>
          </cell>
          <cell r="Y91">
            <v>128477</v>
          </cell>
          <cell r="AA91">
            <v>200</v>
          </cell>
          <cell r="AB91">
            <v>1800</v>
          </cell>
          <cell r="AC91">
            <v>283</v>
          </cell>
          <cell r="AE91">
            <v>2283</v>
          </cell>
          <cell r="AF91">
            <v>137767.30522000001</v>
          </cell>
        </row>
        <row r="92">
          <cell r="C92" t="str">
            <v>BITS-683</v>
          </cell>
          <cell r="E92" t="str">
            <v>TUSHAR UCHAGAONKAR</v>
          </cell>
          <cell r="F92" t="str">
            <v>PUNE ASC SEZ</v>
          </cell>
          <cell r="G92">
            <v>87000</v>
          </cell>
          <cell r="H92">
            <v>77497</v>
          </cell>
          <cell r="I92">
            <v>31</v>
          </cell>
          <cell r="J92">
            <v>30</v>
          </cell>
          <cell r="K92">
            <v>1</v>
          </cell>
          <cell r="L92">
            <v>31</v>
          </cell>
          <cell r="M92">
            <v>46498.2</v>
          </cell>
          <cell r="N92">
            <v>18599.28</v>
          </cell>
          <cell r="O92">
            <v>2083</v>
          </cell>
          <cell r="P92">
            <v>2083</v>
          </cell>
          <cell r="Q92">
            <v>8233.5200000000041</v>
          </cell>
          <cell r="R92">
            <v>77497</v>
          </cell>
          <cell r="S92">
            <v>1950</v>
          </cell>
          <cell r="T92">
            <v>1441.6089999999999</v>
          </cell>
          <cell r="U92">
            <v>2236.56342</v>
          </cell>
          <cell r="V92">
            <v>3874.85</v>
          </cell>
          <cell r="W92">
            <v>87000.022420000008</v>
          </cell>
          <cell r="Y92">
            <v>77497</v>
          </cell>
          <cell r="AA92">
            <v>200</v>
          </cell>
          <cell r="AB92">
            <v>1800</v>
          </cell>
          <cell r="AC92">
            <v>283</v>
          </cell>
          <cell r="AE92">
            <v>2283</v>
          </cell>
          <cell r="AF92">
            <v>82767.022420000008</v>
          </cell>
        </row>
        <row r="93">
          <cell r="C93" t="str">
            <v>BITS-684</v>
          </cell>
          <cell r="E93" t="str">
            <v>PRAVEEN M</v>
          </cell>
          <cell r="F93" t="str">
            <v>HYD STP</v>
          </cell>
          <cell r="G93">
            <v>155000</v>
          </cell>
          <cell r="H93">
            <v>140526</v>
          </cell>
          <cell r="I93">
            <v>31</v>
          </cell>
          <cell r="J93">
            <v>31</v>
          </cell>
          <cell r="L93">
            <v>31</v>
          </cell>
          <cell r="M93">
            <v>84315.6</v>
          </cell>
          <cell r="N93">
            <v>33726.240000000005</v>
          </cell>
          <cell r="O93">
            <v>2083</v>
          </cell>
          <cell r="P93">
            <v>2083</v>
          </cell>
          <cell r="Q93">
            <v>18318.159999999989</v>
          </cell>
          <cell r="R93">
            <v>140526</v>
          </cell>
          <cell r="S93">
            <v>1950</v>
          </cell>
          <cell r="T93">
            <v>1441.6089999999999</v>
          </cell>
          <cell r="U93">
            <v>4055.5803600000004</v>
          </cell>
          <cell r="V93">
            <v>7026.3</v>
          </cell>
          <cell r="W93">
            <v>154999.48936000001</v>
          </cell>
          <cell r="Y93">
            <v>140526</v>
          </cell>
          <cell r="AA93">
            <v>200</v>
          </cell>
          <cell r="AB93">
            <v>1800</v>
          </cell>
          <cell r="AC93">
            <v>283</v>
          </cell>
          <cell r="AE93">
            <v>2283</v>
          </cell>
          <cell r="AF93">
            <v>150766.48935999998</v>
          </cell>
        </row>
        <row r="94">
          <cell r="C94" t="str">
            <v>BITS-686</v>
          </cell>
          <cell r="E94" t="str">
            <v>Amit Kumar</v>
          </cell>
          <cell r="F94" t="str">
            <v>PUNE SEZ 2</v>
          </cell>
          <cell r="G94">
            <v>105000</v>
          </cell>
          <cell r="H94">
            <v>94181</v>
          </cell>
          <cell r="I94">
            <v>31</v>
          </cell>
          <cell r="J94">
            <v>31</v>
          </cell>
          <cell r="L94">
            <v>31</v>
          </cell>
          <cell r="M94">
            <v>56508.6</v>
          </cell>
          <cell r="N94">
            <v>22603.440000000002</v>
          </cell>
          <cell r="O94">
            <v>2083</v>
          </cell>
          <cell r="P94">
            <v>2083</v>
          </cell>
          <cell r="Q94">
            <v>10902.959999999992</v>
          </cell>
          <cell r="R94">
            <v>94181</v>
          </cell>
          <cell r="S94">
            <v>1950</v>
          </cell>
          <cell r="T94">
            <v>1441.6089999999999</v>
          </cell>
          <cell r="U94">
            <v>2718.0636599999998</v>
          </cell>
          <cell r="V94">
            <v>4709.05</v>
          </cell>
          <cell r="W94">
            <v>104999.72266</v>
          </cell>
          <cell r="Y94">
            <v>94181</v>
          </cell>
          <cell r="AA94">
            <v>200</v>
          </cell>
          <cell r="AB94">
            <v>1800</v>
          </cell>
          <cell r="AC94">
            <v>283</v>
          </cell>
          <cell r="AE94">
            <v>2283</v>
          </cell>
          <cell r="AF94">
            <v>100766.72266</v>
          </cell>
        </row>
        <row r="95">
          <cell r="C95" t="str">
            <v>BITS-688</v>
          </cell>
          <cell r="E95" t="str">
            <v>Pranav Thakare</v>
          </cell>
          <cell r="F95" t="str">
            <v>PUNE SEZ 2</v>
          </cell>
          <cell r="G95">
            <v>85000</v>
          </cell>
          <cell r="H95">
            <v>75643</v>
          </cell>
          <cell r="I95">
            <v>31</v>
          </cell>
          <cell r="J95">
            <v>30</v>
          </cell>
          <cell r="K95">
            <v>1</v>
          </cell>
          <cell r="L95">
            <v>31</v>
          </cell>
          <cell r="M95">
            <v>45385.8</v>
          </cell>
          <cell r="N95">
            <v>18154.320000000003</v>
          </cell>
          <cell r="O95">
            <v>2083</v>
          </cell>
          <cell r="P95">
            <v>2083</v>
          </cell>
          <cell r="Q95">
            <v>7936.8799999999901</v>
          </cell>
          <cell r="R95">
            <v>75643</v>
          </cell>
          <cell r="S95">
            <v>1950</v>
          </cell>
          <cell r="T95">
            <v>1441.6089999999999</v>
          </cell>
          <cell r="U95">
            <v>2183.0569799999998</v>
          </cell>
          <cell r="V95">
            <v>3782.15</v>
          </cell>
          <cell r="W95">
            <v>84999.815979999985</v>
          </cell>
          <cell r="Y95">
            <v>75643</v>
          </cell>
          <cell r="AA95">
            <v>200</v>
          </cell>
          <cell r="AB95">
            <v>1800</v>
          </cell>
          <cell r="AC95">
            <v>283</v>
          </cell>
          <cell r="AE95">
            <v>2283</v>
          </cell>
          <cell r="AF95">
            <v>80766.815979999985</v>
          </cell>
        </row>
        <row r="96">
          <cell r="C96" t="str">
            <v>BITS-689</v>
          </cell>
          <cell r="E96" t="str">
            <v>Nagarjun KV</v>
          </cell>
          <cell r="F96" t="str">
            <v>BNG STP</v>
          </cell>
          <cell r="G96">
            <v>85000</v>
          </cell>
          <cell r="H96">
            <v>75643</v>
          </cell>
          <cell r="I96">
            <v>31</v>
          </cell>
          <cell r="J96">
            <v>31</v>
          </cell>
          <cell r="L96">
            <v>31</v>
          </cell>
          <cell r="M96">
            <v>45385.8</v>
          </cell>
          <cell r="N96">
            <v>18154.320000000003</v>
          </cell>
          <cell r="O96">
            <v>2083</v>
          </cell>
          <cell r="P96">
            <v>2083</v>
          </cell>
          <cell r="Q96">
            <v>7936.8799999999901</v>
          </cell>
          <cell r="R96">
            <v>75643</v>
          </cell>
          <cell r="S96">
            <v>1950</v>
          </cell>
          <cell r="T96">
            <v>1441.6089999999999</v>
          </cell>
          <cell r="U96">
            <v>2183.0569799999998</v>
          </cell>
          <cell r="V96">
            <v>3782.15</v>
          </cell>
          <cell r="W96">
            <v>84999.815979999985</v>
          </cell>
          <cell r="Y96">
            <v>75643</v>
          </cell>
          <cell r="AA96">
            <v>200</v>
          </cell>
          <cell r="AB96">
            <v>1800</v>
          </cell>
          <cell r="AC96">
            <v>283</v>
          </cell>
          <cell r="AE96">
            <v>2283</v>
          </cell>
          <cell r="AF96">
            <v>80766.815979999985</v>
          </cell>
        </row>
        <row r="97">
          <cell r="C97" t="str">
            <v>BITS-690</v>
          </cell>
          <cell r="E97" t="str">
            <v>Thaposh Ghosh</v>
          </cell>
          <cell r="F97" t="str">
            <v>HYD SEZ</v>
          </cell>
          <cell r="G97">
            <v>155000</v>
          </cell>
          <cell r="H97">
            <v>140526</v>
          </cell>
          <cell r="I97">
            <v>31</v>
          </cell>
          <cell r="J97">
            <v>30</v>
          </cell>
          <cell r="K97">
            <v>1</v>
          </cell>
          <cell r="L97">
            <v>31</v>
          </cell>
          <cell r="M97">
            <v>84315.6</v>
          </cell>
          <cell r="N97">
            <v>33726.240000000005</v>
          </cell>
          <cell r="O97">
            <v>2083</v>
          </cell>
          <cell r="P97">
            <v>2083</v>
          </cell>
          <cell r="Q97">
            <v>18318.159999999989</v>
          </cell>
          <cell r="R97">
            <v>140526</v>
          </cell>
          <cell r="S97">
            <v>1950</v>
          </cell>
          <cell r="T97">
            <v>1441.6089999999999</v>
          </cell>
          <cell r="U97">
            <v>4055.5803600000004</v>
          </cell>
          <cell r="V97">
            <v>7026.3</v>
          </cell>
          <cell r="W97">
            <v>154999.48936000001</v>
          </cell>
          <cell r="Y97">
            <v>140526</v>
          </cell>
          <cell r="AA97">
            <v>200</v>
          </cell>
          <cell r="AB97">
            <v>1800</v>
          </cell>
          <cell r="AC97">
            <v>283</v>
          </cell>
          <cell r="AE97">
            <v>2283</v>
          </cell>
          <cell r="AF97">
            <v>150766.48935999998</v>
          </cell>
        </row>
        <row r="98">
          <cell r="C98" t="str">
            <v>BITS-691</v>
          </cell>
          <cell r="E98" t="str">
            <v xml:space="preserve">Boopathi Palani </v>
          </cell>
          <cell r="F98" t="str">
            <v>BNG STP</v>
          </cell>
          <cell r="G98">
            <v>85000</v>
          </cell>
          <cell r="H98">
            <v>75643</v>
          </cell>
          <cell r="I98">
            <v>31</v>
          </cell>
          <cell r="J98">
            <v>30</v>
          </cell>
          <cell r="K98">
            <v>1</v>
          </cell>
          <cell r="L98">
            <v>31</v>
          </cell>
          <cell r="M98">
            <v>45385.8</v>
          </cell>
          <cell r="N98">
            <v>18154.320000000003</v>
          </cell>
          <cell r="O98">
            <v>2083</v>
          </cell>
          <cell r="P98">
            <v>2083</v>
          </cell>
          <cell r="Q98">
            <v>7936.8799999999901</v>
          </cell>
          <cell r="R98">
            <v>75643</v>
          </cell>
          <cell r="S98">
            <v>1950</v>
          </cell>
          <cell r="T98">
            <v>1441.6089999999999</v>
          </cell>
          <cell r="U98">
            <v>2183.0569799999998</v>
          </cell>
          <cell r="V98">
            <v>3782.15</v>
          </cell>
          <cell r="W98">
            <v>84999.815979999985</v>
          </cell>
          <cell r="Y98">
            <v>75643</v>
          </cell>
          <cell r="AA98">
            <v>200</v>
          </cell>
          <cell r="AB98">
            <v>1800</v>
          </cell>
          <cell r="AC98">
            <v>283</v>
          </cell>
          <cell r="AE98">
            <v>2283</v>
          </cell>
          <cell r="AF98">
            <v>80766.815979999985</v>
          </cell>
        </row>
        <row r="99">
          <cell r="C99" t="str">
            <v>BITS-692</v>
          </cell>
          <cell r="E99" t="str">
            <v>Sneha Hande</v>
          </cell>
          <cell r="F99" t="str">
            <v>PUNE ASC SEZ</v>
          </cell>
          <cell r="G99">
            <v>58000</v>
          </cell>
          <cell r="H99">
            <v>50617</v>
          </cell>
          <cell r="I99">
            <v>31</v>
          </cell>
          <cell r="J99">
            <v>31</v>
          </cell>
          <cell r="L99">
            <v>31</v>
          </cell>
          <cell r="M99">
            <v>30370.2</v>
          </cell>
          <cell r="N99">
            <v>12148.080000000002</v>
          </cell>
          <cell r="O99">
            <v>2083</v>
          </cell>
          <cell r="P99">
            <v>2083</v>
          </cell>
          <cell r="Q99">
            <v>3932.7200000000012</v>
          </cell>
          <cell r="R99">
            <v>50617</v>
          </cell>
          <cell r="S99">
            <v>1950</v>
          </cell>
          <cell r="T99">
            <v>1441.6089999999999</v>
          </cell>
          <cell r="U99">
            <v>1460.8066199999998</v>
          </cell>
          <cell r="V99">
            <v>2530.85</v>
          </cell>
          <cell r="W99">
            <v>58000.265619999998</v>
          </cell>
          <cell r="Y99">
            <v>50617</v>
          </cell>
          <cell r="AA99">
            <v>200</v>
          </cell>
          <cell r="AB99">
            <v>1800</v>
          </cell>
          <cell r="AC99">
            <v>283</v>
          </cell>
          <cell r="AE99">
            <v>2283</v>
          </cell>
          <cell r="AF99">
            <v>53767.265619999998</v>
          </cell>
        </row>
        <row r="100">
          <cell r="C100" t="str">
            <v>BITS-693</v>
          </cell>
          <cell r="E100" t="str">
            <v>JNANESWARARAO G</v>
          </cell>
          <cell r="F100" t="str">
            <v>BNG STP</v>
          </cell>
          <cell r="G100">
            <v>108000</v>
          </cell>
          <cell r="H100">
            <v>96962</v>
          </cell>
          <cell r="I100">
            <v>31</v>
          </cell>
          <cell r="J100">
            <v>28</v>
          </cell>
          <cell r="K100">
            <v>3</v>
          </cell>
          <cell r="L100">
            <v>29</v>
          </cell>
          <cell r="M100">
            <v>54423.832258064511</v>
          </cell>
          <cell r="N100">
            <v>21769.532903225805</v>
          </cell>
          <cell r="O100">
            <v>1949</v>
          </cell>
          <cell r="P100">
            <v>1949</v>
          </cell>
          <cell r="Q100">
            <v>10615.021935483877</v>
          </cell>
          <cell r="R100">
            <v>90706.387096774197</v>
          </cell>
          <cell r="S100">
            <v>1950</v>
          </cell>
          <cell r="T100">
            <v>1441.6089999999999</v>
          </cell>
          <cell r="U100">
            <v>2617.7863316129028</v>
          </cell>
          <cell r="V100">
            <v>4535.3193548387089</v>
          </cell>
          <cell r="W100">
            <v>101251.10178322581</v>
          </cell>
          <cell r="Y100">
            <v>90706.387096774197</v>
          </cell>
          <cell r="AA100">
            <v>200</v>
          </cell>
          <cell r="AB100">
            <v>1800</v>
          </cell>
          <cell r="AC100">
            <v>283</v>
          </cell>
          <cell r="AE100">
            <v>2283</v>
          </cell>
          <cell r="AF100">
            <v>97017.714686451611</v>
          </cell>
        </row>
        <row r="101">
          <cell r="C101" t="str">
            <v>BITS-694</v>
          </cell>
          <cell r="E101" t="str">
            <v>Asita Kumar Sahoo</v>
          </cell>
          <cell r="F101" t="str">
            <v>PUNE SEZ 2</v>
          </cell>
          <cell r="G101">
            <v>60000</v>
          </cell>
          <cell r="H101">
            <v>52471</v>
          </cell>
          <cell r="I101">
            <v>31</v>
          </cell>
          <cell r="J101">
            <v>31</v>
          </cell>
          <cell r="L101">
            <v>31</v>
          </cell>
          <cell r="M101">
            <v>31482.6</v>
          </cell>
          <cell r="N101">
            <v>12593.04</v>
          </cell>
          <cell r="O101">
            <v>2083</v>
          </cell>
          <cell r="P101">
            <v>2083</v>
          </cell>
          <cell r="Q101">
            <v>4229.3600000000006</v>
          </cell>
          <cell r="R101">
            <v>52471</v>
          </cell>
          <cell r="S101">
            <v>1950</v>
          </cell>
          <cell r="T101">
            <v>1441.6089999999999</v>
          </cell>
          <cell r="U101">
            <v>1514.3130599999997</v>
          </cell>
          <cell r="V101">
            <v>2623.5499999999997</v>
          </cell>
          <cell r="W101">
            <v>60000.47206</v>
          </cell>
          <cell r="Y101">
            <v>52471</v>
          </cell>
          <cell r="AA101">
            <v>200</v>
          </cell>
          <cell r="AB101">
            <v>1800</v>
          </cell>
          <cell r="AC101">
            <v>283</v>
          </cell>
          <cell r="AE101">
            <v>2283</v>
          </cell>
          <cell r="AF101">
            <v>55767.47206</v>
          </cell>
        </row>
        <row r="102">
          <cell r="C102" t="str">
            <v>BITS-695</v>
          </cell>
          <cell r="E102" t="str">
            <v>Nagashree Narayan</v>
          </cell>
          <cell r="F102" t="str">
            <v>HYD SEZ</v>
          </cell>
          <cell r="G102">
            <v>110000</v>
          </cell>
          <cell r="H102">
            <v>98816</v>
          </cell>
          <cell r="I102">
            <v>31</v>
          </cell>
          <cell r="J102">
            <v>31</v>
          </cell>
          <cell r="L102">
            <v>31</v>
          </cell>
          <cell r="M102">
            <v>59289.599999999999</v>
          </cell>
          <cell r="N102">
            <v>23715.84</v>
          </cell>
          <cell r="O102">
            <v>2083</v>
          </cell>
          <cell r="P102">
            <v>2083</v>
          </cell>
          <cell r="Q102">
            <v>11644.559999999998</v>
          </cell>
          <cell r="R102">
            <v>98816</v>
          </cell>
          <cell r="S102">
            <v>1950</v>
          </cell>
          <cell r="T102">
            <v>1441.6089999999999</v>
          </cell>
          <cell r="U102">
            <v>2851.8297599999996</v>
          </cell>
          <cell r="V102">
            <v>4940.8</v>
          </cell>
          <cell r="W102">
            <v>110000.23875999999</v>
          </cell>
          <cell r="Y102">
            <v>98816</v>
          </cell>
          <cell r="AA102">
            <v>200</v>
          </cell>
          <cell r="AB102">
            <v>1800</v>
          </cell>
          <cell r="AC102">
            <v>283</v>
          </cell>
          <cell r="AE102">
            <v>2283</v>
          </cell>
          <cell r="AF102">
            <v>105767.23875999999</v>
          </cell>
        </row>
        <row r="103">
          <cell r="C103" t="str">
            <v>BITS-696</v>
          </cell>
          <cell r="E103" t="str">
            <v>Amarnath Reddy</v>
          </cell>
          <cell r="F103" t="str">
            <v>Chennai SEZ</v>
          </cell>
          <cell r="G103">
            <v>130000</v>
          </cell>
          <cell r="H103">
            <v>117354</v>
          </cell>
          <cell r="I103">
            <v>31</v>
          </cell>
          <cell r="J103">
            <v>29</v>
          </cell>
          <cell r="K103">
            <v>2</v>
          </cell>
          <cell r="L103">
            <v>30</v>
          </cell>
          <cell r="M103">
            <v>68141.032258064515</v>
          </cell>
          <cell r="N103">
            <v>27256.412903225806</v>
          </cell>
          <cell r="O103">
            <v>2016</v>
          </cell>
          <cell r="P103">
            <v>2016</v>
          </cell>
          <cell r="Q103">
            <v>14138.941935483876</v>
          </cell>
          <cell r="R103">
            <v>113568.3870967742</v>
          </cell>
          <cell r="T103">
            <v>1441.6089999999999</v>
          </cell>
          <cell r="U103">
            <v>3277.5836516129029</v>
          </cell>
          <cell r="V103">
            <v>5678.4193548387093</v>
          </cell>
          <cell r="W103">
            <v>123965.99910322581</v>
          </cell>
          <cell r="Y103">
            <v>113568.3870967742</v>
          </cell>
          <cell r="AA103">
            <v>200</v>
          </cell>
          <cell r="AC103">
            <v>283</v>
          </cell>
          <cell r="AE103">
            <v>483</v>
          </cell>
          <cell r="AF103">
            <v>123482.61200645161</v>
          </cell>
        </row>
        <row r="104">
          <cell r="C104" t="str">
            <v>BITS-697</v>
          </cell>
          <cell r="E104" t="str">
            <v> Rajesh Dhumal</v>
          </cell>
          <cell r="F104" t="str">
            <v>PUNE SEZ 1</v>
          </cell>
          <cell r="G104">
            <v>84000</v>
          </cell>
          <cell r="H104">
            <v>74716</v>
          </cell>
          <cell r="I104">
            <v>31</v>
          </cell>
          <cell r="J104">
            <v>31</v>
          </cell>
          <cell r="L104">
            <v>31</v>
          </cell>
          <cell r="M104">
            <v>44829.599999999999</v>
          </cell>
          <cell r="N104">
            <v>17931.84</v>
          </cell>
          <cell r="O104">
            <v>2083</v>
          </cell>
          <cell r="P104">
            <v>2083</v>
          </cell>
          <cell r="Q104">
            <v>7788.5599999999977</v>
          </cell>
          <cell r="R104">
            <v>74716</v>
          </cell>
          <cell r="S104">
            <v>1950</v>
          </cell>
          <cell r="T104">
            <v>1441.6089999999999</v>
          </cell>
          <cell r="U104">
            <v>2156.3037599999998</v>
          </cell>
          <cell r="V104">
            <v>3735.7999999999997</v>
          </cell>
          <cell r="W104">
            <v>83999.712759999995</v>
          </cell>
          <cell r="Y104">
            <v>74716</v>
          </cell>
          <cell r="AA104">
            <v>200</v>
          </cell>
          <cell r="AB104">
            <v>1800</v>
          </cell>
          <cell r="AC104">
            <v>283</v>
          </cell>
          <cell r="AE104">
            <v>2283</v>
          </cell>
          <cell r="AF104">
            <v>79766.712759999995</v>
          </cell>
        </row>
        <row r="105">
          <cell r="C105" t="str">
            <v>BITS-698</v>
          </cell>
          <cell r="E105" t="str">
            <v xml:space="preserve">Amol Gole </v>
          </cell>
          <cell r="F105" t="str">
            <v>PUNE ASC SEZ</v>
          </cell>
          <cell r="G105">
            <v>75000</v>
          </cell>
          <cell r="H105">
            <v>66374</v>
          </cell>
          <cell r="I105">
            <v>31</v>
          </cell>
          <cell r="J105">
            <v>31</v>
          </cell>
          <cell r="L105">
            <v>31</v>
          </cell>
          <cell r="M105">
            <v>39824.400000000001</v>
          </cell>
          <cell r="N105">
            <v>15929.760000000002</v>
          </cell>
          <cell r="O105">
            <v>2083</v>
          </cell>
          <cell r="P105">
            <v>2083</v>
          </cell>
          <cell r="Q105">
            <v>6453.8399999999965</v>
          </cell>
          <cell r="R105">
            <v>66374</v>
          </cell>
          <cell r="S105">
            <v>1950</v>
          </cell>
          <cell r="T105">
            <v>1441.6089999999999</v>
          </cell>
          <cell r="U105">
            <v>1915.5536400000001</v>
          </cell>
          <cell r="V105">
            <v>3318.7000000000003</v>
          </cell>
          <cell r="W105">
            <v>74999.862639999992</v>
          </cell>
          <cell r="Y105">
            <v>66374</v>
          </cell>
          <cell r="AA105">
            <v>200</v>
          </cell>
          <cell r="AB105">
            <v>1800</v>
          </cell>
          <cell r="AC105">
            <v>283</v>
          </cell>
          <cell r="AE105">
            <v>2283</v>
          </cell>
          <cell r="AF105">
            <v>70766.862639999992</v>
          </cell>
        </row>
        <row r="106">
          <cell r="C106" t="str">
            <v>BITS-699</v>
          </cell>
          <cell r="E106" t="str">
            <v>Srinivasa Rao yellaneni</v>
          </cell>
          <cell r="F106" t="str">
            <v>BNG SEZ</v>
          </cell>
          <cell r="G106">
            <v>150000</v>
          </cell>
          <cell r="H106">
            <v>135892</v>
          </cell>
          <cell r="I106">
            <v>31</v>
          </cell>
          <cell r="J106">
            <v>31</v>
          </cell>
          <cell r="L106">
            <v>31</v>
          </cell>
          <cell r="M106">
            <v>81535.199999999997</v>
          </cell>
          <cell r="N106">
            <v>32614.080000000002</v>
          </cell>
          <cell r="O106">
            <v>2083</v>
          </cell>
          <cell r="P106">
            <v>2083</v>
          </cell>
          <cell r="Q106">
            <v>17576.72</v>
          </cell>
          <cell r="R106">
            <v>135892</v>
          </cell>
          <cell r="S106">
            <v>1950</v>
          </cell>
          <cell r="T106">
            <v>1441.6089999999999</v>
          </cell>
          <cell r="U106">
            <v>3921.8431199999995</v>
          </cell>
          <cell r="V106">
            <v>6794.5999999999995</v>
          </cell>
          <cell r="W106">
            <v>150000.05212000001</v>
          </cell>
          <cell r="X106">
            <v>24190</v>
          </cell>
          <cell r="Y106">
            <v>160082</v>
          </cell>
          <cell r="AA106">
            <v>200</v>
          </cell>
          <cell r="AB106">
            <v>1800</v>
          </cell>
          <cell r="AC106">
            <v>283</v>
          </cell>
          <cell r="AE106">
            <v>2283</v>
          </cell>
          <cell r="AF106">
            <v>169957.05212000001</v>
          </cell>
        </row>
        <row r="107">
          <cell r="C107" t="str">
            <v>BITS-700</v>
          </cell>
          <cell r="E107" t="str">
            <v>Sandeep Dixit</v>
          </cell>
          <cell r="F107" t="str">
            <v>PUNE ASC SEZ</v>
          </cell>
          <cell r="G107">
            <v>190000</v>
          </cell>
          <cell r="H107">
            <v>172968</v>
          </cell>
          <cell r="I107">
            <v>31</v>
          </cell>
          <cell r="J107">
            <v>31</v>
          </cell>
          <cell r="L107">
            <v>31</v>
          </cell>
          <cell r="M107">
            <v>103780.8</v>
          </cell>
          <cell r="N107">
            <v>41512.320000000007</v>
          </cell>
          <cell r="O107">
            <v>2083</v>
          </cell>
          <cell r="P107">
            <v>2083</v>
          </cell>
          <cell r="Q107">
            <v>23508.880000000005</v>
          </cell>
          <cell r="R107">
            <v>172968</v>
          </cell>
          <cell r="S107">
            <v>1950</v>
          </cell>
          <cell r="T107">
            <v>1441.6089999999999</v>
          </cell>
          <cell r="U107">
            <v>4991.8564799999995</v>
          </cell>
          <cell r="V107">
            <v>8648.4</v>
          </cell>
          <cell r="W107">
            <v>189999.86547999998</v>
          </cell>
          <cell r="Y107">
            <v>172968</v>
          </cell>
          <cell r="AA107">
            <v>200</v>
          </cell>
          <cell r="AB107">
            <v>1800</v>
          </cell>
          <cell r="AC107">
            <v>283</v>
          </cell>
          <cell r="AE107">
            <v>2283</v>
          </cell>
          <cell r="AF107">
            <v>185766.86547999998</v>
          </cell>
        </row>
        <row r="108">
          <cell r="C108" t="str">
            <v>BITS-701</v>
          </cell>
          <cell r="E108" t="str">
            <v>Shridhar Madlur</v>
          </cell>
          <cell r="F108" t="str">
            <v>BNG STP</v>
          </cell>
          <cell r="G108">
            <v>58000</v>
          </cell>
          <cell r="H108">
            <v>50617</v>
          </cell>
          <cell r="I108">
            <v>31</v>
          </cell>
          <cell r="J108">
            <v>31</v>
          </cell>
          <cell r="L108">
            <v>31</v>
          </cell>
          <cell r="M108">
            <v>30370.2</v>
          </cell>
          <cell r="N108">
            <v>12148.080000000002</v>
          </cell>
          <cell r="O108">
            <v>2083</v>
          </cell>
          <cell r="P108">
            <v>2083</v>
          </cell>
          <cell r="Q108">
            <v>3932.7200000000012</v>
          </cell>
          <cell r="R108">
            <v>50617</v>
          </cell>
          <cell r="S108">
            <v>1950</v>
          </cell>
          <cell r="T108">
            <v>1441.6089999999999</v>
          </cell>
          <cell r="U108">
            <v>1460.8066199999998</v>
          </cell>
          <cell r="V108">
            <v>2530.85</v>
          </cell>
          <cell r="W108">
            <v>58000.265619999998</v>
          </cell>
          <cell r="Y108">
            <v>50617</v>
          </cell>
          <cell r="AA108">
            <v>200</v>
          </cell>
          <cell r="AB108">
            <v>1800</v>
          </cell>
          <cell r="AC108">
            <v>283</v>
          </cell>
          <cell r="AE108">
            <v>2283</v>
          </cell>
          <cell r="AF108">
            <v>53767.265619999998</v>
          </cell>
        </row>
        <row r="109">
          <cell r="C109" t="str">
            <v>BITS-702</v>
          </cell>
          <cell r="E109" t="str">
            <v>Samarjit Saha</v>
          </cell>
          <cell r="F109" t="str">
            <v>BNG STP</v>
          </cell>
          <cell r="G109">
            <v>140000</v>
          </cell>
          <cell r="H109">
            <v>126623</v>
          </cell>
          <cell r="I109">
            <v>31</v>
          </cell>
          <cell r="J109">
            <v>30</v>
          </cell>
          <cell r="K109">
            <v>1</v>
          </cell>
          <cell r="L109">
            <v>31</v>
          </cell>
          <cell r="M109">
            <v>75973.8</v>
          </cell>
          <cell r="N109">
            <v>30389.520000000004</v>
          </cell>
          <cell r="O109">
            <v>2083</v>
          </cell>
          <cell r="P109">
            <v>2083</v>
          </cell>
          <cell r="Q109">
            <v>16093.679999999993</v>
          </cell>
          <cell r="R109">
            <v>126623</v>
          </cell>
          <cell r="S109">
            <v>1950</v>
          </cell>
          <cell r="T109">
            <v>1441.6089999999999</v>
          </cell>
          <cell r="U109">
            <v>3654.3397800000002</v>
          </cell>
          <cell r="V109">
            <v>6331.1500000000005</v>
          </cell>
          <cell r="W109">
            <v>140000.09878</v>
          </cell>
          <cell r="Y109">
            <v>126623</v>
          </cell>
          <cell r="AA109">
            <v>200</v>
          </cell>
          <cell r="AB109">
            <v>1800</v>
          </cell>
          <cell r="AC109">
            <v>283</v>
          </cell>
          <cell r="AE109">
            <v>2283</v>
          </cell>
          <cell r="AF109">
            <v>135767.09878</v>
          </cell>
        </row>
        <row r="110">
          <cell r="C110" t="str">
            <v>BITS-703</v>
          </cell>
          <cell r="E110" t="str">
            <v>Arun kh</v>
          </cell>
          <cell r="F110" t="str">
            <v>HYD STP</v>
          </cell>
          <cell r="G110">
            <v>85000</v>
          </cell>
          <cell r="H110">
            <v>75643</v>
          </cell>
          <cell r="I110">
            <v>31</v>
          </cell>
          <cell r="J110">
            <v>31</v>
          </cell>
          <cell r="L110">
            <v>31</v>
          </cell>
          <cell r="M110">
            <v>45385.8</v>
          </cell>
          <cell r="N110">
            <v>18154.320000000003</v>
          </cell>
          <cell r="O110">
            <v>2083</v>
          </cell>
          <cell r="P110">
            <v>2083</v>
          </cell>
          <cell r="Q110">
            <v>7936.8799999999901</v>
          </cell>
          <cell r="R110">
            <v>75643</v>
          </cell>
          <cell r="S110">
            <v>1950</v>
          </cell>
          <cell r="T110">
            <v>1441.6089999999999</v>
          </cell>
          <cell r="U110">
            <v>2183.0569799999998</v>
          </cell>
          <cell r="V110">
            <v>3782.15</v>
          </cell>
          <cell r="W110">
            <v>84999.815979999985</v>
          </cell>
          <cell r="Y110">
            <v>75643</v>
          </cell>
          <cell r="AA110">
            <v>200</v>
          </cell>
          <cell r="AB110">
            <v>1800</v>
          </cell>
          <cell r="AC110">
            <v>283</v>
          </cell>
          <cell r="AD110">
            <v>8744</v>
          </cell>
          <cell r="AE110">
            <v>11027</v>
          </cell>
          <cell r="AF110">
            <v>72022.815979999985</v>
          </cell>
        </row>
        <row r="111">
          <cell r="C111" t="str">
            <v>BITS-704</v>
          </cell>
          <cell r="E111" t="str">
            <v>Ajay Pal Singh</v>
          </cell>
          <cell r="F111" t="str">
            <v>PUNE SEZ 1</v>
          </cell>
          <cell r="G111">
            <v>80000</v>
          </cell>
          <cell r="H111">
            <v>71009</v>
          </cell>
          <cell r="I111">
            <v>31</v>
          </cell>
          <cell r="J111">
            <v>31</v>
          </cell>
          <cell r="L111">
            <v>31</v>
          </cell>
          <cell r="M111">
            <v>42605.4</v>
          </cell>
          <cell r="N111">
            <v>17042.16</v>
          </cell>
          <cell r="O111">
            <v>2083</v>
          </cell>
          <cell r="P111">
            <v>2083</v>
          </cell>
          <cell r="Q111">
            <v>7195.4400000000023</v>
          </cell>
          <cell r="R111">
            <v>71009</v>
          </cell>
          <cell r="S111">
            <v>1950</v>
          </cell>
          <cell r="T111">
            <v>1441.6089999999999</v>
          </cell>
          <cell r="U111">
            <v>2049.3197399999999</v>
          </cell>
          <cell r="V111">
            <v>3550.4500000000003</v>
          </cell>
          <cell r="W111">
            <v>80000.37874</v>
          </cell>
          <cell r="Y111">
            <v>71009</v>
          </cell>
          <cell r="AA111">
            <v>200</v>
          </cell>
          <cell r="AB111">
            <v>1800</v>
          </cell>
          <cell r="AC111">
            <v>283</v>
          </cell>
          <cell r="AE111">
            <v>2283</v>
          </cell>
          <cell r="AF111">
            <v>75767.37874</v>
          </cell>
        </row>
        <row r="112">
          <cell r="C112" t="str">
            <v>BITS-705</v>
          </cell>
          <cell r="E112" t="str">
            <v>Narasimha rao Gurazala</v>
          </cell>
          <cell r="F112" t="str">
            <v>BNG STP</v>
          </cell>
          <cell r="G112">
            <v>100000</v>
          </cell>
          <cell r="H112">
            <v>89547</v>
          </cell>
          <cell r="I112">
            <v>31</v>
          </cell>
          <cell r="J112">
            <v>31</v>
          </cell>
          <cell r="L112">
            <v>31</v>
          </cell>
          <cell r="M112">
            <v>53728.2</v>
          </cell>
          <cell r="N112">
            <v>21491.279999999999</v>
          </cell>
          <cell r="O112">
            <v>2083</v>
          </cell>
          <cell r="P112">
            <v>2083</v>
          </cell>
          <cell r="Q112">
            <v>10161.520000000004</v>
          </cell>
          <cell r="R112">
            <v>89547</v>
          </cell>
          <cell r="S112">
            <v>1950</v>
          </cell>
          <cell r="T112">
            <v>1441.6089999999999</v>
          </cell>
          <cell r="U112">
            <v>2584.3264199999994</v>
          </cell>
          <cell r="V112">
            <v>4477.3499999999995</v>
          </cell>
          <cell r="W112">
            <v>100000.28542</v>
          </cell>
          <cell r="Y112">
            <v>89547</v>
          </cell>
          <cell r="AA112">
            <v>200</v>
          </cell>
          <cell r="AB112">
            <v>1800</v>
          </cell>
          <cell r="AC112">
            <v>283</v>
          </cell>
          <cell r="AE112">
            <v>2283</v>
          </cell>
          <cell r="AF112">
            <v>95767.28542</v>
          </cell>
        </row>
        <row r="113">
          <cell r="C113" t="str">
            <v>BITS-706</v>
          </cell>
          <cell r="D113" t="str">
            <v>SAP</v>
          </cell>
          <cell r="E113" t="str">
            <v>Arun Arra</v>
          </cell>
          <cell r="F113" t="str">
            <v>PUNE SEZ 2</v>
          </cell>
          <cell r="G113">
            <v>45000</v>
          </cell>
          <cell r="H113">
            <v>38567</v>
          </cell>
          <cell r="I113">
            <v>31</v>
          </cell>
          <cell r="J113">
            <v>31</v>
          </cell>
          <cell r="L113">
            <v>31</v>
          </cell>
          <cell r="M113">
            <v>23140.2</v>
          </cell>
          <cell r="N113">
            <v>9256.08</v>
          </cell>
          <cell r="O113">
            <v>2083</v>
          </cell>
          <cell r="P113">
            <v>2083</v>
          </cell>
          <cell r="Q113">
            <v>2004.7200000000012</v>
          </cell>
          <cell r="R113">
            <v>38567</v>
          </cell>
          <cell r="S113">
            <v>1950</v>
          </cell>
          <cell r="T113">
            <v>1441.6089999999999</v>
          </cell>
          <cell r="U113">
            <v>1113.0436199999999</v>
          </cell>
          <cell r="V113">
            <v>1928.3500000000001</v>
          </cell>
          <cell r="W113">
            <v>45000.002619999992</v>
          </cell>
          <cell r="Y113">
            <v>38567</v>
          </cell>
          <cell r="AA113">
            <v>200</v>
          </cell>
          <cell r="AB113">
            <v>1800</v>
          </cell>
          <cell r="AC113">
            <v>283</v>
          </cell>
          <cell r="AE113">
            <v>2283</v>
          </cell>
          <cell r="AF113">
            <v>40767.002619999992</v>
          </cell>
        </row>
        <row r="114">
          <cell r="C114" t="str">
            <v>BITS-707</v>
          </cell>
          <cell r="D114" t="str">
            <v>SAP</v>
          </cell>
          <cell r="E114" t="str">
            <v>Ramya Nalla</v>
          </cell>
          <cell r="F114" t="str">
            <v>PUNE SEZ 2</v>
          </cell>
          <cell r="G114">
            <v>45000</v>
          </cell>
          <cell r="H114">
            <v>38567</v>
          </cell>
          <cell r="I114">
            <v>31</v>
          </cell>
          <cell r="J114">
            <v>31</v>
          </cell>
          <cell r="L114">
            <v>31</v>
          </cell>
          <cell r="M114">
            <v>23140.2</v>
          </cell>
          <cell r="N114">
            <v>9256.08</v>
          </cell>
          <cell r="O114">
            <v>2083</v>
          </cell>
          <cell r="P114">
            <v>2083</v>
          </cell>
          <cell r="Q114">
            <v>2004.7200000000012</v>
          </cell>
          <cell r="R114">
            <v>38567</v>
          </cell>
          <cell r="S114">
            <v>1950</v>
          </cell>
          <cell r="T114">
            <v>1441.6089999999999</v>
          </cell>
          <cell r="U114">
            <v>1113.0436199999999</v>
          </cell>
          <cell r="V114">
            <v>1928.3500000000001</v>
          </cell>
          <cell r="W114">
            <v>45000.002619999992</v>
          </cell>
          <cell r="Y114">
            <v>38567</v>
          </cell>
          <cell r="AA114">
            <v>200</v>
          </cell>
          <cell r="AB114">
            <v>1800</v>
          </cell>
          <cell r="AC114">
            <v>283</v>
          </cell>
          <cell r="AE114">
            <v>2283</v>
          </cell>
          <cell r="AF114">
            <v>40767.002619999992</v>
          </cell>
        </row>
        <row r="115">
          <cell r="C115" t="str">
            <v>BITS-708</v>
          </cell>
          <cell r="D115" t="str">
            <v>SAP</v>
          </cell>
          <cell r="E115" t="str">
            <v>SYED  MOHAMMED AZHER</v>
          </cell>
          <cell r="F115" t="str">
            <v>PUNE SEZ 2</v>
          </cell>
          <cell r="G115">
            <v>45000</v>
          </cell>
          <cell r="H115">
            <v>38567</v>
          </cell>
          <cell r="I115">
            <v>31</v>
          </cell>
          <cell r="J115">
            <v>30</v>
          </cell>
          <cell r="K115">
            <v>1</v>
          </cell>
          <cell r="L115">
            <v>31</v>
          </cell>
          <cell r="M115">
            <v>23140.2</v>
          </cell>
          <cell r="N115">
            <v>9256.08</v>
          </cell>
          <cell r="O115">
            <v>2083</v>
          </cell>
          <cell r="P115">
            <v>2083</v>
          </cell>
          <cell r="Q115">
            <v>2004.7200000000012</v>
          </cell>
          <cell r="R115">
            <v>38567</v>
          </cell>
          <cell r="S115">
            <v>1950</v>
          </cell>
          <cell r="T115">
            <v>1441.6089999999999</v>
          </cell>
          <cell r="U115">
            <v>1113.0436199999999</v>
          </cell>
          <cell r="V115">
            <v>1928.3500000000001</v>
          </cell>
          <cell r="W115">
            <v>45000.002619999992</v>
          </cell>
          <cell r="Y115">
            <v>38567</v>
          </cell>
          <cell r="AA115">
            <v>200</v>
          </cell>
          <cell r="AB115">
            <v>1800</v>
          </cell>
          <cell r="AC115">
            <v>283</v>
          </cell>
          <cell r="AE115">
            <v>2283</v>
          </cell>
          <cell r="AF115">
            <v>40767.002619999992</v>
          </cell>
        </row>
        <row r="116">
          <cell r="C116" t="str">
            <v>BITS-709</v>
          </cell>
          <cell r="D116" t="str">
            <v>SAP</v>
          </cell>
          <cell r="E116" t="str">
            <v>Uma  Mahesh P</v>
          </cell>
          <cell r="F116" t="str">
            <v>PUNE SEZ 2</v>
          </cell>
          <cell r="G116">
            <v>45000</v>
          </cell>
          <cell r="H116">
            <v>38567</v>
          </cell>
          <cell r="I116">
            <v>31</v>
          </cell>
          <cell r="J116">
            <v>31</v>
          </cell>
          <cell r="L116">
            <v>31</v>
          </cell>
          <cell r="M116">
            <v>23140.2</v>
          </cell>
          <cell r="N116">
            <v>9256.08</v>
          </cell>
          <cell r="O116">
            <v>2083</v>
          </cell>
          <cell r="P116">
            <v>2083</v>
          </cell>
          <cell r="Q116">
            <v>2004.7200000000012</v>
          </cell>
          <cell r="R116">
            <v>38567</v>
          </cell>
          <cell r="S116">
            <v>1950</v>
          </cell>
          <cell r="T116">
            <v>1441.6089999999999</v>
          </cell>
          <cell r="U116">
            <v>1113.0436199999999</v>
          </cell>
          <cell r="V116">
            <v>1928.3500000000001</v>
          </cell>
          <cell r="W116">
            <v>45000.002619999992</v>
          </cell>
          <cell r="Y116">
            <v>38567</v>
          </cell>
          <cell r="AA116">
            <v>200</v>
          </cell>
          <cell r="AB116">
            <v>1800</v>
          </cell>
          <cell r="AC116">
            <v>283</v>
          </cell>
          <cell r="AE116">
            <v>2283</v>
          </cell>
          <cell r="AF116">
            <v>40767.002619999992</v>
          </cell>
        </row>
        <row r="117">
          <cell r="C117" t="str">
            <v>BITS-710</v>
          </cell>
          <cell r="D117" t="str">
            <v>SAP</v>
          </cell>
          <cell r="E117" t="str">
            <v>GONTHINI  SAIBABU 25-3-2022</v>
          </cell>
          <cell r="F117" t="str">
            <v>PUNE SEZ 2</v>
          </cell>
          <cell r="G117">
            <v>45000</v>
          </cell>
          <cell r="H117">
            <v>38567</v>
          </cell>
          <cell r="I117">
            <v>31</v>
          </cell>
          <cell r="J117">
            <v>25</v>
          </cell>
          <cell r="L117">
            <v>25</v>
          </cell>
          <cell r="M117">
            <v>18661.451612903224</v>
          </cell>
          <cell r="N117">
            <v>7464.5806451612898</v>
          </cell>
          <cell r="O117">
            <v>1680</v>
          </cell>
          <cell r="P117">
            <v>1680</v>
          </cell>
          <cell r="Q117">
            <v>1616.3870967741932</v>
          </cell>
          <cell r="R117">
            <v>31102.419354838708</v>
          </cell>
          <cell r="S117">
            <v>1950</v>
          </cell>
          <cell r="T117">
            <v>1441.6089999999999</v>
          </cell>
          <cell r="U117">
            <v>897.61582258064504</v>
          </cell>
          <cell r="V117">
            <v>1555.1209677419354</v>
          </cell>
          <cell r="W117">
            <v>36946.765145161276</v>
          </cell>
          <cell r="Y117">
            <v>31102.419354838708</v>
          </cell>
          <cell r="AA117">
            <v>200</v>
          </cell>
          <cell r="AB117">
            <v>1800</v>
          </cell>
          <cell r="AC117">
            <v>283</v>
          </cell>
          <cell r="AE117">
            <v>2283</v>
          </cell>
          <cell r="AF117">
            <v>32713.345790322583</v>
          </cell>
        </row>
        <row r="118">
          <cell r="C118" t="str">
            <v>BITS-711</v>
          </cell>
          <cell r="D118" t="str">
            <v>SAP</v>
          </cell>
          <cell r="E118" t="str">
            <v>Pavan  Nagendra Tatina 25-3-2022</v>
          </cell>
          <cell r="F118" t="str">
            <v>PUNE SEZ 2</v>
          </cell>
          <cell r="G118">
            <v>35000</v>
          </cell>
          <cell r="H118">
            <v>29298</v>
          </cell>
          <cell r="I118">
            <v>31</v>
          </cell>
          <cell r="J118">
            <v>25</v>
          </cell>
          <cell r="L118">
            <v>25</v>
          </cell>
          <cell r="M118">
            <v>14176.451612903224</v>
          </cell>
          <cell r="N118">
            <v>5670.5806451612898</v>
          </cell>
          <cell r="O118">
            <v>1680</v>
          </cell>
          <cell r="P118">
            <v>1680</v>
          </cell>
          <cell r="Q118">
            <v>420.3870967741932</v>
          </cell>
          <cell r="R118">
            <v>23627.419354838708</v>
          </cell>
          <cell r="S118">
            <v>1842.9387096774192</v>
          </cell>
          <cell r="T118">
            <v>1441.6089999999999</v>
          </cell>
          <cell r="U118">
            <v>681.88732258064499</v>
          </cell>
          <cell r="V118">
            <v>1181.3709677419354</v>
          </cell>
          <cell r="W118">
            <v>28775.225354838709</v>
          </cell>
          <cell r="Y118">
            <v>23627.419354838708</v>
          </cell>
          <cell r="AA118">
            <v>200</v>
          </cell>
          <cell r="AB118">
            <v>1701</v>
          </cell>
          <cell r="AC118">
            <v>283</v>
          </cell>
          <cell r="AE118">
            <v>2184</v>
          </cell>
          <cell r="AF118">
            <v>24747.867290322582</v>
          </cell>
        </row>
        <row r="119">
          <cell r="C119" t="str">
            <v>BITS-712</v>
          </cell>
          <cell r="D119" t="str">
            <v>SAP</v>
          </cell>
          <cell r="E119" t="str">
            <v>Mohd  Azhar Shareef 25-3-2022</v>
          </cell>
          <cell r="F119" t="str">
            <v>PUNE SEZ 2</v>
          </cell>
          <cell r="G119">
            <v>45000</v>
          </cell>
          <cell r="H119">
            <v>38567</v>
          </cell>
          <cell r="I119">
            <v>31</v>
          </cell>
          <cell r="J119">
            <v>19</v>
          </cell>
          <cell r="L119">
            <v>19</v>
          </cell>
          <cell r="M119">
            <v>14182.703225806454</v>
          </cell>
          <cell r="N119">
            <v>5673.0812903225815</v>
          </cell>
          <cell r="O119">
            <v>1277</v>
          </cell>
          <cell r="P119">
            <v>1277</v>
          </cell>
          <cell r="Q119">
            <v>1228.0541935483852</v>
          </cell>
          <cell r="R119">
            <v>23637.83870967742</v>
          </cell>
          <cell r="S119">
            <v>1843.7514193548391</v>
          </cell>
          <cell r="T119">
            <v>1441.6089999999999</v>
          </cell>
          <cell r="U119">
            <v>682.1880251612904</v>
          </cell>
          <cell r="V119">
            <v>1181.8919354838711</v>
          </cell>
          <cell r="W119">
            <v>28787.27908967742</v>
          </cell>
          <cell r="Y119">
            <v>23637.83870967742</v>
          </cell>
          <cell r="AA119">
            <v>200</v>
          </cell>
          <cell r="AB119">
            <v>1702</v>
          </cell>
          <cell r="AC119">
            <v>283</v>
          </cell>
          <cell r="AE119">
            <v>2185</v>
          </cell>
          <cell r="AF119">
            <v>24758.688960645162</v>
          </cell>
        </row>
        <row r="120">
          <cell r="C120" t="str">
            <v>BITS-713</v>
          </cell>
          <cell r="D120" t="str">
            <v>SAP</v>
          </cell>
          <cell r="E120" t="str">
            <v>NAGA SAI TEJA NUTHI</v>
          </cell>
          <cell r="F120" t="str">
            <v>PUNE SEZ 2</v>
          </cell>
          <cell r="G120">
            <v>50000</v>
          </cell>
          <cell r="H120">
            <v>43202</v>
          </cell>
          <cell r="I120">
            <v>31</v>
          </cell>
          <cell r="J120">
            <v>30</v>
          </cell>
          <cell r="K120">
            <v>1</v>
          </cell>
          <cell r="L120">
            <v>31</v>
          </cell>
          <cell r="M120">
            <v>25921.200000000001</v>
          </cell>
          <cell r="N120">
            <v>10368.480000000001</v>
          </cell>
          <cell r="O120">
            <v>2083</v>
          </cell>
          <cell r="P120">
            <v>2083</v>
          </cell>
          <cell r="Q120">
            <v>2746.3199999999997</v>
          </cell>
          <cell r="R120">
            <v>43202</v>
          </cell>
          <cell r="S120">
            <v>1950</v>
          </cell>
          <cell r="T120">
            <v>1441.6089999999999</v>
          </cell>
          <cell r="U120">
            <v>1246.80972</v>
          </cell>
          <cell r="V120">
            <v>2160.1</v>
          </cell>
          <cell r="W120">
            <v>50000.518719999993</v>
          </cell>
          <cell r="Y120">
            <v>43202</v>
          </cell>
          <cell r="AA120">
            <v>200</v>
          </cell>
          <cell r="AB120">
            <v>1800</v>
          </cell>
          <cell r="AC120">
            <v>283</v>
          </cell>
          <cell r="AE120">
            <v>2283</v>
          </cell>
          <cell r="AF120">
            <v>45767.518719999993</v>
          </cell>
        </row>
        <row r="121">
          <cell r="C121" t="str">
            <v>BITS-714</v>
          </cell>
          <cell r="D121" t="str">
            <v>SAP</v>
          </cell>
          <cell r="E121" t="str">
            <v>Mani Krishna Nandineedi</v>
          </cell>
          <cell r="F121" t="str">
            <v>PUNE SEZ 2</v>
          </cell>
          <cell r="G121">
            <v>45000</v>
          </cell>
          <cell r="H121">
            <v>38567</v>
          </cell>
          <cell r="I121">
            <v>31</v>
          </cell>
          <cell r="J121">
            <v>31</v>
          </cell>
          <cell r="L121">
            <v>31</v>
          </cell>
          <cell r="M121">
            <v>23140.2</v>
          </cell>
          <cell r="N121">
            <v>9256.08</v>
          </cell>
          <cell r="O121">
            <v>2083</v>
          </cell>
          <cell r="P121">
            <v>2083</v>
          </cell>
          <cell r="Q121">
            <v>2004.7200000000012</v>
          </cell>
          <cell r="R121">
            <v>38567</v>
          </cell>
          <cell r="S121">
            <v>1950</v>
          </cell>
          <cell r="T121">
            <v>1441.6089999999999</v>
          </cell>
          <cell r="U121">
            <v>1113.0436199999999</v>
          </cell>
          <cell r="V121">
            <v>1928.3500000000001</v>
          </cell>
          <cell r="W121">
            <v>45000.002619999992</v>
          </cell>
          <cell r="Y121">
            <v>38567</v>
          </cell>
          <cell r="AA121">
            <v>200</v>
          </cell>
          <cell r="AB121">
            <v>1800</v>
          </cell>
          <cell r="AC121">
            <v>283</v>
          </cell>
          <cell r="AE121">
            <v>2283</v>
          </cell>
          <cell r="AF121">
            <v>40767.002619999992</v>
          </cell>
        </row>
        <row r="122">
          <cell r="C122" t="str">
            <v>BITS-715</v>
          </cell>
          <cell r="D122" t="str">
            <v>SAP</v>
          </cell>
          <cell r="E122" t="str">
            <v>Sushma P</v>
          </cell>
          <cell r="F122" t="str">
            <v>PUNE SEZ 2</v>
          </cell>
          <cell r="G122">
            <v>45000</v>
          </cell>
          <cell r="H122">
            <v>38567</v>
          </cell>
          <cell r="I122">
            <v>31</v>
          </cell>
          <cell r="J122">
            <v>31</v>
          </cell>
          <cell r="L122">
            <v>31</v>
          </cell>
          <cell r="M122">
            <v>23140.2</v>
          </cell>
          <cell r="N122">
            <v>9256.08</v>
          </cell>
          <cell r="O122">
            <v>2083</v>
          </cell>
          <cell r="P122">
            <v>2083</v>
          </cell>
          <cell r="Q122">
            <v>2004.7200000000012</v>
          </cell>
          <cell r="R122">
            <v>38567</v>
          </cell>
          <cell r="S122">
            <v>1950</v>
          </cell>
          <cell r="T122">
            <v>1441.6089999999999</v>
          </cell>
          <cell r="U122">
            <v>1113.0436199999999</v>
          </cell>
          <cell r="V122">
            <v>1928.3500000000001</v>
          </cell>
          <cell r="W122">
            <v>45000.002619999992</v>
          </cell>
          <cell r="Y122">
            <v>38567</v>
          </cell>
          <cell r="AA122">
            <v>200</v>
          </cell>
          <cell r="AB122">
            <v>1800</v>
          </cell>
          <cell r="AC122">
            <v>283</v>
          </cell>
          <cell r="AE122">
            <v>2283</v>
          </cell>
          <cell r="AF122">
            <v>40767.002619999992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2"/>
  <sheetViews>
    <sheetView topLeftCell="C86" workbookViewId="0">
      <selection activeCell="G93" sqref="G93"/>
    </sheetView>
  </sheetViews>
  <sheetFormatPr defaultColWidth="8.85546875" defaultRowHeight="15"/>
  <cols>
    <col min="1" max="1" width="5" style="371" customWidth="1"/>
    <col min="2" max="2" width="26.5703125" style="371" customWidth="1"/>
    <col min="3" max="3" width="13.5703125" style="371" customWidth="1"/>
    <col min="4" max="4" width="9.28515625" style="371" customWidth="1"/>
    <col min="5" max="5" width="23" style="371" customWidth="1"/>
    <col min="6" max="6" width="20.42578125" style="371" customWidth="1"/>
    <col min="7" max="7" width="28" style="371" customWidth="1"/>
    <col min="8" max="8" width="24.140625" style="371" customWidth="1"/>
    <col min="9" max="9" width="14" style="371" customWidth="1"/>
    <col min="10" max="10" width="23.85546875" style="371" customWidth="1"/>
    <col min="11" max="11" width="16.42578125" style="371" customWidth="1"/>
    <col min="12" max="12" width="13.42578125" style="371" customWidth="1"/>
    <col min="13" max="13" width="9" style="371" customWidth="1"/>
    <col min="14" max="16384" width="8.85546875" style="371"/>
  </cols>
  <sheetData>
    <row r="1" spans="1:13" ht="24" customHeight="1">
      <c r="A1" s="969" t="s">
        <v>472</v>
      </c>
      <c r="B1" s="970"/>
      <c r="C1" s="970"/>
      <c r="D1" s="970"/>
      <c r="E1" s="970"/>
      <c r="F1" s="970"/>
      <c r="G1" s="970"/>
      <c r="H1" s="970"/>
      <c r="I1" s="970"/>
      <c r="J1" s="970"/>
      <c r="K1" s="970"/>
      <c r="L1" s="971"/>
      <c r="M1" s="972"/>
    </row>
    <row r="2" spans="1:13" ht="24" customHeight="1">
      <c r="A2" s="973"/>
      <c r="B2" s="974"/>
      <c r="C2" s="974"/>
      <c r="D2" s="974"/>
      <c r="E2" s="974"/>
      <c r="F2" s="974"/>
      <c r="G2" s="974"/>
      <c r="H2" s="974"/>
      <c r="I2" s="974"/>
      <c r="J2" s="974"/>
      <c r="K2" s="974"/>
      <c r="L2" s="975"/>
      <c r="M2" s="976"/>
    </row>
    <row r="3" spans="1:13" ht="24" customHeight="1">
      <c r="A3" s="977" t="s">
        <v>473</v>
      </c>
      <c r="B3" s="978"/>
      <c r="C3" s="978"/>
      <c r="D3" s="978"/>
      <c r="E3" s="978"/>
      <c r="F3" s="978"/>
      <c r="G3" s="978"/>
      <c r="H3" s="978"/>
      <c r="I3" s="978"/>
      <c r="J3" s="978"/>
      <c r="K3" s="978"/>
      <c r="L3" s="979"/>
      <c r="M3" s="980"/>
    </row>
    <row r="4" spans="1:13" ht="24" customHeight="1">
      <c r="A4" s="302" t="s">
        <v>497</v>
      </c>
      <c r="B4" s="396"/>
      <c r="C4" s="396"/>
      <c r="D4" s="396"/>
      <c r="E4" s="397"/>
      <c r="F4" s="981" t="s">
        <v>498</v>
      </c>
      <c r="G4" s="981"/>
      <c r="H4" s="981"/>
      <c r="I4" s="981"/>
      <c r="J4" s="981"/>
      <c r="K4" s="981"/>
      <c r="L4" s="981"/>
      <c r="M4" s="981"/>
    </row>
    <row r="5" spans="1:13" ht="24" customHeight="1">
      <c r="A5" s="398" t="s">
        <v>385</v>
      </c>
      <c r="B5" s="399"/>
      <c r="C5" s="399"/>
      <c r="D5" s="399"/>
      <c r="E5" s="400"/>
      <c r="F5" s="981"/>
      <c r="G5" s="981"/>
      <c r="H5" s="981"/>
      <c r="I5" s="981"/>
      <c r="J5" s="981"/>
      <c r="K5" s="981"/>
      <c r="L5" s="981"/>
      <c r="M5" s="981"/>
    </row>
    <row r="6" spans="1:13" ht="24" customHeight="1" thickBot="1">
      <c r="A6" s="401"/>
      <c r="B6" s="402"/>
      <c r="C6" s="402"/>
      <c r="D6" s="402"/>
      <c r="E6" s="403"/>
      <c r="F6" s="982"/>
      <c r="G6" s="982"/>
      <c r="H6" s="982"/>
      <c r="I6" s="982"/>
      <c r="J6" s="982"/>
      <c r="K6" s="982"/>
      <c r="L6" s="982"/>
      <c r="M6" s="982"/>
    </row>
    <row r="7" spans="1:13" ht="24" customHeight="1">
      <c r="A7" s="983" t="s">
        <v>497</v>
      </c>
      <c r="B7" s="983"/>
      <c r="C7" s="983"/>
      <c r="D7" s="984"/>
      <c r="E7" s="984"/>
      <c r="F7" s="404" t="s">
        <v>64</v>
      </c>
      <c r="G7" s="405"/>
      <c r="H7" s="405"/>
      <c r="I7" s="405"/>
      <c r="J7" s="405"/>
      <c r="K7" s="405"/>
      <c r="L7" s="406"/>
      <c r="M7" s="406"/>
    </row>
    <row r="8" spans="1:13" ht="24" customHeight="1">
      <c r="A8" s="983"/>
      <c r="B8" s="983"/>
      <c r="C8" s="983"/>
      <c r="D8" s="984"/>
      <c r="E8" s="984"/>
      <c r="F8" s="407" t="str">
        <f>'0422Master'!AP10</f>
        <v>INFOSYS  LTD.IL Pune SEZ Unit-II,Plot No. 24/3</v>
      </c>
      <c r="G8" s="399"/>
      <c r="H8" s="399"/>
      <c r="I8" s="399"/>
      <c r="J8" s="399"/>
      <c r="K8" s="399"/>
      <c r="L8" s="408"/>
      <c r="M8" s="408"/>
    </row>
    <row r="9" spans="1:13" ht="24" customHeight="1">
      <c r="A9" s="983"/>
      <c r="B9" s="983"/>
      <c r="C9" s="983"/>
      <c r="D9" s="984"/>
      <c r="E9" s="984"/>
      <c r="F9" s="504" t="s">
        <v>494</v>
      </c>
      <c r="G9" s="399"/>
      <c r="H9" s="399"/>
      <c r="I9" s="399"/>
      <c r="J9" s="399"/>
      <c r="K9" s="399"/>
      <c r="L9" s="408"/>
      <c r="M9" s="408"/>
    </row>
    <row r="10" spans="1:13" ht="24" customHeight="1" thickBot="1">
      <c r="A10" s="983"/>
      <c r="B10" s="983"/>
      <c r="C10" s="983"/>
      <c r="D10" s="984"/>
      <c r="E10" s="984"/>
      <c r="F10" s="410"/>
      <c r="G10" s="411"/>
      <c r="H10" s="411"/>
      <c r="I10" s="411"/>
      <c r="J10" s="411"/>
      <c r="K10" s="411"/>
      <c r="L10" s="412"/>
      <c r="M10" s="412"/>
    </row>
    <row r="11" spans="1:13" ht="24" customHeight="1">
      <c r="A11" s="985" t="s">
        <v>5</v>
      </c>
      <c r="B11" s="985" t="s">
        <v>474</v>
      </c>
      <c r="C11" s="985" t="s">
        <v>48</v>
      </c>
      <c r="D11" s="526" t="s">
        <v>496</v>
      </c>
      <c r="E11" s="987" t="s">
        <v>475</v>
      </c>
      <c r="F11" s="987" t="s">
        <v>476</v>
      </c>
      <c r="G11" s="987" t="s">
        <v>477</v>
      </c>
      <c r="H11" s="987" t="s">
        <v>43</v>
      </c>
      <c r="I11" s="987" t="s">
        <v>478</v>
      </c>
      <c r="J11" s="987" t="s">
        <v>479</v>
      </c>
      <c r="K11" s="985" t="s">
        <v>480</v>
      </c>
      <c r="L11" s="527"/>
      <c r="M11" s="989" t="s">
        <v>40</v>
      </c>
    </row>
    <row r="12" spans="1:13" ht="24" customHeight="1">
      <c r="A12" s="986"/>
      <c r="B12" s="986"/>
      <c r="C12" s="986"/>
      <c r="D12" s="413"/>
      <c r="E12" s="988"/>
      <c r="F12" s="988"/>
      <c r="G12" s="988"/>
      <c r="H12" s="988"/>
      <c r="I12" s="988"/>
      <c r="J12" s="988"/>
      <c r="K12" s="986"/>
      <c r="L12" s="526" t="s">
        <v>481</v>
      </c>
      <c r="M12" s="985"/>
    </row>
    <row r="13" spans="1:13">
      <c r="A13" s="414">
        <v>1</v>
      </c>
      <c r="B13" s="414">
        <v>2</v>
      </c>
      <c r="C13" s="414">
        <v>3</v>
      </c>
      <c r="D13" s="414"/>
      <c r="E13" s="414">
        <v>4</v>
      </c>
      <c r="F13" s="414">
        <v>5</v>
      </c>
      <c r="G13" s="414">
        <v>6</v>
      </c>
      <c r="H13" s="414">
        <v>7</v>
      </c>
      <c r="I13" s="414">
        <v>8</v>
      </c>
      <c r="J13" s="414">
        <v>9</v>
      </c>
      <c r="K13" s="414">
        <v>10</v>
      </c>
      <c r="L13" s="414"/>
      <c r="M13" s="414">
        <v>11</v>
      </c>
    </row>
    <row r="14" spans="1:13" ht="67.5" customHeight="1">
      <c r="A14" s="415">
        <v>1</v>
      </c>
      <c r="B14" s="416" t="s">
        <v>523</v>
      </c>
      <c r="C14" s="417">
        <v>31356</v>
      </c>
      <c r="D14" s="418" t="s">
        <v>499</v>
      </c>
      <c r="E14" s="419" t="s">
        <v>524</v>
      </c>
      <c r="F14" s="420" t="s">
        <v>525</v>
      </c>
      <c r="G14" s="421" t="s">
        <v>526</v>
      </c>
      <c r="H14" s="422" t="s">
        <v>526</v>
      </c>
      <c r="I14" s="423">
        <v>43160</v>
      </c>
      <c r="J14" s="424"/>
      <c r="K14" s="425">
        <v>43630</v>
      </c>
      <c r="L14" s="426" t="s">
        <v>527</v>
      </c>
      <c r="M14" s="394"/>
    </row>
    <row r="15" spans="1:13" ht="67.5" customHeight="1">
      <c r="A15" s="415">
        <v>2</v>
      </c>
      <c r="B15" s="416" t="s">
        <v>528</v>
      </c>
      <c r="C15" s="427" t="s">
        <v>529</v>
      </c>
      <c r="D15" s="427" t="s">
        <v>499</v>
      </c>
      <c r="E15" s="419" t="s">
        <v>530</v>
      </c>
      <c r="F15" s="420" t="s">
        <v>525</v>
      </c>
      <c r="G15" s="421" t="s">
        <v>531</v>
      </c>
      <c r="H15" s="421" t="s">
        <v>531</v>
      </c>
      <c r="I15" s="423">
        <v>43160</v>
      </c>
      <c r="J15" s="424"/>
      <c r="K15" s="425">
        <v>43644</v>
      </c>
      <c r="L15" s="426" t="s">
        <v>527</v>
      </c>
      <c r="M15" s="394"/>
    </row>
    <row r="16" spans="1:13" ht="67.5" customHeight="1">
      <c r="A16" s="415">
        <v>3</v>
      </c>
      <c r="B16" s="416" t="s">
        <v>532</v>
      </c>
      <c r="C16" s="427" t="s">
        <v>533</v>
      </c>
      <c r="D16" s="427" t="s">
        <v>499</v>
      </c>
      <c r="E16" s="419" t="s">
        <v>534</v>
      </c>
      <c r="F16" s="420" t="s">
        <v>535</v>
      </c>
      <c r="G16" s="421" t="s">
        <v>536</v>
      </c>
      <c r="H16" s="421" t="s">
        <v>536</v>
      </c>
      <c r="I16" s="428">
        <v>43160</v>
      </c>
      <c r="J16" s="424"/>
      <c r="K16" s="425">
        <v>43553</v>
      </c>
      <c r="L16" s="426" t="s">
        <v>527</v>
      </c>
      <c r="M16" s="394"/>
    </row>
    <row r="17" spans="1:13" ht="67.5" customHeight="1">
      <c r="A17" s="415">
        <v>4</v>
      </c>
      <c r="B17" s="416" t="s">
        <v>537</v>
      </c>
      <c r="C17" s="417">
        <v>31870</v>
      </c>
      <c r="D17" s="427" t="s">
        <v>499</v>
      </c>
      <c r="E17" s="419" t="s">
        <v>538</v>
      </c>
      <c r="F17" s="420" t="s">
        <v>535</v>
      </c>
      <c r="G17" s="421" t="s">
        <v>539</v>
      </c>
      <c r="H17" s="421" t="s">
        <v>539</v>
      </c>
      <c r="I17" s="423">
        <v>43193</v>
      </c>
      <c r="J17" s="424"/>
      <c r="K17" s="425">
        <v>43496</v>
      </c>
      <c r="L17" s="426" t="s">
        <v>527</v>
      </c>
      <c r="M17" s="394"/>
    </row>
    <row r="18" spans="1:13" ht="67.5" customHeight="1">
      <c r="A18" s="415">
        <v>5</v>
      </c>
      <c r="B18" s="416" t="s">
        <v>540</v>
      </c>
      <c r="C18" s="427" t="s">
        <v>541</v>
      </c>
      <c r="D18" s="427" t="s">
        <v>499</v>
      </c>
      <c r="E18" s="419" t="s">
        <v>542</v>
      </c>
      <c r="F18" s="420" t="s">
        <v>535</v>
      </c>
      <c r="G18" s="421" t="s">
        <v>543</v>
      </c>
      <c r="H18" s="421" t="s">
        <v>543</v>
      </c>
      <c r="I18" s="423">
        <v>43194</v>
      </c>
      <c r="J18" s="424"/>
      <c r="K18" s="425">
        <v>43511</v>
      </c>
      <c r="L18" s="426" t="s">
        <v>527</v>
      </c>
      <c r="M18" s="394"/>
    </row>
    <row r="19" spans="1:13" ht="67.5" customHeight="1">
      <c r="A19" s="415">
        <v>6</v>
      </c>
      <c r="B19" s="416" t="s">
        <v>544</v>
      </c>
      <c r="C19" s="429" t="s">
        <v>545</v>
      </c>
      <c r="D19" s="427" t="s">
        <v>499</v>
      </c>
      <c r="E19" s="430" t="s">
        <v>546</v>
      </c>
      <c r="F19" s="420" t="s">
        <v>535</v>
      </c>
      <c r="G19" s="431" t="s">
        <v>547</v>
      </c>
      <c r="H19" s="431" t="s">
        <v>547</v>
      </c>
      <c r="I19" s="423">
        <v>43208</v>
      </c>
      <c r="J19" s="424"/>
      <c r="K19" s="425">
        <v>43560</v>
      </c>
      <c r="L19" s="426" t="s">
        <v>527</v>
      </c>
      <c r="M19" s="394"/>
    </row>
    <row r="20" spans="1:13" ht="67.5" customHeight="1">
      <c r="A20" s="415">
        <v>7</v>
      </c>
      <c r="B20" s="416" t="s">
        <v>548</v>
      </c>
      <c r="C20" s="432" t="s">
        <v>549</v>
      </c>
      <c r="D20" s="427" t="s">
        <v>499</v>
      </c>
      <c r="E20" s="430" t="s">
        <v>550</v>
      </c>
      <c r="F20" s="420" t="s">
        <v>551</v>
      </c>
      <c r="G20" s="431" t="s">
        <v>552</v>
      </c>
      <c r="H20" s="431" t="s">
        <v>552</v>
      </c>
      <c r="I20" s="423">
        <v>43194</v>
      </c>
      <c r="J20" s="424"/>
      <c r="K20" s="425">
        <v>43599</v>
      </c>
      <c r="L20" s="426" t="s">
        <v>527</v>
      </c>
      <c r="M20" s="394"/>
    </row>
    <row r="21" spans="1:13" ht="67.5" customHeight="1">
      <c r="A21" s="415">
        <v>8</v>
      </c>
      <c r="B21" s="416" t="s">
        <v>553</v>
      </c>
      <c r="C21" s="417">
        <v>31206</v>
      </c>
      <c r="D21" s="427" t="s">
        <v>499</v>
      </c>
      <c r="E21" s="433" t="s">
        <v>554</v>
      </c>
      <c r="F21" s="420" t="s">
        <v>535</v>
      </c>
      <c r="G21" s="434" t="s">
        <v>555</v>
      </c>
      <c r="H21" s="434" t="s">
        <v>555</v>
      </c>
      <c r="I21" s="423">
        <v>43221</v>
      </c>
      <c r="J21" s="424"/>
      <c r="K21" s="425">
        <v>43552</v>
      </c>
      <c r="L21" s="426" t="s">
        <v>527</v>
      </c>
      <c r="M21" s="394"/>
    </row>
    <row r="22" spans="1:13" ht="67.5" customHeight="1">
      <c r="A22" s="415">
        <v>9</v>
      </c>
      <c r="B22" s="416" t="s">
        <v>556</v>
      </c>
      <c r="C22" s="417">
        <v>31513</v>
      </c>
      <c r="D22" s="427" t="s">
        <v>499</v>
      </c>
      <c r="E22" s="419" t="s">
        <v>557</v>
      </c>
      <c r="F22" s="420" t="s">
        <v>558</v>
      </c>
      <c r="G22" s="421" t="s">
        <v>559</v>
      </c>
      <c r="H22" s="421" t="s">
        <v>559</v>
      </c>
      <c r="I22" s="423">
        <v>43236</v>
      </c>
      <c r="J22" s="424"/>
      <c r="K22" s="425">
        <v>43644</v>
      </c>
      <c r="L22" s="426" t="s">
        <v>527</v>
      </c>
      <c r="M22" s="394"/>
    </row>
    <row r="23" spans="1:13" ht="67.5" customHeight="1">
      <c r="A23" s="415">
        <v>10</v>
      </c>
      <c r="B23" s="416" t="s">
        <v>560</v>
      </c>
      <c r="C23" s="427" t="s">
        <v>561</v>
      </c>
      <c r="D23" s="427" t="s">
        <v>499</v>
      </c>
      <c r="E23" s="419" t="s">
        <v>562</v>
      </c>
      <c r="F23" s="420" t="s">
        <v>563</v>
      </c>
      <c r="G23" s="421" t="s">
        <v>564</v>
      </c>
      <c r="H23" s="421" t="s">
        <v>564</v>
      </c>
      <c r="I23" s="423">
        <v>43241</v>
      </c>
      <c r="J23" s="435"/>
      <c r="K23" s="436">
        <v>43539</v>
      </c>
      <c r="L23" s="426" t="s">
        <v>527</v>
      </c>
      <c r="M23" s="395"/>
    </row>
    <row r="24" spans="1:13" ht="67.5" customHeight="1">
      <c r="A24" s="415">
        <v>11</v>
      </c>
      <c r="B24" s="416" t="s">
        <v>565</v>
      </c>
      <c r="C24" s="417">
        <v>30804</v>
      </c>
      <c r="D24" s="427" t="s">
        <v>499</v>
      </c>
      <c r="E24" s="419" t="s">
        <v>566</v>
      </c>
      <c r="F24" s="420" t="s">
        <v>535</v>
      </c>
      <c r="G24" s="421" t="s">
        <v>567</v>
      </c>
      <c r="H24" s="421" t="s">
        <v>567</v>
      </c>
      <c r="I24" s="423">
        <v>43248</v>
      </c>
      <c r="J24" s="437"/>
      <c r="K24" s="438">
        <v>43532</v>
      </c>
      <c r="L24" s="426" t="s">
        <v>527</v>
      </c>
      <c r="M24" s="289"/>
    </row>
    <row r="25" spans="1:13" ht="67.5" customHeight="1">
      <c r="A25" s="415">
        <v>12</v>
      </c>
      <c r="B25" s="416" t="s">
        <v>568</v>
      </c>
      <c r="C25" s="427" t="s">
        <v>569</v>
      </c>
      <c r="D25" s="427" t="s">
        <v>499</v>
      </c>
      <c r="E25" s="419" t="s">
        <v>570</v>
      </c>
      <c r="F25" s="420" t="s">
        <v>525</v>
      </c>
      <c r="G25" s="421" t="s">
        <v>571</v>
      </c>
      <c r="H25" s="421" t="s">
        <v>571</v>
      </c>
      <c r="I25" s="423">
        <v>43248</v>
      </c>
      <c r="J25" s="437"/>
      <c r="K25" s="438">
        <v>43602</v>
      </c>
      <c r="L25" s="426" t="s">
        <v>527</v>
      </c>
      <c r="M25" s="289"/>
    </row>
    <row r="26" spans="1:13" ht="67.5" customHeight="1">
      <c r="A26" s="415">
        <v>13</v>
      </c>
      <c r="B26" s="416" t="s">
        <v>572</v>
      </c>
      <c r="C26" s="427" t="s">
        <v>573</v>
      </c>
      <c r="D26" s="427" t="s">
        <v>499</v>
      </c>
      <c r="E26" s="419" t="s">
        <v>574</v>
      </c>
      <c r="F26" s="420" t="s">
        <v>525</v>
      </c>
      <c r="G26" s="421" t="s">
        <v>575</v>
      </c>
      <c r="H26" s="421" t="s">
        <v>575</v>
      </c>
      <c r="I26" s="423">
        <v>43258</v>
      </c>
      <c r="J26" s="437"/>
      <c r="K26" s="438">
        <v>43595</v>
      </c>
      <c r="L26" s="426" t="s">
        <v>527</v>
      </c>
      <c r="M26" s="289"/>
    </row>
    <row r="27" spans="1:13" ht="67.5" customHeight="1">
      <c r="A27" s="415">
        <v>14</v>
      </c>
      <c r="B27" s="416" t="s">
        <v>576</v>
      </c>
      <c r="C27" s="417">
        <v>31233</v>
      </c>
      <c r="D27" s="427" t="s">
        <v>499</v>
      </c>
      <c r="E27" s="419" t="s">
        <v>577</v>
      </c>
      <c r="F27" s="420" t="s">
        <v>578</v>
      </c>
      <c r="G27" s="421" t="s">
        <v>579</v>
      </c>
      <c r="H27" s="421" t="s">
        <v>579</v>
      </c>
      <c r="I27" s="423">
        <v>43262</v>
      </c>
      <c r="J27" s="437"/>
      <c r="K27" s="438">
        <v>43630</v>
      </c>
      <c r="L27" s="426" t="s">
        <v>527</v>
      </c>
      <c r="M27" s="289"/>
    </row>
    <row r="28" spans="1:13" ht="67.5" customHeight="1">
      <c r="A28" s="415">
        <v>15</v>
      </c>
      <c r="B28" s="416" t="s">
        <v>580</v>
      </c>
      <c r="C28" s="427" t="s">
        <v>581</v>
      </c>
      <c r="D28" s="427" t="s">
        <v>499</v>
      </c>
      <c r="E28" s="419" t="s">
        <v>582</v>
      </c>
      <c r="F28" s="420" t="s">
        <v>535</v>
      </c>
      <c r="G28" s="421" t="s">
        <v>583</v>
      </c>
      <c r="H28" s="421" t="s">
        <v>583</v>
      </c>
      <c r="I28" s="423">
        <v>43263</v>
      </c>
      <c r="J28" s="437"/>
      <c r="K28" s="438">
        <v>43504</v>
      </c>
      <c r="L28" s="426" t="s">
        <v>527</v>
      </c>
      <c r="M28" s="289"/>
    </row>
    <row r="29" spans="1:13" ht="67.5" customHeight="1">
      <c r="A29" s="415">
        <v>16</v>
      </c>
      <c r="B29" s="416" t="s">
        <v>584</v>
      </c>
      <c r="C29" s="427" t="s">
        <v>585</v>
      </c>
      <c r="D29" s="427" t="s">
        <v>499</v>
      </c>
      <c r="E29" s="419" t="s">
        <v>586</v>
      </c>
      <c r="F29" s="420" t="s">
        <v>525</v>
      </c>
      <c r="G29" s="421" t="s">
        <v>587</v>
      </c>
      <c r="H29" s="421" t="s">
        <v>587</v>
      </c>
      <c r="I29" s="423">
        <v>43271</v>
      </c>
      <c r="J29" s="437"/>
      <c r="K29" s="438">
        <v>43623</v>
      </c>
      <c r="L29" s="426" t="s">
        <v>527</v>
      </c>
      <c r="M29" s="289"/>
    </row>
    <row r="30" spans="1:13" ht="67.5" customHeight="1">
      <c r="A30" s="415">
        <v>17</v>
      </c>
      <c r="B30" s="416" t="s">
        <v>588</v>
      </c>
      <c r="C30" s="427" t="s">
        <v>589</v>
      </c>
      <c r="D30" s="427" t="s">
        <v>499</v>
      </c>
      <c r="E30" s="419" t="s">
        <v>590</v>
      </c>
      <c r="F30" s="420" t="s">
        <v>535</v>
      </c>
      <c r="G30" s="421" t="s">
        <v>591</v>
      </c>
      <c r="H30" s="421" t="s">
        <v>591</v>
      </c>
      <c r="I30" s="423">
        <v>43271</v>
      </c>
      <c r="J30" s="437"/>
      <c r="K30" s="438">
        <v>43490</v>
      </c>
      <c r="L30" s="426" t="s">
        <v>527</v>
      </c>
      <c r="M30" s="289"/>
    </row>
    <row r="31" spans="1:13" ht="67.5" customHeight="1">
      <c r="A31" s="415">
        <v>18</v>
      </c>
      <c r="B31" s="416" t="s">
        <v>592</v>
      </c>
      <c r="C31" s="427" t="s">
        <v>593</v>
      </c>
      <c r="D31" s="427" t="s">
        <v>499</v>
      </c>
      <c r="E31" s="419" t="s">
        <v>594</v>
      </c>
      <c r="F31" s="420" t="s">
        <v>535</v>
      </c>
      <c r="G31" s="421" t="s">
        <v>595</v>
      </c>
      <c r="H31" s="421" t="s">
        <v>595</v>
      </c>
      <c r="I31" s="423">
        <v>43276</v>
      </c>
      <c r="J31" s="437"/>
      <c r="K31" s="438">
        <v>43616</v>
      </c>
      <c r="L31" s="426" t="s">
        <v>527</v>
      </c>
      <c r="M31" s="289"/>
    </row>
    <row r="32" spans="1:13" ht="67.5" customHeight="1">
      <c r="A32" s="415">
        <v>19</v>
      </c>
      <c r="B32" s="416" t="s">
        <v>596</v>
      </c>
      <c r="C32" s="427" t="s">
        <v>597</v>
      </c>
      <c r="D32" s="427" t="s">
        <v>499</v>
      </c>
      <c r="E32" s="419" t="s">
        <v>598</v>
      </c>
      <c r="F32" s="420" t="s">
        <v>535</v>
      </c>
      <c r="G32" s="421" t="s">
        <v>599</v>
      </c>
      <c r="H32" s="421" t="s">
        <v>599</v>
      </c>
      <c r="I32" s="423">
        <v>43276</v>
      </c>
      <c r="J32" s="437"/>
      <c r="K32" s="438">
        <v>43616</v>
      </c>
      <c r="L32" s="426" t="s">
        <v>527</v>
      </c>
      <c r="M32" s="289"/>
    </row>
    <row r="33" spans="1:13" ht="67.5" customHeight="1">
      <c r="A33" s="415">
        <v>20</v>
      </c>
      <c r="B33" s="416" t="s">
        <v>600</v>
      </c>
      <c r="C33" s="427" t="s">
        <v>601</v>
      </c>
      <c r="D33" s="427" t="s">
        <v>499</v>
      </c>
      <c r="E33" s="419" t="s">
        <v>602</v>
      </c>
      <c r="F33" s="420" t="s">
        <v>525</v>
      </c>
      <c r="G33" s="439" t="s">
        <v>603</v>
      </c>
      <c r="H33" s="439" t="s">
        <v>603</v>
      </c>
      <c r="I33" s="440">
        <v>43285</v>
      </c>
      <c r="J33" s="437"/>
      <c r="K33" s="438">
        <v>43630</v>
      </c>
      <c r="L33" s="426" t="s">
        <v>527</v>
      </c>
      <c r="M33" s="289"/>
    </row>
    <row r="34" spans="1:13" ht="67.5" customHeight="1">
      <c r="A34" s="415">
        <v>21</v>
      </c>
      <c r="B34" s="416" t="s">
        <v>604</v>
      </c>
      <c r="C34" s="417">
        <v>33851</v>
      </c>
      <c r="D34" s="427" t="s">
        <v>499</v>
      </c>
      <c r="E34" s="419" t="s">
        <v>605</v>
      </c>
      <c r="F34" s="420" t="s">
        <v>606</v>
      </c>
      <c r="G34" s="441" t="s">
        <v>607</v>
      </c>
      <c r="H34" s="441" t="s">
        <v>607</v>
      </c>
      <c r="I34" s="440">
        <v>43286</v>
      </c>
      <c r="J34" s="437"/>
      <c r="K34" s="438">
        <v>43644</v>
      </c>
      <c r="L34" s="426" t="s">
        <v>527</v>
      </c>
      <c r="M34" s="289"/>
    </row>
    <row r="35" spans="1:13" ht="67.5" customHeight="1">
      <c r="A35" s="415">
        <v>22</v>
      </c>
      <c r="B35" s="416" t="s">
        <v>608</v>
      </c>
      <c r="C35" s="417">
        <v>33189</v>
      </c>
      <c r="D35" s="427" t="s">
        <v>499</v>
      </c>
      <c r="E35" s="419" t="s">
        <v>609</v>
      </c>
      <c r="F35" s="420" t="s">
        <v>535</v>
      </c>
      <c r="G35" s="442" t="s">
        <v>610</v>
      </c>
      <c r="H35" s="442" t="s">
        <v>610</v>
      </c>
      <c r="I35" s="440">
        <v>43283</v>
      </c>
      <c r="J35" s="437"/>
      <c r="K35" s="438">
        <v>43665</v>
      </c>
      <c r="L35" s="426" t="s">
        <v>527</v>
      </c>
      <c r="M35" s="289"/>
    </row>
    <row r="36" spans="1:13" ht="67.5" customHeight="1">
      <c r="A36" s="415">
        <v>23</v>
      </c>
      <c r="B36" s="416" t="s">
        <v>611</v>
      </c>
      <c r="C36" s="427" t="s">
        <v>612</v>
      </c>
      <c r="D36" s="427" t="s">
        <v>499</v>
      </c>
      <c r="E36" s="419" t="s">
        <v>613</v>
      </c>
      <c r="F36" s="420" t="s">
        <v>535</v>
      </c>
      <c r="G36" s="421" t="s">
        <v>614</v>
      </c>
      <c r="H36" s="421" t="s">
        <v>614</v>
      </c>
      <c r="I36" s="440">
        <v>43290</v>
      </c>
      <c r="J36" s="437"/>
      <c r="K36" s="438">
        <v>43707</v>
      </c>
      <c r="L36" s="426" t="s">
        <v>527</v>
      </c>
      <c r="M36" s="289"/>
    </row>
    <row r="37" spans="1:13" ht="67.5" customHeight="1">
      <c r="A37" s="415">
        <v>24</v>
      </c>
      <c r="B37" s="416" t="s">
        <v>615</v>
      </c>
      <c r="C37" s="427" t="s">
        <v>616</v>
      </c>
      <c r="D37" s="427" t="s">
        <v>499</v>
      </c>
      <c r="E37" s="419" t="s">
        <v>605</v>
      </c>
      <c r="F37" s="420" t="s">
        <v>535</v>
      </c>
      <c r="G37" s="421" t="s">
        <v>617</v>
      </c>
      <c r="H37" s="421" t="s">
        <v>617</v>
      </c>
      <c r="I37" s="440">
        <v>43293</v>
      </c>
      <c r="J37" s="437"/>
      <c r="K37" s="438">
        <v>43623</v>
      </c>
      <c r="L37" s="426" t="s">
        <v>527</v>
      </c>
      <c r="M37" s="289"/>
    </row>
    <row r="38" spans="1:13" ht="67.5" customHeight="1">
      <c r="A38" s="415">
        <v>25</v>
      </c>
      <c r="B38" s="416" t="s">
        <v>618</v>
      </c>
      <c r="C38" s="427" t="s">
        <v>619</v>
      </c>
      <c r="D38" s="427" t="s">
        <v>499</v>
      </c>
      <c r="E38" s="419" t="s">
        <v>620</v>
      </c>
      <c r="F38" s="420" t="s">
        <v>535</v>
      </c>
      <c r="G38" s="443" t="s">
        <v>621</v>
      </c>
      <c r="H38" s="443" t="s">
        <v>621</v>
      </c>
      <c r="I38" s="440">
        <v>43297</v>
      </c>
      <c r="J38" s="437"/>
      <c r="K38" s="438">
        <v>43658</v>
      </c>
      <c r="L38" s="426" t="s">
        <v>527</v>
      </c>
      <c r="M38" s="289"/>
    </row>
    <row r="39" spans="1:13" ht="67.5" customHeight="1">
      <c r="A39" s="415">
        <v>26</v>
      </c>
      <c r="B39" s="416" t="s">
        <v>622</v>
      </c>
      <c r="C39" s="417">
        <v>33851</v>
      </c>
      <c r="D39" s="427" t="s">
        <v>499</v>
      </c>
      <c r="E39" s="419" t="s">
        <v>623</v>
      </c>
      <c r="F39" s="420" t="s">
        <v>535</v>
      </c>
      <c r="G39" s="441" t="s">
        <v>607</v>
      </c>
      <c r="H39" s="441" t="s">
        <v>607</v>
      </c>
      <c r="I39" s="440">
        <v>43297</v>
      </c>
      <c r="J39" s="437"/>
      <c r="K39" s="438">
        <v>43623</v>
      </c>
      <c r="L39" s="426" t="s">
        <v>527</v>
      </c>
      <c r="M39" s="289"/>
    </row>
    <row r="40" spans="1:13" ht="67.5" customHeight="1">
      <c r="A40" s="415">
        <v>27</v>
      </c>
      <c r="B40" s="416" t="s">
        <v>624</v>
      </c>
      <c r="C40" s="417">
        <v>33096</v>
      </c>
      <c r="D40" s="427" t="s">
        <v>499</v>
      </c>
      <c r="E40" s="419" t="s">
        <v>625</v>
      </c>
      <c r="F40" s="420" t="s">
        <v>535</v>
      </c>
      <c r="G40" s="421" t="s">
        <v>626</v>
      </c>
      <c r="H40" s="421" t="s">
        <v>626</v>
      </c>
      <c r="I40" s="440">
        <v>43299</v>
      </c>
      <c r="J40" s="437"/>
      <c r="K40" s="438">
        <v>43630</v>
      </c>
      <c r="L40" s="426" t="s">
        <v>527</v>
      </c>
      <c r="M40" s="289"/>
    </row>
    <row r="41" spans="1:13" ht="67.5" customHeight="1">
      <c r="A41" s="415">
        <v>28</v>
      </c>
      <c r="B41" s="416" t="s">
        <v>627</v>
      </c>
      <c r="C41" s="427" t="s">
        <v>628</v>
      </c>
      <c r="D41" s="427" t="s">
        <v>499</v>
      </c>
      <c r="E41" s="433" t="s">
        <v>629</v>
      </c>
      <c r="F41" s="420" t="s">
        <v>535</v>
      </c>
      <c r="G41" s="444" t="s">
        <v>630</v>
      </c>
      <c r="H41" s="444" t="s">
        <v>630</v>
      </c>
      <c r="I41" s="423">
        <v>43300</v>
      </c>
      <c r="J41" s="437"/>
      <c r="K41" s="438">
        <v>43637</v>
      </c>
      <c r="L41" s="426" t="s">
        <v>527</v>
      </c>
      <c r="M41" s="289"/>
    </row>
    <row r="42" spans="1:13" ht="67.5" customHeight="1">
      <c r="A42" s="415">
        <v>29</v>
      </c>
      <c r="B42" s="416" t="s">
        <v>631</v>
      </c>
      <c r="C42" s="417">
        <v>32697</v>
      </c>
      <c r="D42" s="427" t="s">
        <v>499</v>
      </c>
      <c r="E42" s="419" t="s">
        <v>632</v>
      </c>
      <c r="F42" s="420" t="s">
        <v>535</v>
      </c>
      <c r="G42" s="439" t="s">
        <v>633</v>
      </c>
      <c r="H42" s="439" t="s">
        <v>633</v>
      </c>
      <c r="I42" s="423">
        <v>43304</v>
      </c>
      <c r="J42" s="437"/>
      <c r="K42" s="438">
        <v>43630</v>
      </c>
      <c r="L42" s="426" t="s">
        <v>527</v>
      </c>
      <c r="M42" s="289"/>
    </row>
    <row r="43" spans="1:13" ht="67.5" customHeight="1">
      <c r="A43" s="415">
        <v>30</v>
      </c>
      <c r="B43" s="416" t="s">
        <v>634</v>
      </c>
      <c r="C43" s="417">
        <v>34094</v>
      </c>
      <c r="D43" s="427" t="s">
        <v>499</v>
      </c>
      <c r="E43" s="419" t="s">
        <v>635</v>
      </c>
      <c r="F43" s="420" t="s">
        <v>636</v>
      </c>
      <c r="G43" s="421" t="s">
        <v>637</v>
      </c>
      <c r="H43" s="421" t="s">
        <v>637</v>
      </c>
      <c r="I43" s="423">
        <v>43306</v>
      </c>
      <c r="J43" s="437"/>
      <c r="K43" s="438">
        <v>43637</v>
      </c>
      <c r="L43" s="426" t="s">
        <v>527</v>
      </c>
      <c r="M43" s="289"/>
    </row>
    <row r="44" spans="1:13" ht="67.5" customHeight="1">
      <c r="A44" s="415">
        <v>31</v>
      </c>
      <c r="B44" s="416" t="s">
        <v>638</v>
      </c>
      <c r="C44" s="417">
        <v>34306</v>
      </c>
      <c r="D44" s="427" t="s">
        <v>499</v>
      </c>
      <c r="E44" s="419" t="s">
        <v>639</v>
      </c>
      <c r="F44" s="420" t="s">
        <v>535</v>
      </c>
      <c r="G44" s="421" t="s">
        <v>640</v>
      </c>
      <c r="H44" s="421" t="s">
        <v>640</v>
      </c>
      <c r="I44" s="423">
        <v>43332</v>
      </c>
      <c r="J44" s="437"/>
      <c r="K44" s="438">
        <v>43490</v>
      </c>
      <c r="L44" s="426" t="s">
        <v>527</v>
      </c>
      <c r="M44" s="289"/>
    </row>
    <row r="45" spans="1:13" ht="67.5" customHeight="1">
      <c r="A45" s="415">
        <v>32</v>
      </c>
      <c r="B45" s="416" t="s">
        <v>641</v>
      </c>
      <c r="C45" s="417">
        <v>34211</v>
      </c>
      <c r="D45" s="427" t="s">
        <v>499</v>
      </c>
      <c r="E45" s="419" t="s">
        <v>642</v>
      </c>
      <c r="F45" s="420" t="s">
        <v>535</v>
      </c>
      <c r="G45" s="421" t="s">
        <v>643</v>
      </c>
      <c r="H45" s="421" t="s">
        <v>643</v>
      </c>
      <c r="I45" s="423">
        <v>43346</v>
      </c>
      <c r="J45" s="437"/>
      <c r="K45" s="438">
        <v>43714</v>
      </c>
      <c r="L45" s="426" t="s">
        <v>527</v>
      </c>
      <c r="M45" s="289"/>
    </row>
    <row r="46" spans="1:13" ht="67.5" customHeight="1">
      <c r="A46" s="415">
        <v>33</v>
      </c>
      <c r="B46" s="416" t="s">
        <v>644</v>
      </c>
      <c r="C46" s="417">
        <v>32876</v>
      </c>
      <c r="D46" s="427" t="s">
        <v>499</v>
      </c>
      <c r="E46" s="419" t="s">
        <v>645</v>
      </c>
      <c r="F46" s="420" t="s">
        <v>535</v>
      </c>
      <c r="G46" s="421" t="s">
        <v>646</v>
      </c>
      <c r="H46" s="421" t="s">
        <v>646</v>
      </c>
      <c r="I46" s="423">
        <v>43355</v>
      </c>
      <c r="J46" s="437"/>
      <c r="K46" s="438">
        <v>43518</v>
      </c>
      <c r="L46" s="426" t="s">
        <v>527</v>
      </c>
      <c r="M46" s="289"/>
    </row>
    <row r="47" spans="1:13" ht="67.5" customHeight="1">
      <c r="A47" s="415">
        <v>34</v>
      </c>
      <c r="B47" s="416" t="s">
        <v>647</v>
      </c>
      <c r="C47" s="417">
        <v>32370</v>
      </c>
      <c r="D47" s="427" t="s">
        <v>499</v>
      </c>
      <c r="E47" s="419" t="s">
        <v>648</v>
      </c>
      <c r="F47" s="420" t="s">
        <v>525</v>
      </c>
      <c r="G47" s="445" t="s">
        <v>649</v>
      </c>
      <c r="H47" s="445" t="s">
        <v>649</v>
      </c>
      <c r="I47" s="423">
        <v>43360</v>
      </c>
      <c r="J47" s="437"/>
      <c r="K47" s="438">
        <v>43693</v>
      </c>
      <c r="L47" s="426" t="s">
        <v>527</v>
      </c>
      <c r="M47" s="289"/>
    </row>
    <row r="48" spans="1:13" ht="67.5" customHeight="1">
      <c r="A48" s="415">
        <v>35</v>
      </c>
      <c r="B48" s="416" t="s">
        <v>650</v>
      </c>
      <c r="C48" s="417">
        <v>30832</v>
      </c>
      <c r="D48" s="427" t="s">
        <v>499</v>
      </c>
      <c r="E48" s="419" t="s">
        <v>651</v>
      </c>
      <c r="F48" s="420" t="s">
        <v>525</v>
      </c>
      <c r="G48" s="421" t="s">
        <v>652</v>
      </c>
      <c r="H48" s="421" t="s">
        <v>652</v>
      </c>
      <c r="I48" s="423">
        <v>43378</v>
      </c>
      <c r="J48" s="437"/>
      <c r="K48" s="438">
        <v>43714</v>
      </c>
      <c r="L48" s="426" t="s">
        <v>527</v>
      </c>
      <c r="M48" s="289"/>
    </row>
    <row r="49" spans="1:13" ht="67.5" customHeight="1">
      <c r="A49" s="415">
        <v>36</v>
      </c>
      <c r="B49" s="416" t="s">
        <v>653</v>
      </c>
      <c r="C49" s="417">
        <v>31934</v>
      </c>
      <c r="D49" s="427" t="s">
        <v>499</v>
      </c>
      <c r="E49" s="419" t="s">
        <v>654</v>
      </c>
      <c r="F49" s="420" t="s">
        <v>525</v>
      </c>
      <c r="G49" s="421" t="s">
        <v>655</v>
      </c>
      <c r="H49" s="421" t="s">
        <v>655</v>
      </c>
      <c r="I49" s="423">
        <v>43395</v>
      </c>
      <c r="J49" s="437"/>
      <c r="K49" s="438">
        <v>43714</v>
      </c>
      <c r="L49" s="426" t="s">
        <v>527</v>
      </c>
      <c r="M49" s="289"/>
    </row>
    <row r="50" spans="1:13" ht="67.5" customHeight="1">
      <c r="A50" s="415">
        <v>37</v>
      </c>
      <c r="B50" s="416" t="s">
        <v>656</v>
      </c>
      <c r="C50" s="417">
        <v>32326</v>
      </c>
      <c r="D50" s="427" t="s">
        <v>499</v>
      </c>
      <c r="E50" s="419" t="s">
        <v>657</v>
      </c>
      <c r="F50" s="420" t="s">
        <v>525</v>
      </c>
      <c r="G50" s="421" t="s">
        <v>658</v>
      </c>
      <c r="H50" s="421" t="s">
        <v>658</v>
      </c>
      <c r="I50" s="423">
        <v>43395</v>
      </c>
      <c r="J50" s="437"/>
      <c r="K50" s="438">
        <v>43700</v>
      </c>
      <c r="L50" s="426" t="s">
        <v>527</v>
      </c>
      <c r="M50" s="289"/>
    </row>
    <row r="51" spans="1:13" ht="67.5" customHeight="1">
      <c r="A51" s="415">
        <v>38</v>
      </c>
      <c r="B51" s="416" t="s">
        <v>659</v>
      </c>
      <c r="C51" s="417">
        <v>31903</v>
      </c>
      <c r="D51" s="427" t="s">
        <v>499</v>
      </c>
      <c r="E51" s="419" t="s">
        <v>660</v>
      </c>
      <c r="F51" s="420" t="s">
        <v>525</v>
      </c>
      <c r="G51" s="445" t="s">
        <v>661</v>
      </c>
      <c r="H51" s="445" t="s">
        <v>661</v>
      </c>
      <c r="I51" s="423">
        <v>43398</v>
      </c>
      <c r="J51" s="437"/>
      <c r="K51" s="438">
        <v>43700</v>
      </c>
      <c r="L51" s="426" t="s">
        <v>527</v>
      </c>
      <c r="M51" s="289"/>
    </row>
    <row r="52" spans="1:13" ht="67.5" customHeight="1">
      <c r="A52" s="415">
        <v>39</v>
      </c>
      <c r="B52" s="416" t="s">
        <v>662</v>
      </c>
      <c r="C52" s="417">
        <v>32544</v>
      </c>
      <c r="D52" s="427" t="s">
        <v>663</v>
      </c>
      <c r="E52" s="419" t="s">
        <v>664</v>
      </c>
      <c r="F52" s="420" t="s">
        <v>525</v>
      </c>
      <c r="G52" s="446" t="s">
        <v>665</v>
      </c>
      <c r="H52" s="446" t="s">
        <v>666</v>
      </c>
      <c r="I52" s="423">
        <v>43416</v>
      </c>
      <c r="J52" s="437"/>
      <c r="K52" s="438">
        <v>43696</v>
      </c>
      <c r="L52" s="426" t="s">
        <v>527</v>
      </c>
      <c r="M52" s="289"/>
    </row>
    <row r="53" spans="1:13" ht="67.5" customHeight="1">
      <c r="A53" s="415">
        <v>40</v>
      </c>
      <c r="B53" s="416" t="s">
        <v>667</v>
      </c>
      <c r="C53" s="447" t="s">
        <v>668</v>
      </c>
      <c r="D53" s="437" t="s">
        <v>499</v>
      </c>
      <c r="E53" s="419" t="s">
        <v>669</v>
      </c>
      <c r="F53" s="420" t="s">
        <v>525</v>
      </c>
      <c r="G53" s="437" t="s">
        <v>670</v>
      </c>
      <c r="H53" s="437" t="s">
        <v>670</v>
      </c>
      <c r="I53" s="423">
        <v>43469</v>
      </c>
      <c r="J53" s="437"/>
      <c r="K53" s="438">
        <v>43677</v>
      </c>
      <c r="L53" s="426" t="s">
        <v>527</v>
      </c>
      <c r="M53" s="289"/>
    </row>
    <row r="54" spans="1:13" ht="67.5" customHeight="1">
      <c r="A54" s="415">
        <v>41</v>
      </c>
      <c r="B54" s="416" t="s">
        <v>671</v>
      </c>
      <c r="C54" s="417">
        <v>32174</v>
      </c>
      <c r="D54" s="427" t="s">
        <v>672</v>
      </c>
      <c r="E54" s="419" t="s">
        <v>673</v>
      </c>
      <c r="F54" s="420" t="s">
        <v>525</v>
      </c>
      <c r="G54" s="448" t="s">
        <v>674</v>
      </c>
      <c r="H54" s="448" t="s">
        <v>674</v>
      </c>
      <c r="I54" s="423">
        <v>43488</v>
      </c>
      <c r="J54" s="437"/>
      <c r="K54" s="438">
        <v>43830</v>
      </c>
      <c r="L54" s="426" t="s">
        <v>527</v>
      </c>
      <c r="M54" s="289"/>
    </row>
    <row r="55" spans="1:13" ht="67.5" customHeight="1">
      <c r="A55" s="415">
        <v>42</v>
      </c>
      <c r="B55" s="416" t="s">
        <v>675</v>
      </c>
      <c r="C55" s="449">
        <v>33517</v>
      </c>
      <c r="D55" s="447" t="s">
        <v>499</v>
      </c>
      <c r="E55" s="419" t="s">
        <v>676</v>
      </c>
      <c r="F55" s="420" t="s">
        <v>535</v>
      </c>
      <c r="G55" s="450" t="s">
        <v>677</v>
      </c>
      <c r="H55" s="450" t="s">
        <v>677</v>
      </c>
      <c r="I55" s="423">
        <v>43515</v>
      </c>
      <c r="J55" s="437"/>
      <c r="K55" s="438">
        <v>43894</v>
      </c>
      <c r="L55" s="426" t="s">
        <v>527</v>
      </c>
      <c r="M55" s="289"/>
    </row>
    <row r="56" spans="1:13" ht="67.5" customHeight="1">
      <c r="A56" s="415">
        <v>43</v>
      </c>
      <c r="B56" s="416" t="s">
        <v>678</v>
      </c>
      <c r="C56" s="447" t="s">
        <v>679</v>
      </c>
      <c r="D56" s="447" t="s">
        <v>499</v>
      </c>
      <c r="E56" s="419" t="s">
        <v>680</v>
      </c>
      <c r="F56" s="420" t="s">
        <v>535</v>
      </c>
      <c r="G56" s="450" t="s">
        <v>681</v>
      </c>
      <c r="H56" s="450" t="s">
        <v>682</v>
      </c>
      <c r="I56" s="423">
        <v>43497</v>
      </c>
      <c r="J56" s="437"/>
      <c r="K56" s="438">
        <v>43714</v>
      </c>
      <c r="L56" s="426" t="s">
        <v>527</v>
      </c>
      <c r="M56" s="289"/>
    </row>
    <row r="57" spans="1:13" ht="67.5" customHeight="1">
      <c r="A57" s="415">
        <v>44</v>
      </c>
      <c r="B57" s="416" t="s">
        <v>683</v>
      </c>
      <c r="C57" s="449">
        <v>33029</v>
      </c>
      <c r="D57" s="447" t="s">
        <v>499</v>
      </c>
      <c r="E57" s="419" t="s">
        <v>684</v>
      </c>
      <c r="F57" s="420" t="s">
        <v>636</v>
      </c>
      <c r="G57" s="450" t="s">
        <v>685</v>
      </c>
      <c r="H57" s="450" t="s">
        <v>686</v>
      </c>
      <c r="I57" s="423">
        <v>43497</v>
      </c>
      <c r="J57" s="437"/>
      <c r="K57" s="438">
        <v>43818</v>
      </c>
      <c r="L57" s="426" t="s">
        <v>527</v>
      </c>
      <c r="M57" s="289"/>
    </row>
    <row r="58" spans="1:13" ht="67.5" customHeight="1">
      <c r="A58" s="415">
        <v>45</v>
      </c>
      <c r="B58" s="416" t="s">
        <v>687</v>
      </c>
      <c r="C58" s="449">
        <v>33667</v>
      </c>
      <c r="D58" s="447" t="s">
        <v>499</v>
      </c>
      <c r="E58" s="419" t="s">
        <v>688</v>
      </c>
      <c r="F58" s="420" t="s">
        <v>535</v>
      </c>
      <c r="G58" s="450" t="s">
        <v>689</v>
      </c>
      <c r="H58" s="450" t="s">
        <v>689</v>
      </c>
      <c r="I58" s="423">
        <v>43528</v>
      </c>
      <c r="J58" s="437"/>
      <c r="K58" s="438">
        <v>43894</v>
      </c>
      <c r="L58" s="426" t="s">
        <v>527</v>
      </c>
      <c r="M58" s="289"/>
    </row>
    <row r="59" spans="1:13" ht="67.5" customHeight="1">
      <c r="A59" s="415">
        <v>46</v>
      </c>
      <c r="B59" s="416" t="s">
        <v>690</v>
      </c>
      <c r="C59" s="447" t="s">
        <v>691</v>
      </c>
      <c r="D59" s="447" t="s">
        <v>499</v>
      </c>
      <c r="E59" s="419" t="s">
        <v>692</v>
      </c>
      <c r="F59" s="420" t="s">
        <v>535</v>
      </c>
      <c r="G59" s="450" t="s">
        <v>693</v>
      </c>
      <c r="H59" s="450" t="s">
        <v>694</v>
      </c>
      <c r="I59" s="423">
        <v>43528</v>
      </c>
      <c r="J59" s="437"/>
      <c r="K59" s="438">
        <v>43714</v>
      </c>
      <c r="L59" s="426" t="s">
        <v>527</v>
      </c>
      <c r="M59" s="289"/>
    </row>
    <row r="60" spans="1:13" ht="67.5" customHeight="1">
      <c r="A60" s="306">
        <v>47</v>
      </c>
      <c r="B60" s="416" t="s">
        <v>714</v>
      </c>
      <c r="C60" s="496">
        <v>31707</v>
      </c>
      <c r="D60" s="306" t="s">
        <v>499</v>
      </c>
      <c r="E60" s="361" t="s">
        <v>519</v>
      </c>
      <c r="F60" s="287" t="s">
        <v>500</v>
      </c>
      <c r="G60" s="497" t="s">
        <v>520</v>
      </c>
      <c r="H60" s="497" t="s">
        <v>520</v>
      </c>
      <c r="I60" s="343">
        <v>44137</v>
      </c>
      <c r="J60" s="289"/>
      <c r="K60" s="289"/>
      <c r="L60" s="289"/>
      <c r="M60" s="289"/>
    </row>
    <row r="61" spans="1:13" ht="67.5" customHeight="1">
      <c r="A61" s="306">
        <v>48</v>
      </c>
      <c r="B61" s="507" t="s">
        <v>715</v>
      </c>
      <c r="C61" s="393">
        <v>31284</v>
      </c>
      <c r="D61" s="306" t="s">
        <v>499</v>
      </c>
      <c r="E61" s="289" t="s">
        <v>695</v>
      </c>
      <c r="F61" s="289" t="s">
        <v>697</v>
      </c>
      <c r="G61" s="305" t="s">
        <v>696</v>
      </c>
      <c r="H61" s="305" t="s">
        <v>696</v>
      </c>
      <c r="I61" s="393">
        <v>44242</v>
      </c>
      <c r="J61" s="289"/>
      <c r="K61" s="289"/>
      <c r="L61" s="289"/>
      <c r="M61" s="289"/>
    </row>
    <row r="62" spans="1:13" s="538" customFormat="1" ht="67.5" customHeight="1">
      <c r="A62" s="447">
        <v>49</v>
      </c>
      <c r="B62" s="516" t="s">
        <v>698</v>
      </c>
      <c r="C62" s="517">
        <v>34920</v>
      </c>
      <c r="D62" s="447" t="s">
        <v>499</v>
      </c>
      <c r="E62" s="437" t="s">
        <v>702</v>
      </c>
      <c r="F62" s="437" t="s">
        <v>703</v>
      </c>
      <c r="G62" s="450" t="s">
        <v>704</v>
      </c>
      <c r="H62" s="450" t="s">
        <v>704</v>
      </c>
      <c r="I62" s="517">
        <v>44298</v>
      </c>
      <c r="J62" s="437"/>
      <c r="K62" s="518" t="s">
        <v>713</v>
      </c>
      <c r="L62" s="437" t="s">
        <v>713</v>
      </c>
      <c r="M62" s="437"/>
    </row>
    <row r="63" spans="1:13" s="538" customFormat="1" ht="67.5" customHeight="1">
      <c r="A63" s="447">
        <v>50</v>
      </c>
      <c r="B63" s="516" t="s">
        <v>699</v>
      </c>
      <c r="C63" s="517" t="s">
        <v>700</v>
      </c>
      <c r="D63" s="447" t="s">
        <v>499</v>
      </c>
      <c r="E63" s="437" t="s">
        <v>701</v>
      </c>
      <c r="F63" s="437" t="s">
        <v>500</v>
      </c>
      <c r="G63" s="450" t="s">
        <v>705</v>
      </c>
      <c r="H63" s="450" t="s">
        <v>705</v>
      </c>
      <c r="I63" s="517" t="s">
        <v>706</v>
      </c>
      <c r="J63" s="437"/>
      <c r="K63" s="518" t="s">
        <v>753</v>
      </c>
      <c r="L63" s="437" t="s">
        <v>754</v>
      </c>
      <c r="M63" s="437"/>
    </row>
    <row r="64" spans="1:13" s="538" customFormat="1" ht="67.5" customHeight="1">
      <c r="A64" s="447">
        <v>51</v>
      </c>
      <c r="B64" s="611" t="s">
        <v>709</v>
      </c>
      <c r="C64" s="517">
        <v>30803</v>
      </c>
      <c r="D64" s="447" t="s">
        <v>499</v>
      </c>
      <c r="E64" s="613" t="s">
        <v>719</v>
      </c>
      <c r="F64" s="613" t="s">
        <v>720</v>
      </c>
      <c r="G64" s="613" t="s">
        <v>721</v>
      </c>
      <c r="H64" s="613" t="s">
        <v>721</v>
      </c>
      <c r="I64" s="612">
        <v>44355</v>
      </c>
      <c r="J64" s="613" t="s">
        <v>710</v>
      </c>
      <c r="K64" s="518" t="s">
        <v>713</v>
      </c>
      <c r="L64" s="437" t="s">
        <v>713</v>
      </c>
      <c r="M64" s="613"/>
    </row>
    <row r="65" spans="1:16" s="866" customFormat="1" ht="24" customHeight="1">
      <c r="A65" s="613">
        <v>52</v>
      </c>
      <c r="B65" s="611" t="s">
        <v>716</v>
      </c>
      <c r="C65" s="862">
        <v>30222</v>
      </c>
      <c r="D65" s="613" t="s">
        <v>499</v>
      </c>
      <c r="E65" s="613" t="s">
        <v>722</v>
      </c>
      <c r="F65" s="863" t="s">
        <v>717</v>
      </c>
      <c r="G65" s="613" t="s">
        <v>723</v>
      </c>
      <c r="H65" s="613" t="s">
        <v>724</v>
      </c>
      <c r="I65" s="862">
        <v>44390</v>
      </c>
      <c r="J65" s="613" t="s">
        <v>710</v>
      </c>
      <c r="K65" s="864" t="s">
        <v>713</v>
      </c>
      <c r="L65" s="865" t="s">
        <v>713</v>
      </c>
      <c r="M65" s="865"/>
    </row>
    <row r="66" spans="1:16" ht="24" customHeight="1">
      <c r="A66" s="306">
        <v>53</v>
      </c>
      <c r="B66" s="860" t="s">
        <v>726</v>
      </c>
      <c r="C66" s="519">
        <v>31453</v>
      </c>
      <c r="D66" s="306" t="s">
        <v>499</v>
      </c>
      <c r="E66" s="289" t="s">
        <v>739</v>
      </c>
      <c r="F66" s="520" t="s">
        <v>736</v>
      </c>
      <c r="G66" s="305" t="s">
        <v>740</v>
      </c>
      <c r="H66" s="305" t="s">
        <v>740</v>
      </c>
      <c r="I66" s="521">
        <v>44470</v>
      </c>
      <c r="J66" s="289"/>
      <c r="K66" s="505" t="s">
        <v>713</v>
      </c>
      <c r="L66" s="289" t="s">
        <v>713</v>
      </c>
      <c r="M66" s="289"/>
      <c r="P66" s="371">
        <v>1</v>
      </c>
    </row>
    <row r="67" spans="1:16" ht="34.5" customHeight="1">
      <c r="A67" s="306">
        <v>54</v>
      </c>
      <c r="B67" s="889" t="s">
        <v>727</v>
      </c>
      <c r="C67" s="522">
        <v>31507</v>
      </c>
      <c r="D67" s="306" t="s">
        <v>499</v>
      </c>
      <c r="E67" s="289" t="s">
        <v>744</v>
      </c>
      <c r="F67" s="520" t="s">
        <v>737</v>
      </c>
      <c r="G67" s="305" t="s">
        <v>748</v>
      </c>
      <c r="H67" s="371" t="s">
        <v>746</v>
      </c>
      <c r="I67" s="523">
        <v>44491</v>
      </c>
      <c r="J67" s="289"/>
      <c r="K67" s="505" t="s">
        <v>713</v>
      </c>
      <c r="L67" s="289" t="s">
        <v>713</v>
      </c>
      <c r="M67" s="289"/>
      <c r="P67" s="371">
        <v>2</v>
      </c>
    </row>
    <row r="68" spans="1:16" ht="24" customHeight="1">
      <c r="A68" s="306">
        <v>55</v>
      </c>
      <c r="B68" s="861" t="s">
        <v>728</v>
      </c>
      <c r="C68" s="519">
        <v>29965</v>
      </c>
      <c r="D68" s="289" t="s">
        <v>730</v>
      </c>
      <c r="E68" s="289" t="s">
        <v>747</v>
      </c>
      <c r="F68" s="520" t="s">
        <v>738</v>
      </c>
      <c r="G68" s="305" t="s">
        <v>745</v>
      </c>
      <c r="H68" s="305" t="s">
        <v>748</v>
      </c>
      <c r="I68" s="523">
        <v>44495</v>
      </c>
      <c r="J68" s="289"/>
      <c r="K68" s="505" t="s">
        <v>713</v>
      </c>
      <c r="L68" s="289" t="s">
        <v>713</v>
      </c>
      <c r="M68" s="289"/>
      <c r="P68" s="371">
        <v>3</v>
      </c>
    </row>
    <row r="69" spans="1:16" s="840" customFormat="1" ht="24" customHeight="1">
      <c r="A69" s="854">
        <v>56</v>
      </c>
      <c r="B69" s="855" t="s">
        <v>729</v>
      </c>
      <c r="C69" s="438">
        <v>31239</v>
      </c>
      <c r="D69" s="437" t="s">
        <v>672</v>
      </c>
      <c r="E69" s="437" t="s">
        <v>741</v>
      </c>
      <c r="F69" s="437" t="s">
        <v>525</v>
      </c>
      <c r="G69" s="450" t="s">
        <v>743</v>
      </c>
      <c r="H69" s="450" t="s">
        <v>742</v>
      </c>
      <c r="I69" s="612">
        <v>44496</v>
      </c>
      <c r="J69" s="437"/>
      <c r="K69" s="518" t="s">
        <v>753</v>
      </c>
      <c r="L69" s="437" t="s">
        <v>527</v>
      </c>
      <c r="M69" s="437"/>
      <c r="N69" s="538"/>
    </row>
    <row r="70" spans="1:16" ht="24" customHeight="1">
      <c r="A70" s="541">
        <v>57</v>
      </c>
      <c r="B70" s="867" t="s">
        <v>755</v>
      </c>
      <c r="C70" s="519">
        <v>31205</v>
      </c>
      <c r="D70" s="289" t="s">
        <v>499</v>
      </c>
      <c r="E70" s="289" t="s">
        <v>761</v>
      </c>
      <c r="F70" s="289" t="s">
        <v>525</v>
      </c>
      <c r="G70" s="289" t="s">
        <v>762</v>
      </c>
      <c r="H70" s="289" t="s">
        <v>762</v>
      </c>
      <c r="I70" s="540">
        <v>44509</v>
      </c>
      <c r="J70" s="289"/>
      <c r="K70" s="505" t="s">
        <v>713</v>
      </c>
      <c r="L70" s="289" t="s">
        <v>713</v>
      </c>
      <c r="M70" s="289"/>
      <c r="P70" s="371">
        <v>4</v>
      </c>
    </row>
    <row r="71" spans="1:16" ht="24" customHeight="1">
      <c r="A71" s="585">
        <v>58</v>
      </c>
      <c r="B71" s="868" t="s">
        <v>756</v>
      </c>
      <c r="C71" s="519">
        <v>32931</v>
      </c>
      <c r="D71" s="289" t="s">
        <v>499</v>
      </c>
      <c r="E71" s="289" t="s">
        <v>766</v>
      </c>
      <c r="F71" s="289" t="s">
        <v>525</v>
      </c>
      <c r="G71" s="289" t="s">
        <v>767</v>
      </c>
      <c r="H71" s="289" t="s">
        <v>767</v>
      </c>
      <c r="I71" s="540">
        <v>44515</v>
      </c>
      <c r="J71" s="289"/>
      <c r="K71" s="505" t="s">
        <v>713</v>
      </c>
      <c r="L71" s="289" t="s">
        <v>713</v>
      </c>
      <c r="M71" s="289"/>
      <c r="P71" s="371">
        <v>5</v>
      </c>
    </row>
    <row r="72" spans="1:16" ht="24" customHeight="1">
      <c r="A72" s="585">
        <v>59</v>
      </c>
      <c r="B72" s="869" t="s">
        <v>757</v>
      </c>
      <c r="C72" s="519">
        <v>31279</v>
      </c>
      <c r="D72" s="289" t="s">
        <v>499</v>
      </c>
      <c r="E72" s="289" t="s">
        <v>770</v>
      </c>
      <c r="F72" s="289" t="s">
        <v>771</v>
      </c>
      <c r="G72" s="289" t="s">
        <v>772</v>
      </c>
      <c r="H72" s="289" t="s">
        <v>772</v>
      </c>
      <c r="I72" s="540">
        <v>44522</v>
      </c>
      <c r="J72" s="289"/>
      <c r="K72" s="505" t="s">
        <v>713</v>
      </c>
      <c r="L72" s="289" t="s">
        <v>713</v>
      </c>
      <c r="M72" s="289"/>
      <c r="P72" s="371">
        <v>6</v>
      </c>
    </row>
    <row r="73" spans="1:16" ht="24" customHeight="1">
      <c r="A73" s="585">
        <v>60</v>
      </c>
      <c r="B73" s="870" t="s">
        <v>778</v>
      </c>
      <c r="C73" s="606">
        <v>33778</v>
      </c>
      <c r="D73" s="289" t="s">
        <v>499</v>
      </c>
      <c r="E73" s="361" t="s">
        <v>790</v>
      </c>
      <c r="F73" s="306" t="s">
        <v>525</v>
      </c>
      <c r="G73" s="306" t="s">
        <v>791</v>
      </c>
      <c r="H73" s="306" t="s">
        <v>791</v>
      </c>
      <c r="I73" s="569">
        <v>44536</v>
      </c>
      <c r="J73" s="289"/>
      <c r="K73" s="505" t="s">
        <v>713</v>
      </c>
      <c r="L73" s="289" t="s">
        <v>713</v>
      </c>
      <c r="M73" s="289"/>
      <c r="P73" s="371">
        <v>7</v>
      </c>
    </row>
    <row r="74" spans="1:16" ht="24" customHeight="1">
      <c r="A74" s="585">
        <v>61</v>
      </c>
      <c r="B74" s="870" t="s">
        <v>779</v>
      </c>
      <c r="C74" s="606">
        <v>35033</v>
      </c>
      <c r="D74" s="289" t="s">
        <v>499</v>
      </c>
      <c r="E74" s="306" t="s">
        <v>794</v>
      </c>
      <c r="F74" s="306" t="s">
        <v>796</v>
      </c>
      <c r="G74" s="306" t="s">
        <v>795</v>
      </c>
      <c r="H74" s="306" t="s">
        <v>795</v>
      </c>
      <c r="I74" s="569">
        <v>44536</v>
      </c>
      <c r="J74" s="289"/>
      <c r="K74" s="505" t="s">
        <v>713</v>
      </c>
      <c r="L74" s="289" t="s">
        <v>713</v>
      </c>
      <c r="M74" s="289"/>
      <c r="P74" s="371">
        <v>8</v>
      </c>
    </row>
    <row r="75" spans="1:16" ht="24" customHeight="1">
      <c r="A75" s="585">
        <v>62</v>
      </c>
      <c r="B75" s="870" t="s">
        <v>780</v>
      </c>
      <c r="C75" s="606">
        <v>32329</v>
      </c>
      <c r="D75" s="289" t="s">
        <v>499</v>
      </c>
      <c r="E75" s="306" t="s">
        <v>799</v>
      </c>
      <c r="F75" s="306" t="s">
        <v>525</v>
      </c>
      <c r="G75" s="306" t="s">
        <v>800</v>
      </c>
      <c r="H75" s="306" t="s">
        <v>800</v>
      </c>
      <c r="I75" s="570">
        <v>44537</v>
      </c>
      <c r="J75" s="289"/>
      <c r="K75" s="505" t="s">
        <v>713</v>
      </c>
      <c r="L75" s="289" t="s">
        <v>713</v>
      </c>
      <c r="M75" s="289"/>
      <c r="P75" s="371">
        <v>9</v>
      </c>
    </row>
    <row r="76" spans="1:16" ht="24" customHeight="1">
      <c r="A76" s="585">
        <v>63</v>
      </c>
      <c r="B76" s="870" t="s">
        <v>781</v>
      </c>
      <c r="C76" s="606">
        <v>34094</v>
      </c>
      <c r="D76" s="289" t="s">
        <v>672</v>
      </c>
      <c r="E76" s="306" t="s">
        <v>803</v>
      </c>
      <c r="F76" s="306" t="s">
        <v>525</v>
      </c>
      <c r="G76" s="306" t="s">
        <v>804</v>
      </c>
      <c r="H76" s="306" t="s">
        <v>805</v>
      </c>
      <c r="I76" s="570">
        <v>44538</v>
      </c>
      <c r="J76" s="289"/>
      <c r="K76" s="505" t="s">
        <v>713</v>
      </c>
      <c r="L76" s="289" t="s">
        <v>713</v>
      </c>
      <c r="M76" s="289"/>
      <c r="P76" s="371">
        <v>10</v>
      </c>
    </row>
    <row r="77" spans="1:16" ht="24" customHeight="1">
      <c r="A77" s="585">
        <v>64</v>
      </c>
      <c r="B77" s="871" t="s">
        <v>782</v>
      </c>
      <c r="C77" s="606">
        <v>31700</v>
      </c>
      <c r="D77" s="289" t="s">
        <v>499</v>
      </c>
      <c r="E77" s="306" t="s">
        <v>808</v>
      </c>
      <c r="F77" s="306" t="s">
        <v>811</v>
      </c>
      <c r="G77" s="306" t="s">
        <v>809</v>
      </c>
      <c r="H77" s="306" t="s">
        <v>809</v>
      </c>
      <c r="I77" s="570">
        <v>44557</v>
      </c>
      <c r="J77" s="289"/>
      <c r="K77" s="505" t="s">
        <v>713</v>
      </c>
      <c r="L77" s="289" t="s">
        <v>713</v>
      </c>
      <c r="M77" s="289"/>
      <c r="P77" s="371">
        <v>11</v>
      </c>
    </row>
    <row r="78" spans="1:16" ht="24" customHeight="1">
      <c r="A78" s="585">
        <v>65</v>
      </c>
      <c r="B78" s="872" t="s">
        <v>813</v>
      </c>
      <c r="C78" s="719" t="s">
        <v>823</v>
      </c>
      <c r="D78" s="289" t="s">
        <v>499</v>
      </c>
      <c r="E78" s="719" t="s">
        <v>824</v>
      </c>
      <c r="F78" s="615" t="s">
        <v>525</v>
      </c>
      <c r="G78" s="720" t="s">
        <v>825</v>
      </c>
      <c r="H78" s="720" t="s">
        <v>825</v>
      </c>
      <c r="I78" s="614">
        <v>44564</v>
      </c>
      <c r="J78" s="289"/>
      <c r="K78" s="505" t="s">
        <v>713</v>
      </c>
      <c r="L78" s="289" t="s">
        <v>713</v>
      </c>
      <c r="M78" s="289"/>
      <c r="P78" s="371">
        <v>12</v>
      </c>
    </row>
    <row r="79" spans="1:16" ht="24" customHeight="1">
      <c r="A79" s="740">
        <v>66</v>
      </c>
      <c r="B79" s="873" t="s">
        <v>814</v>
      </c>
      <c r="C79" s="722" t="s">
        <v>827</v>
      </c>
      <c r="D79" s="289" t="s">
        <v>499</v>
      </c>
      <c r="E79" s="721" t="s">
        <v>826</v>
      </c>
      <c r="F79" s="615" t="s">
        <v>820</v>
      </c>
      <c r="G79" s="723" t="s">
        <v>828</v>
      </c>
      <c r="H79" s="723" t="s">
        <v>828</v>
      </c>
      <c r="I79" s="614">
        <v>44567</v>
      </c>
      <c r="J79" s="289"/>
      <c r="K79" s="505" t="s">
        <v>713</v>
      </c>
      <c r="L79" s="289" t="s">
        <v>713</v>
      </c>
      <c r="M79" s="289"/>
      <c r="P79" s="371">
        <v>13</v>
      </c>
    </row>
    <row r="80" spans="1:16" ht="24" customHeight="1">
      <c r="A80" s="748">
        <v>67</v>
      </c>
      <c r="B80" s="873" t="s">
        <v>829</v>
      </c>
      <c r="C80" s="736">
        <v>34378</v>
      </c>
      <c r="D80" s="573" t="s">
        <v>499</v>
      </c>
      <c r="E80" s="741" t="s">
        <v>845</v>
      </c>
      <c r="F80" s="746" t="s">
        <v>874</v>
      </c>
      <c r="G80" s="738" t="s">
        <v>846</v>
      </c>
      <c r="H80" s="738" t="s">
        <v>847</v>
      </c>
      <c r="I80" s="614">
        <v>44602</v>
      </c>
      <c r="J80" s="289"/>
      <c r="K80" s="505"/>
      <c r="L80" s="289"/>
      <c r="M80" s="289"/>
      <c r="P80" s="371">
        <v>14</v>
      </c>
    </row>
    <row r="81" spans="1:16" ht="24" customHeight="1">
      <c r="A81" s="749">
        <v>68</v>
      </c>
      <c r="B81" s="873" t="s">
        <v>830</v>
      </c>
      <c r="C81" s="505" t="s">
        <v>849</v>
      </c>
      <c r="D81" s="573" t="s">
        <v>730</v>
      </c>
      <c r="E81" s="742" t="s">
        <v>852</v>
      </c>
      <c r="F81" s="746" t="s">
        <v>874</v>
      </c>
      <c r="G81" s="738" t="s">
        <v>850</v>
      </c>
      <c r="H81" s="738" t="s">
        <v>850</v>
      </c>
      <c r="I81" s="614">
        <v>44602</v>
      </c>
      <c r="J81" s="289"/>
      <c r="K81" s="505"/>
      <c r="L81" s="289"/>
      <c r="M81" s="289"/>
      <c r="P81" s="371">
        <v>15</v>
      </c>
    </row>
    <row r="82" spans="1:16" s="538" customFormat="1" ht="24" customHeight="1">
      <c r="A82" s="874">
        <v>69</v>
      </c>
      <c r="B82" s="881" t="s">
        <v>831</v>
      </c>
      <c r="C82" s="875">
        <v>33172</v>
      </c>
      <c r="D82" s="419" t="s">
        <v>499</v>
      </c>
      <c r="E82" s="888" t="s">
        <v>853</v>
      </c>
      <c r="F82" s="876" t="s">
        <v>874</v>
      </c>
      <c r="G82" s="884" t="s">
        <v>854</v>
      </c>
      <c r="H82" s="884" t="s">
        <v>854</v>
      </c>
      <c r="I82" s="612">
        <v>44602</v>
      </c>
      <c r="J82" s="437"/>
      <c r="K82" s="518"/>
      <c r="L82" s="437"/>
      <c r="M82" s="437"/>
    </row>
    <row r="83" spans="1:16" ht="24" customHeight="1">
      <c r="A83" s="749">
        <v>70</v>
      </c>
      <c r="B83" s="873" t="s">
        <v>832</v>
      </c>
      <c r="C83" s="798">
        <v>35748</v>
      </c>
      <c r="D83" s="573" t="s">
        <v>499</v>
      </c>
      <c r="E83" s="743" t="s">
        <v>856</v>
      </c>
      <c r="F83" s="746" t="s">
        <v>874</v>
      </c>
      <c r="G83" s="738" t="s">
        <v>857</v>
      </c>
      <c r="H83" s="738" t="s">
        <v>858</v>
      </c>
      <c r="I83" s="614">
        <v>44602</v>
      </c>
      <c r="J83" s="289"/>
      <c r="K83" s="289"/>
      <c r="L83" s="289"/>
      <c r="M83" s="289"/>
      <c r="P83" s="371">
        <v>16</v>
      </c>
    </row>
    <row r="84" spans="1:16" s="538" customFormat="1" ht="24" customHeight="1">
      <c r="A84" s="874">
        <v>71</v>
      </c>
      <c r="B84" s="881" t="s">
        <v>833</v>
      </c>
      <c r="C84" s="878">
        <v>35895</v>
      </c>
      <c r="D84" s="419" t="s">
        <v>499</v>
      </c>
      <c r="E84" s="419" t="s">
        <v>859</v>
      </c>
      <c r="F84" s="876" t="s">
        <v>874</v>
      </c>
      <c r="G84" s="882" t="s">
        <v>860</v>
      </c>
      <c r="H84" s="882" t="s">
        <v>861</v>
      </c>
      <c r="I84" s="612">
        <v>44602</v>
      </c>
      <c r="J84" s="437"/>
      <c r="K84" s="437"/>
      <c r="L84" s="437"/>
      <c r="M84" s="437"/>
    </row>
    <row r="85" spans="1:16" s="538" customFormat="1" ht="24" customHeight="1">
      <c r="A85" s="879">
        <v>72</v>
      </c>
      <c r="B85" s="881" t="s">
        <v>834</v>
      </c>
      <c r="C85" s="880">
        <v>36086</v>
      </c>
      <c r="D85" s="419" t="s">
        <v>499</v>
      </c>
      <c r="E85" s="883" t="s">
        <v>862</v>
      </c>
      <c r="F85" s="876" t="s">
        <v>874</v>
      </c>
      <c r="G85" s="884" t="s">
        <v>863</v>
      </c>
      <c r="H85" s="884" t="s">
        <v>863</v>
      </c>
      <c r="I85" s="612">
        <v>44602</v>
      </c>
      <c r="J85" s="437"/>
      <c r="K85" s="437"/>
      <c r="L85" s="437"/>
      <c r="M85" s="437"/>
    </row>
    <row r="86" spans="1:16" s="538" customFormat="1" ht="24" customHeight="1">
      <c r="A86" s="874">
        <v>73</v>
      </c>
      <c r="B86" s="881" t="s">
        <v>835</v>
      </c>
      <c r="C86" s="885">
        <v>31019</v>
      </c>
      <c r="D86" s="419" t="s">
        <v>499</v>
      </c>
      <c r="E86" s="422" t="s">
        <v>873</v>
      </c>
      <c r="F86" s="876" t="s">
        <v>874</v>
      </c>
      <c r="G86" s="886" t="s">
        <v>821</v>
      </c>
      <c r="H86" s="886" t="s">
        <v>821</v>
      </c>
      <c r="I86" s="612">
        <v>44602</v>
      </c>
      <c r="J86" s="437"/>
      <c r="K86" s="437"/>
      <c r="L86" s="437"/>
      <c r="M86" s="437"/>
    </row>
    <row r="87" spans="1:16" ht="24" customHeight="1">
      <c r="A87" s="749">
        <v>74</v>
      </c>
      <c r="B87" s="873" t="s">
        <v>836</v>
      </c>
      <c r="C87" s="787">
        <v>33292</v>
      </c>
      <c r="D87" s="573" t="s">
        <v>499</v>
      </c>
      <c r="E87" s="745" t="s">
        <v>864</v>
      </c>
      <c r="F87" s="746" t="s">
        <v>874</v>
      </c>
      <c r="G87" s="747" t="s">
        <v>865</v>
      </c>
      <c r="H87" s="747" t="s">
        <v>865</v>
      </c>
      <c r="I87" s="614">
        <v>44602</v>
      </c>
      <c r="J87" s="289"/>
      <c r="K87" s="289"/>
      <c r="L87" s="289"/>
      <c r="M87" s="289"/>
      <c r="P87" s="371">
        <v>17</v>
      </c>
    </row>
    <row r="88" spans="1:16" s="504" customFormat="1" ht="24" customHeight="1">
      <c r="A88" s="877">
        <v>75</v>
      </c>
      <c r="B88" s="893" t="s">
        <v>837</v>
      </c>
      <c r="C88" s="890">
        <v>35088</v>
      </c>
      <c r="D88" s="573" t="s">
        <v>499</v>
      </c>
      <c r="E88" s="573" t="s">
        <v>866</v>
      </c>
      <c r="F88" s="746" t="s">
        <v>874</v>
      </c>
      <c r="G88" s="891" t="s">
        <v>867</v>
      </c>
      <c r="H88" s="739" t="s">
        <v>868</v>
      </c>
      <c r="I88" s="892">
        <v>44602</v>
      </c>
      <c r="J88" s="503"/>
      <c r="K88" s="503"/>
      <c r="L88" s="503"/>
      <c r="M88" s="503"/>
      <c r="P88" s="504">
        <v>18</v>
      </c>
    </row>
    <row r="89" spans="1:16" ht="24" customHeight="1">
      <c r="A89" s="749">
        <v>76</v>
      </c>
      <c r="B89" s="873" t="s">
        <v>838</v>
      </c>
      <c r="C89" s="778">
        <v>32638</v>
      </c>
      <c r="D89" s="573" t="s">
        <v>730</v>
      </c>
      <c r="E89" s="744" t="s">
        <v>869</v>
      </c>
      <c r="F89" s="746" t="s">
        <v>874</v>
      </c>
      <c r="G89" s="738" t="s">
        <v>870</v>
      </c>
      <c r="H89" s="738" t="s">
        <v>870</v>
      </c>
      <c r="I89" s="614">
        <v>44602</v>
      </c>
      <c r="J89" s="289"/>
      <c r="K89" s="289"/>
      <c r="L89" s="289"/>
      <c r="M89" s="289"/>
      <c r="P89" s="371">
        <v>19</v>
      </c>
    </row>
    <row r="90" spans="1:16" ht="15.75">
      <c r="A90" s="748">
        <v>77</v>
      </c>
      <c r="B90" s="873" t="s">
        <v>906</v>
      </c>
      <c r="C90" s="839">
        <v>30056</v>
      </c>
      <c r="D90" s="351" t="s">
        <v>499</v>
      </c>
      <c r="E90" s="786" t="s">
        <v>905</v>
      </c>
      <c r="F90" s="288" t="s">
        <v>900</v>
      </c>
      <c r="G90" s="289" t="s">
        <v>907</v>
      </c>
      <c r="H90" s="289" t="s">
        <v>907</v>
      </c>
      <c r="I90" s="820">
        <v>44652</v>
      </c>
      <c r="J90" s="289"/>
      <c r="K90" s="289"/>
      <c r="L90" s="289"/>
      <c r="M90" s="289"/>
      <c r="P90" s="371">
        <v>20</v>
      </c>
    </row>
    <row r="98" spans="10:10">
      <c r="J98" s="539"/>
    </row>
    <row r="102" spans="10:10">
      <c r="J102" s="539" t="s">
        <v>518</v>
      </c>
    </row>
  </sheetData>
  <protectedRanges>
    <protectedRange password="CA4D" sqref="A1:M2 A11:M13" name="Range1"/>
    <protectedRange password="CA4D" sqref="A3:M3" name="Range1_6"/>
    <protectedRange password="CA4D" sqref="A5:E6 M7:M10 B4:E4" name="Range1_1"/>
    <protectedRange password="CA4D" sqref="F7:L8 F10:L10 G9:L9" name="Range1_2_1"/>
    <protectedRange password="CA4D" sqref="A4" name="Range1_1_1"/>
    <protectedRange password="CA4D" sqref="F4:M6" name="Range1_2_2"/>
    <protectedRange password="CA4D" sqref="F9" name="Range1_2_1_1"/>
    <protectedRange password="CA4D" sqref="A7:E10" name="Range1_1_2"/>
  </protectedRanges>
  <mergeCells count="15">
    <mergeCell ref="A1:M2"/>
    <mergeCell ref="A3:M3"/>
    <mergeCell ref="F4:M6"/>
    <mergeCell ref="A7:E10"/>
    <mergeCell ref="A11:A12"/>
    <mergeCell ref="B11:B12"/>
    <mergeCell ref="C11:C12"/>
    <mergeCell ref="E11:E12"/>
    <mergeCell ref="F11:F12"/>
    <mergeCell ref="G11:G12"/>
    <mergeCell ref="H11:H12"/>
    <mergeCell ref="I11:I12"/>
    <mergeCell ref="J11:J12"/>
    <mergeCell ref="K11:K12"/>
    <mergeCell ref="M11:M12"/>
  </mergeCells>
  <pageMargins left="0.70866141732283472" right="0.70866141732283472" top="0.74803149606299213" bottom="0.74803149606299213" header="0.31496062992125984" footer="0.31496062992125984"/>
  <pageSetup paperSize="8" scale="75"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B52"/>
  <sheetViews>
    <sheetView topLeftCell="A25" zoomScaleNormal="100" workbookViewId="0">
      <pane xSplit="2" topLeftCell="AN1" activePane="topRight" state="frozen"/>
      <selection activeCell="A13" sqref="A13"/>
      <selection pane="topRight" activeCell="J37" sqref="J37"/>
    </sheetView>
  </sheetViews>
  <sheetFormatPr defaultColWidth="8.28515625" defaultRowHeight="18.75"/>
  <cols>
    <col min="1" max="1" width="13.7109375" style="352" customWidth="1"/>
    <col min="2" max="2" width="34.28515625" style="409" customWidth="1"/>
    <col min="3" max="3" width="13.28515625" style="616" customWidth="1"/>
    <col min="4" max="4" width="9.5703125" style="351" customWidth="1"/>
    <col min="5" max="5" width="21.7109375" style="602" customWidth="1"/>
    <col min="6" max="6" width="15.28515625" style="602" customWidth="1"/>
    <col min="7" max="7" width="24.5703125" style="498" customWidth="1"/>
    <col min="8" max="8" width="10.28515625" style="498" customWidth="1"/>
    <col min="9" max="9" width="9.5703125" style="498" customWidth="1"/>
    <col min="10" max="10" width="24.42578125" style="498" customWidth="1"/>
    <col min="11" max="13" width="9.5703125" style="409" customWidth="1"/>
    <col min="14" max="14" width="14.28515625" style="574" customWidth="1"/>
    <col min="15" max="18" width="9.5703125" style="409" customWidth="1"/>
    <col min="19" max="19" width="15.28515625" style="623" customWidth="1"/>
    <col min="20" max="20" width="9.5703125" style="409" customWidth="1"/>
    <col min="21" max="21" width="24.5703125" style="498" customWidth="1"/>
    <col min="22" max="24" width="9.5703125" style="409" customWidth="1"/>
    <col min="25" max="25" width="9.5703125" style="499" customWidth="1"/>
    <col min="26" max="26" width="13" style="409" customWidth="1"/>
    <col min="27" max="28" width="9.5703125" style="409" customWidth="1"/>
    <col min="29" max="29" width="14.140625" style="409" customWidth="1"/>
    <col min="30" max="30" width="13.7109375" style="409" customWidth="1"/>
    <col min="31" max="32" width="9.5703125" style="409" customWidth="1"/>
    <col min="33" max="33" width="11.42578125" style="409" customWidth="1"/>
    <col min="34" max="34" width="14.140625" style="409" customWidth="1"/>
    <col min="35" max="38" width="9.5703125" style="409" customWidth="1"/>
    <col min="39" max="39" width="13.42578125" style="409" customWidth="1"/>
    <col min="40" max="45" width="9.5703125" style="352" customWidth="1"/>
    <col min="46" max="46" width="12.5703125" style="579" customWidth="1"/>
    <col min="47" max="47" width="12.85546875" style="409" customWidth="1"/>
    <col min="48" max="48" width="19.5703125" style="409" customWidth="1"/>
    <col min="49" max="49" width="15.42578125" style="409" customWidth="1"/>
    <col min="50" max="50" width="9.5703125" style="409" customWidth="1"/>
    <col min="51" max="51" width="9.5703125" style="571" customWidth="1"/>
    <col min="52" max="52" width="9.5703125" style="409" customWidth="1"/>
    <col min="53" max="16384" width="8.28515625" style="409"/>
  </cols>
  <sheetData>
    <row r="3" spans="1:54" ht="43.5" customHeight="1">
      <c r="A3" s="409" t="s">
        <v>712</v>
      </c>
      <c r="K3" s="498"/>
      <c r="Y3" s="409"/>
      <c r="AN3" s="409"/>
      <c r="AO3" s="409"/>
      <c r="AP3" s="409"/>
      <c r="AQ3" s="409"/>
      <c r="AR3" s="409"/>
      <c r="AS3" s="409"/>
    </row>
    <row r="4" spans="1:54">
      <c r="B4" s="409" t="s">
        <v>381</v>
      </c>
    </row>
    <row r="5" spans="1:54" ht="43.5" customHeight="1">
      <c r="A5" s="993" t="s">
        <v>0</v>
      </c>
      <c r="B5" s="993"/>
      <c r="C5" s="993"/>
      <c r="D5" s="609"/>
      <c r="E5" s="122"/>
      <c r="F5" s="1004" t="s">
        <v>384</v>
      </c>
      <c r="G5" s="1004"/>
      <c r="H5" s="1004"/>
      <c r="I5" s="596"/>
      <c r="J5" s="596"/>
      <c r="K5" s="344"/>
      <c r="L5" s="344"/>
      <c r="M5" s="344"/>
      <c r="N5" s="575"/>
      <c r="O5" s="344"/>
      <c r="P5" s="344"/>
      <c r="Q5" s="344"/>
      <c r="R5" s="344"/>
      <c r="S5" s="624"/>
      <c r="T5" s="344"/>
      <c r="U5" s="596"/>
      <c r="V5" s="344"/>
      <c r="AB5" s="997" t="s">
        <v>1</v>
      </c>
      <c r="AC5" s="997"/>
      <c r="AD5" s="997"/>
      <c r="AE5" s="997"/>
      <c r="AF5" s="997"/>
      <c r="AG5" s="997"/>
      <c r="AH5" s="997"/>
      <c r="AI5" s="997"/>
      <c r="AJ5" s="997"/>
      <c r="AK5" s="997"/>
      <c r="AL5" s="997"/>
      <c r="AM5" s="997"/>
      <c r="AN5" s="997"/>
      <c r="AO5" s="997"/>
      <c r="AP5" s="346" t="str">
        <f>F5</f>
        <v>Burgeon IT Services Pvt.Ltd.</v>
      </c>
      <c r="AQ5" s="123"/>
      <c r="AR5" s="123"/>
      <c r="AS5" s="123"/>
      <c r="AU5" s="123"/>
      <c r="AV5" s="123"/>
      <c r="AW5" s="123"/>
      <c r="AX5" s="123"/>
      <c r="AY5" s="582"/>
      <c r="AZ5" s="347"/>
      <c r="BA5" s="347"/>
      <c r="BB5" s="347"/>
    </row>
    <row r="6" spans="1:54" ht="20.45" customHeight="1">
      <c r="A6" s="121"/>
      <c r="F6" s="1002" t="s">
        <v>385</v>
      </c>
      <c r="G6" s="1002"/>
      <c r="H6" s="1002"/>
      <c r="I6" s="597"/>
      <c r="J6" s="597"/>
      <c r="K6" s="348"/>
      <c r="L6" s="348"/>
      <c r="M6" s="348"/>
      <c r="N6" s="576"/>
      <c r="O6" s="348"/>
      <c r="P6" s="348"/>
      <c r="Q6" s="348"/>
      <c r="R6" s="348"/>
      <c r="S6" s="625"/>
      <c r="T6" s="348"/>
      <c r="U6" s="597"/>
      <c r="V6" s="348"/>
      <c r="AC6" s="351"/>
      <c r="AD6" s="351"/>
      <c r="AE6" s="351"/>
      <c r="AF6" s="351"/>
      <c r="AG6" s="351"/>
      <c r="AH6" s="351"/>
      <c r="AI6" s="351"/>
      <c r="AJ6" s="351"/>
      <c r="AK6" s="351"/>
      <c r="AL6" s="351"/>
      <c r="AM6" s="351"/>
      <c r="AP6" s="348" t="str">
        <f>F6</f>
        <v>Siri Mansion LIGB 436 Dr.A S Rao Nagar,Hyderabad</v>
      </c>
      <c r="AQ6" s="409"/>
      <c r="AR6" s="409"/>
      <c r="AS6" s="349"/>
      <c r="AT6" s="580"/>
      <c r="AU6" s="349"/>
      <c r="AV6" s="349"/>
      <c r="AW6" s="349"/>
      <c r="AX6" s="349"/>
      <c r="AY6" s="582"/>
      <c r="AZ6" s="349"/>
      <c r="BA6" s="349"/>
      <c r="BB6" s="349"/>
    </row>
    <row r="7" spans="1:54" ht="18.95" customHeight="1">
      <c r="A7" s="121"/>
      <c r="F7" s="603"/>
      <c r="G7" s="602"/>
      <c r="H7" s="602"/>
      <c r="I7" s="597"/>
      <c r="J7" s="597"/>
      <c r="K7" s="348"/>
      <c r="L7" s="348"/>
      <c r="M7" s="348"/>
      <c r="N7" s="576"/>
      <c r="O7" s="348"/>
      <c r="P7" s="348"/>
      <c r="Q7" s="348"/>
      <c r="R7" s="348"/>
      <c r="S7" s="625"/>
      <c r="T7" s="348"/>
      <c r="U7" s="597"/>
      <c r="V7" s="348"/>
      <c r="AC7" s="351"/>
      <c r="AD7" s="351"/>
      <c r="AE7" s="351"/>
      <c r="AF7" s="351"/>
      <c r="AG7" s="351"/>
      <c r="AH7" s="351"/>
      <c r="AI7" s="351"/>
      <c r="AJ7" s="351"/>
      <c r="AK7" s="351"/>
      <c r="AL7" s="351"/>
      <c r="AM7" s="351"/>
      <c r="AP7" s="348">
        <f>F7</f>
        <v>0</v>
      </c>
      <c r="AQ7" s="409"/>
      <c r="AR7" s="409"/>
      <c r="AS7" s="349"/>
      <c r="AT7" s="580"/>
      <c r="AU7" s="349"/>
      <c r="AV7" s="349"/>
      <c r="AW7" s="349"/>
      <c r="AX7" s="349"/>
      <c r="AY7" s="582"/>
      <c r="AZ7" s="349"/>
      <c r="BA7" s="349"/>
      <c r="BB7" s="349"/>
    </row>
    <row r="8" spans="1:54" ht="18.95" customHeight="1">
      <c r="A8" s="993" t="s">
        <v>2</v>
      </c>
      <c r="B8" s="993"/>
      <c r="C8" s="993"/>
      <c r="D8" s="609"/>
      <c r="E8" s="122"/>
      <c r="F8" s="1003" t="s">
        <v>896</v>
      </c>
      <c r="G8" s="1003"/>
      <c r="H8" s="1003"/>
      <c r="I8" s="598"/>
      <c r="J8" s="598"/>
      <c r="K8" s="350"/>
      <c r="L8" s="350"/>
      <c r="M8" s="350"/>
      <c r="N8" s="577"/>
      <c r="O8" s="350"/>
      <c r="P8" s="350"/>
      <c r="Q8" s="350"/>
      <c r="R8" s="350"/>
      <c r="S8" s="626"/>
      <c r="T8" s="350"/>
      <c r="U8" s="598"/>
      <c r="V8" s="350"/>
      <c r="AC8" s="351"/>
      <c r="AD8" s="351"/>
      <c r="AE8" s="351"/>
      <c r="AF8" s="351"/>
      <c r="AG8" s="351"/>
      <c r="AH8" s="351"/>
      <c r="AI8" s="351"/>
      <c r="AJ8" s="351"/>
      <c r="AK8" s="351"/>
      <c r="AL8" s="351"/>
      <c r="AM8" s="351"/>
      <c r="AP8" s="351"/>
      <c r="AQ8" s="351"/>
      <c r="AR8" s="351"/>
      <c r="AS8" s="351"/>
      <c r="AT8" s="581"/>
      <c r="AU8" s="351"/>
      <c r="AV8" s="351"/>
      <c r="AW8" s="351"/>
      <c r="AX8" s="351"/>
      <c r="AZ8" s="351"/>
      <c r="BA8" s="351"/>
      <c r="BB8" s="351"/>
    </row>
    <row r="9" spans="1:54" ht="17.45" customHeight="1">
      <c r="A9" s="121"/>
      <c r="AC9" s="351"/>
      <c r="AD9" s="351"/>
      <c r="AE9" s="351"/>
      <c r="AF9" s="351"/>
      <c r="AG9" s="351"/>
      <c r="AH9" s="351"/>
      <c r="AI9" s="351"/>
      <c r="AJ9" s="351"/>
      <c r="AK9" s="351"/>
      <c r="AL9" s="351"/>
      <c r="AM9" s="351"/>
      <c r="AP9" s="998"/>
      <c r="AQ9" s="998"/>
      <c r="AR9" s="998"/>
      <c r="AS9" s="998"/>
      <c r="AT9" s="998"/>
      <c r="AU9" s="998"/>
      <c r="AV9" s="998"/>
      <c r="AW9" s="998"/>
      <c r="AX9" s="998"/>
    </row>
    <row r="10" spans="1:54" ht="23.25" customHeight="1">
      <c r="A10" s="993" t="s">
        <v>3</v>
      </c>
      <c r="B10" s="993"/>
      <c r="C10" s="993"/>
      <c r="D10" s="1005">
        <v>44652</v>
      </c>
      <c r="E10" s="1006"/>
      <c r="G10" s="599"/>
      <c r="H10" s="599"/>
      <c r="I10" s="599"/>
      <c r="J10" s="599"/>
      <c r="K10" s="500"/>
      <c r="L10" s="500"/>
      <c r="M10" s="500"/>
      <c r="N10" s="578"/>
      <c r="O10" s="500"/>
      <c r="P10" s="500"/>
      <c r="Q10" s="500"/>
      <c r="R10" s="500"/>
      <c r="S10" s="627"/>
      <c r="T10" s="500"/>
      <c r="U10" s="599"/>
      <c r="V10" s="500"/>
      <c r="AC10" s="609"/>
      <c r="AD10" s="609"/>
      <c r="AE10" s="609"/>
      <c r="AF10" s="609"/>
      <c r="AG10" s="609"/>
      <c r="AI10" s="121"/>
      <c r="AJ10" s="121"/>
      <c r="AK10" s="609" t="s">
        <v>4</v>
      </c>
      <c r="AL10" s="121"/>
      <c r="AM10" s="121"/>
      <c r="AN10" s="121"/>
      <c r="AO10" s="121"/>
      <c r="AP10" s="609" t="s">
        <v>522</v>
      </c>
      <c r="AQ10" s="123"/>
      <c r="AR10" s="123"/>
      <c r="AS10" s="123"/>
      <c r="AU10" s="123"/>
      <c r="AV10" s="123"/>
      <c r="AW10" s="347"/>
      <c r="AX10" s="347"/>
      <c r="AY10" s="582"/>
      <c r="AZ10" s="347"/>
    </row>
    <row r="11" spans="1:54" ht="24.6" hidden="1" customHeight="1">
      <c r="AP11" s="409" t="s">
        <v>494</v>
      </c>
      <c r="AS11" s="349"/>
      <c r="AT11" s="580"/>
      <c r="AU11" s="349"/>
      <c r="AV11" s="349"/>
      <c r="AW11" s="349"/>
      <c r="AX11" s="349"/>
      <c r="AY11" s="582"/>
      <c r="AZ11" s="349"/>
    </row>
    <row r="12" spans="1:54" ht="24" hidden="1" customHeight="1"/>
    <row r="13" spans="1:54" ht="18.600000000000001" customHeight="1">
      <c r="B13" s="574">
        <v>1</v>
      </c>
      <c r="C13" s="617">
        <v>2</v>
      </c>
      <c r="D13" s="574">
        <v>3</v>
      </c>
      <c r="E13" s="601">
        <v>4</v>
      </c>
      <c r="F13" s="601">
        <v>5</v>
      </c>
      <c r="G13" s="600">
        <v>6</v>
      </c>
      <c r="H13" s="601">
        <v>7</v>
      </c>
      <c r="I13" s="601">
        <v>8</v>
      </c>
      <c r="J13" s="601">
        <v>9</v>
      </c>
      <c r="K13" s="595">
        <v>10</v>
      </c>
      <c r="L13" s="574">
        <v>11</v>
      </c>
      <c r="M13" s="574">
        <v>12</v>
      </c>
      <c r="N13" s="595">
        <v>13</v>
      </c>
      <c r="O13" s="574">
        <v>14</v>
      </c>
      <c r="P13" s="574">
        <v>15</v>
      </c>
      <c r="Q13" s="595">
        <v>16</v>
      </c>
      <c r="R13" s="574">
        <v>17</v>
      </c>
      <c r="S13" s="628">
        <v>18</v>
      </c>
      <c r="T13" s="595">
        <v>19</v>
      </c>
      <c r="U13" s="601">
        <v>20</v>
      </c>
      <c r="V13" s="574">
        <v>21</v>
      </c>
      <c r="W13" s="595">
        <v>22</v>
      </c>
      <c r="X13" s="574">
        <v>23</v>
      </c>
      <c r="Y13" s="574">
        <v>24</v>
      </c>
      <c r="Z13" s="595">
        <v>25</v>
      </c>
      <c r="AA13" s="574">
        <v>26</v>
      </c>
      <c r="AB13" s="574">
        <v>27</v>
      </c>
      <c r="AC13" s="595">
        <v>28</v>
      </c>
      <c r="AD13" s="574">
        <v>29</v>
      </c>
      <c r="AE13" s="574">
        <v>30</v>
      </c>
      <c r="AF13" s="595">
        <v>31</v>
      </c>
      <c r="AG13" s="574">
        <v>32</v>
      </c>
      <c r="AH13" s="574">
        <v>33</v>
      </c>
      <c r="AI13" s="595">
        <v>34</v>
      </c>
      <c r="AJ13" s="574">
        <v>35</v>
      </c>
      <c r="AK13" s="574">
        <v>36</v>
      </c>
      <c r="AL13" s="595">
        <v>37</v>
      </c>
      <c r="AM13" s="574">
        <v>38</v>
      </c>
      <c r="AN13" s="574">
        <v>39</v>
      </c>
      <c r="AO13" s="595">
        <v>40</v>
      </c>
      <c r="AP13" s="574">
        <v>41</v>
      </c>
      <c r="AQ13" s="574">
        <v>42</v>
      </c>
      <c r="AR13" s="595">
        <v>43</v>
      </c>
      <c r="AS13" s="574">
        <v>44</v>
      </c>
      <c r="AT13" s="574">
        <v>45</v>
      </c>
      <c r="AU13" s="595">
        <v>46</v>
      </c>
      <c r="AV13" s="574"/>
      <c r="AW13" s="574"/>
      <c r="AX13" s="574"/>
    </row>
    <row r="14" spans="1:54" s="501" customFormat="1" ht="32.25" customHeight="1">
      <c r="A14" s="631"/>
      <c r="B14" s="515" t="s">
        <v>6</v>
      </c>
      <c r="C14" s="618" t="s">
        <v>48</v>
      </c>
      <c r="D14" s="572" t="s">
        <v>39</v>
      </c>
      <c r="E14" s="608" t="s">
        <v>41</v>
      </c>
      <c r="F14" s="991" t="s">
        <v>8</v>
      </c>
      <c r="G14" s="528" t="s">
        <v>42</v>
      </c>
      <c r="H14" s="607"/>
      <c r="I14" s="607"/>
      <c r="J14" s="607" t="s">
        <v>43</v>
      </c>
      <c r="K14" s="607"/>
      <c r="L14" s="607"/>
      <c r="M14" s="607"/>
      <c r="N14" s="607" t="s">
        <v>44</v>
      </c>
      <c r="O14" s="607" t="s">
        <v>45</v>
      </c>
      <c r="P14" s="607" t="s">
        <v>46</v>
      </c>
      <c r="Q14" s="607" t="s">
        <v>47</v>
      </c>
      <c r="R14" s="607" t="s">
        <v>40</v>
      </c>
      <c r="S14" s="629" t="s">
        <v>132</v>
      </c>
      <c r="T14" s="607" t="s">
        <v>133</v>
      </c>
      <c r="U14" s="992" t="s">
        <v>6</v>
      </c>
      <c r="V14" s="607" t="s">
        <v>495</v>
      </c>
      <c r="W14" s="992" t="s">
        <v>9</v>
      </c>
      <c r="X14" s="992" t="s">
        <v>10</v>
      </c>
      <c r="Y14" s="1001" t="s">
        <v>181</v>
      </c>
      <c r="Z14" s="992" t="s">
        <v>11</v>
      </c>
      <c r="AA14" s="992" t="s">
        <v>12</v>
      </c>
      <c r="AB14" s="992" t="s">
        <v>13</v>
      </c>
      <c r="AC14" s="994" t="s">
        <v>14</v>
      </c>
      <c r="AD14" s="999" t="s">
        <v>15</v>
      </c>
      <c r="AE14" s="999" t="s">
        <v>16</v>
      </c>
      <c r="AF14" s="999" t="s">
        <v>17</v>
      </c>
      <c r="AG14" s="999" t="s">
        <v>18</v>
      </c>
      <c r="AH14" s="995" t="s">
        <v>19</v>
      </c>
      <c r="AI14" s="610" t="s">
        <v>20</v>
      </c>
      <c r="AJ14" s="610" t="s">
        <v>21</v>
      </c>
      <c r="AK14" s="610" t="s">
        <v>22</v>
      </c>
      <c r="AL14" s="607" t="s">
        <v>23</v>
      </c>
      <c r="AM14" s="610" t="s">
        <v>24</v>
      </c>
      <c r="AN14" s="992" t="s">
        <v>25</v>
      </c>
      <c r="AO14" s="992"/>
      <c r="AP14" s="992"/>
      <c r="AQ14" s="992"/>
      <c r="AR14" s="992"/>
      <c r="AS14" s="992"/>
      <c r="AT14" s="996" t="s">
        <v>26</v>
      </c>
      <c r="AU14" s="992" t="s">
        <v>27</v>
      </c>
      <c r="AV14" s="607" t="s">
        <v>28</v>
      </c>
      <c r="AW14" s="992" t="s">
        <v>29</v>
      </c>
      <c r="AX14" s="992" t="s">
        <v>30</v>
      </c>
      <c r="AY14" s="990" t="s">
        <v>7</v>
      </c>
    </row>
    <row r="15" spans="1:54" ht="27.6" hidden="1" customHeight="1">
      <c r="B15" s="684"/>
      <c r="C15" s="685"/>
      <c r="D15" s="686"/>
      <c r="E15" s="687"/>
      <c r="F15" s="991"/>
      <c r="G15" s="688"/>
      <c r="H15" s="689"/>
      <c r="I15" s="689"/>
      <c r="J15" s="689"/>
      <c r="K15" s="689"/>
      <c r="L15" s="689"/>
      <c r="M15" s="689"/>
      <c r="N15" s="689"/>
      <c r="O15" s="689"/>
      <c r="P15" s="689"/>
      <c r="Q15" s="689"/>
      <c r="R15" s="689"/>
      <c r="S15" s="690"/>
      <c r="T15" s="689"/>
      <c r="U15" s="992"/>
      <c r="V15" s="691"/>
      <c r="W15" s="992"/>
      <c r="X15" s="992"/>
      <c r="Y15" s="1001"/>
      <c r="Z15" s="992"/>
      <c r="AA15" s="992"/>
      <c r="AB15" s="992"/>
      <c r="AC15" s="994"/>
      <c r="AD15" s="1000"/>
      <c r="AE15" s="1000"/>
      <c r="AF15" s="1000"/>
      <c r="AG15" s="1000"/>
      <c r="AH15" s="995"/>
      <c r="AI15" s="691"/>
      <c r="AJ15" s="691"/>
      <c r="AK15" s="691"/>
      <c r="AL15" s="691"/>
      <c r="AM15" s="691"/>
      <c r="AN15" s="692" t="s">
        <v>31</v>
      </c>
      <c r="AO15" s="692" t="s">
        <v>32</v>
      </c>
      <c r="AP15" s="692" t="s">
        <v>33</v>
      </c>
      <c r="AQ15" s="692" t="s">
        <v>34</v>
      </c>
      <c r="AR15" s="692" t="s">
        <v>35</v>
      </c>
      <c r="AS15" s="693" t="s">
        <v>36</v>
      </c>
      <c r="AT15" s="996"/>
      <c r="AU15" s="992"/>
      <c r="AV15" s="689"/>
      <c r="AW15" s="992"/>
      <c r="AX15" s="992"/>
      <c r="AY15" s="990"/>
    </row>
    <row r="16" spans="1:54" s="695" customFormat="1" ht="22.9" customHeight="1">
      <c r="A16" s="700" t="s">
        <v>750</v>
      </c>
      <c r="B16" s="894" t="s">
        <v>726</v>
      </c>
      <c r="C16" s="706">
        <v>31453</v>
      </c>
      <c r="D16" s="694" t="s">
        <v>499</v>
      </c>
      <c r="E16" s="694" t="s">
        <v>739</v>
      </c>
      <c r="F16" s="707" t="s">
        <v>736</v>
      </c>
      <c r="G16" s="694" t="s">
        <v>740</v>
      </c>
      <c r="J16" s="694" t="s">
        <v>740</v>
      </c>
      <c r="N16" s="696">
        <v>44470</v>
      </c>
      <c r="S16" s="708" t="s">
        <v>776</v>
      </c>
      <c r="T16" s="701" t="s">
        <v>37</v>
      </c>
      <c r="U16" s="709" t="s">
        <v>726</v>
      </c>
      <c r="V16" s="702">
        <v>30</v>
      </c>
      <c r="W16" s="842">
        <f>VLOOKUP(A16,'[1]Pay sheet-APRIL- 2022'!$C$57:$AF$129,10,0)</f>
        <v>30</v>
      </c>
      <c r="X16" s="844" t="s">
        <v>37</v>
      </c>
      <c r="Y16" s="709">
        <v>80278</v>
      </c>
      <c r="Z16" s="752">
        <f>VLOOKUP(A16,'[1]Pay sheet-APRIL- 2022'!$C$57:$AF$129,11,0)</f>
        <v>48166.8</v>
      </c>
      <c r="AA16" s="703">
        <v>0</v>
      </c>
      <c r="AB16" s="703">
        <v>0</v>
      </c>
      <c r="AC16" s="847">
        <f t="shared" ref="AC16:AC35" si="0">AD16+AE16+AF16+AG16</f>
        <v>32224.199999999997</v>
      </c>
      <c r="AD16" s="752">
        <f>VLOOKUP(A16,'[1]Pay sheet-APRIL- 2022'!$C$57:$AF$129,12,0)</f>
        <v>19266.72</v>
      </c>
      <c r="AE16" s="752">
        <f>VLOOKUP(A16,'[1]Pay sheet-APRIL- 2022'!$C$57:$AF$129,13,0)</f>
        <v>2083</v>
      </c>
      <c r="AF16" s="752">
        <f>VLOOKUP(A16,'[1]Pay sheet-APRIL- 2022'!$C$57:$AF$129,14,0)</f>
        <v>2083</v>
      </c>
      <c r="AG16" s="752">
        <f>VLOOKUP(A16,'[1]Pay sheet-APRIL- 2022'!$C$57:$AF$129,15,0)</f>
        <v>8791.4799999999959</v>
      </c>
      <c r="AH16" s="848">
        <f t="shared" ref="AH16:AH35" si="1">Z16+AC16</f>
        <v>80391</v>
      </c>
      <c r="AI16" s="752">
        <f>VLOOKUP(A16,'[1]Pay sheet-APRIL- 2022'!$C$57:$AF$129,18,0)</f>
        <v>1554.6089999999999</v>
      </c>
      <c r="AJ16" s="752">
        <f>VLOOKUP(A16,'[1]Pay sheet-APRIL- 2022'!$C$57:$AF$129,19,0)</f>
        <v>2316.8230800000001</v>
      </c>
      <c r="AK16" s="752">
        <f>VLOOKUP(A16,'[1]Pay sheet-APRIL- 2022'!$C$57:$AF$129,20,0)</f>
        <v>4013.9</v>
      </c>
      <c r="AL16" s="752">
        <f>VLOOKUP(A16,'[1]Pay sheet-APRIL- 2022'!$C$57:$AF$129,22,0)</f>
        <v>0</v>
      </c>
      <c r="AM16" s="704">
        <f t="shared" ref="AM16:AM35" si="2">Z16+AD16+AE16+AF16+AG16+AI16+AJ16+AK16</f>
        <v>88276.332079999993</v>
      </c>
      <c r="AN16" s="761">
        <v>0</v>
      </c>
      <c r="AO16" s="752">
        <f>VLOOKUP(A16,'[1]Pay sheet-APRIL- 2022'!$C$57:$AF$129,26,0)</f>
        <v>1800</v>
      </c>
      <c r="AP16" s="752">
        <f>VLOOKUP(A16,'[1]Pay sheet-APRIL- 2022'!$C$57:$AF$129,25,0)</f>
        <v>200</v>
      </c>
      <c r="AQ16" s="752">
        <f>VLOOKUP(A16,'[1]Pay sheet-APRIL- 2022'!$C$57:$AF$129,24,0)</f>
        <v>0</v>
      </c>
      <c r="AR16" s="752">
        <f>VLOOKUP(A16,'[1]Pay sheet-APRIL- 2022'!$C$57:$AF$129,27,0)</f>
        <v>254</v>
      </c>
      <c r="AS16" s="763">
        <f t="shared" ref="AS16:AS35" si="3">SUM(AO16:AR16)</f>
        <v>2254</v>
      </c>
      <c r="AT16" s="705">
        <f t="shared" ref="AT16:AT35" si="4">AM16+AL16+-AS16</f>
        <v>86022.332079999993</v>
      </c>
      <c r="AU16" s="858" t="s">
        <v>899</v>
      </c>
      <c r="AV16" s="707" t="s">
        <v>731</v>
      </c>
      <c r="AW16" s="710" t="s">
        <v>732</v>
      </c>
      <c r="AY16" s="694">
        <v>53</v>
      </c>
      <c r="AZ16" s="695">
        <v>1</v>
      </c>
    </row>
    <row r="17" spans="1:52" s="695" customFormat="1" ht="22.9" customHeight="1">
      <c r="A17" s="700" t="s">
        <v>751</v>
      </c>
      <c r="B17" s="895" t="s">
        <v>727</v>
      </c>
      <c r="C17" s="711">
        <v>31507</v>
      </c>
      <c r="D17" s="694" t="s">
        <v>499</v>
      </c>
      <c r="E17" s="694" t="s">
        <v>744</v>
      </c>
      <c r="F17" s="707" t="s">
        <v>737</v>
      </c>
      <c r="G17" s="694" t="s">
        <v>748</v>
      </c>
      <c r="J17" s="694" t="s">
        <v>746</v>
      </c>
      <c r="N17" s="697">
        <v>44491</v>
      </c>
      <c r="S17" s="710" t="s">
        <v>777</v>
      </c>
      <c r="T17" s="701" t="s">
        <v>37</v>
      </c>
      <c r="U17" s="694" t="s">
        <v>727</v>
      </c>
      <c r="V17" s="702">
        <v>30</v>
      </c>
      <c r="W17" s="842">
        <f>VLOOKUP(A17,'[1]Pay sheet-APRIL- 2022'!$C$57:$AF$129,10,0)</f>
        <v>30</v>
      </c>
      <c r="X17" s="844" t="s">
        <v>37</v>
      </c>
      <c r="Y17" s="709">
        <v>143307</v>
      </c>
      <c r="Z17" s="752">
        <f>VLOOKUP(A17,'[1]Pay sheet-APRIL- 2022'!$C$57:$AF$129,11,0)</f>
        <v>85984.2</v>
      </c>
      <c r="AA17" s="703">
        <v>0</v>
      </c>
      <c r="AB17" s="703">
        <v>0</v>
      </c>
      <c r="AC17" s="847">
        <f t="shared" si="0"/>
        <v>57435.799999999996</v>
      </c>
      <c r="AD17" s="752">
        <f>VLOOKUP(A17,'[1]Pay sheet-APRIL- 2022'!$C$57:$AF$129,12,0)</f>
        <v>34393.68</v>
      </c>
      <c r="AE17" s="752">
        <f>VLOOKUP(A17,'[1]Pay sheet-APRIL- 2022'!$C$57:$AF$129,13,0)</f>
        <v>2083</v>
      </c>
      <c r="AF17" s="752">
        <f>VLOOKUP(A17,'[1]Pay sheet-APRIL- 2022'!$C$57:$AF$129,14,0)</f>
        <v>2083</v>
      </c>
      <c r="AG17" s="752">
        <f>VLOOKUP(A17,'[1]Pay sheet-APRIL- 2022'!$C$57:$AF$129,15,0)</f>
        <v>18876.119999999995</v>
      </c>
      <c r="AH17" s="848">
        <f t="shared" si="1"/>
        <v>143420</v>
      </c>
      <c r="AI17" s="752">
        <f>VLOOKUP(A17,'[1]Pay sheet-APRIL- 2022'!$C$57:$AF$129,18,0)</f>
        <v>1554.6089999999999</v>
      </c>
      <c r="AJ17" s="752">
        <f>VLOOKUP(A17,'[1]Pay sheet-APRIL- 2022'!$C$57:$AF$129,19,0)</f>
        <v>4135.8400199999996</v>
      </c>
      <c r="AK17" s="752">
        <f>VLOOKUP(A17,'[1]Pay sheet-APRIL- 2022'!$C$57:$AF$129,20,0)</f>
        <v>7165.3499999999995</v>
      </c>
      <c r="AL17" s="752">
        <f>VLOOKUP(A17,'[1]Pay sheet-APRIL- 2022'!$C$57:$AF$129,22,0)</f>
        <v>0</v>
      </c>
      <c r="AM17" s="704">
        <f t="shared" si="2"/>
        <v>156275.79902000001</v>
      </c>
      <c r="AN17" s="761">
        <v>0</v>
      </c>
      <c r="AO17" s="752">
        <f>VLOOKUP(A17,'[1]Pay sheet-APRIL- 2022'!$C$57:$AF$129,26,0)</f>
        <v>1800</v>
      </c>
      <c r="AP17" s="752">
        <f>VLOOKUP(A17,'[1]Pay sheet-APRIL- 2022'!$C$57:$AF$129,25,0)</f>
        <v>200</v>
      </c>
      <c r="AQ17" s="752">
        <f>VLOOKUP(A17,'[1]Pay sheet-APRIL- 2022'!$C$57:$AF$129,24,0)</f>
        <v>0</v>
      </c>
      <c r="AR17" s="752">
        <f>VLOOKUP(A17,'[1]Pay sheet-APRIL- 2022'!$C$57:$AF$129,27,0)</f>
        <v>254</v>
      </c>
      <c r="AS17" s="763">
        <f t="shared" si="3"/>
        <v>2254</v>
      </c>
      <c r="AT17" s="705">
        <f t="shared" si="4"/>
        <v>154021.79902000001</v>
      </c>
      <c r="AU17" s="858" t="s">
        <v>899</v>
      </c>
      <c r="AV17" s="707" t="s">
        <v>731</v>
      </c>
      <c r="AW17" s="710" t="s">
        <v>733</v>
      </c>
      <c r="AY17" s="694">
        <v>54</v>
      </c>
      <c r="AZ17" s="695">
        <v>2</v>
      </c>
    </row>
    <row r="18" spans="1:52" s="695" customFormat="1" ht="22.9" customHeight="1">
      <c r="A18" s="700" t="s">
        <v>752</v>
      </c>
      <c r="B18" s="896" t="s">
        <v>728</v>
      </c>
      <c r="C18" s="706">
        <v>29965</v>
      </c>
      <c r="D18" s="695" t="s">
        <v>730</v>
      </c>
      <c r="E18" s="694" t="s">
        <v>747</v>
      </c>
      <c r="F18" s="712" t="s">
        <v>738</v>
      </c>
      <c r="G18" s="694" t="s">
        <v>745</v>
      </c>
      <c r="J18" s="694" t="s">
        <v>748</v>
      </c>
      <c r="N18" s="697">
        <v>44495</v>
      </c>
      <c r="S18" s="710" t="s">
        <v>749</v>
      </c>
      <c r="T18" s="701" t="s">
        <v>37</v>
      </c>
      <c r="U18" s="694" t="s">
        <v>728</v>
      </c>
      <c r="V18" s="702">
        <v>30</v>
      </c>
      <c r="W18" s="842">
        <f>VLOOKUP(A18,'[1]Pay sheet-APRIL- 2022'!$C$57:$AF$129,10,0)</f>
        <v>30</v>
      </c>
      <c r="X18" s="844" t="s">
        <v>37</v>
      </c>
      <c r="Y18" s="709">
        <v>55251</v>
      </c>
      <c r="Z18" s="752">
        <f>VLOOKUP(A18,'[1]Pay sheet-APRIL- 2022'!$C$57:$AF$129,11,0)</f>
        <v>33150.6</v>
      </c>
      <c r="AA18" s="703">
        <v>0</v>
      </c>
      <c r="AB18" s="703">
        <v>0</v>
      </c>
      <c r="AC18" s="847">
        <f t="shared" si="0"/>
        <v>22213.4</v>
      </c>
      <c r="AD18" s="752">
        <f>VLOOKUP(A18,'[1]Pay sheet-APRIL- 2022'!$C$57:$AF$129,12,0)</f>
        <v>13260.24</v>
      </c>
      <c r="AE18" s="752">
        <f>VLOOKUP(A18,'[1]Pay sheet-APRIL- 2022'!$C$57:$AF$129,13,0)</f>
        <v>2083</v>
      </c>
      <c r="AF18" s="752">
        <f>VLOOKUP(A18,'[1]Pay sheet-APRIL- 2022'!$C$57:$AF$129,14,0)</f>
        <v>2083</v>
      </c>
      <c r="AG18" s="752">
        <f>VLOOKUP(A18,'[1]Pay sheet-APRIL- 2022'!$C$57:$AF$129,15,0)</f>
        <v>4787.1600000000035</v>
      </c>
      <c r="AH18" s="848">
        <f t="shared" si="1"/>
        <v>55364</v>
      </c>
      <c r="AI18" s="752">
        <f>VLOOKUP(A18,'[1]Pay sheet-APRIL- 2022'!$C$57:$AF$129,18,0)</f>
        <v>1554.6089999999999</v>
      </c>
      <c r="AJ18" s="752">
        <f>VLOOKUP(A18,'[1]Pay sheet-APRIL- 2022'!$C$57:$AF$129,19,0)</f>
        <v>1594.5438599999998</v>
      </c>
      <c r="AK18" s="752">
        <f>VLOOKUP(A18,'[1]Pay sheet-APRIL- 2022'!$C$57:$AF$129,20,0)</f>
        <v>2762.5499999999997</v>
      </c>
      <c r="AL18" s="752">
        <f>VLOOKUP(A18,'[1]Pay sheet-APRIL- 2022'!$C$57:$AF$129,22,0)</f>
        <v>0</v>
      </c>
      <c r="AM18" s="704">
        <f t="shared" si="2"/>
        <v>61275.702859999998</v>
      </c>
      <c r="AN18" s="761">
        <v>0</v>
      </c>
      <c r="AO18" s="752">
        <f>VLOOKUP(A18,'[1]Pay sheet-APRIL- 2022'!$C$57:$AF$129,26,0)</f>
        <v>1800</v>
      </c>
      <c r="AP18" s="752">
        <f>VLOOKUP(A18,'[1]Pay sheet-APRIL- 2022'!$C$57:$AF$129,25,0)</f>
        <v>200</v>
      </c>
      <c r="AQ18" s="752">
        <f>VLOOKUP(A18,'[1]Pay sheet-APRIL- 2022'!$C$57:$AF$129,24,0)</f>
        <v>0</v>
      </c>
      <c r="AR18" s="752">
        <f>VLOOKUP(A18,'[1]Pay sheet-APRIL- 2022'!$C$57:$AF$129,27,0)</f>
        <v>286</v>
      </c>
      <c r="AS18" s="763">
        <f t="shared" si="3"/>
        <v>2286</v>
      </c>
      <c r="AT18" s="705">
        <f t="shared" si="4"/>
        <v>58989.702859999998</v>
      </c>
      <c r="AU18" s="858" t="s">
        <v>899</v>
      </c>
      <c r="AV18" s="698" t="s">
        <v>734</v>
      </c>
      <c r="AW18" s="707">
        <v>20101763786</v>
      </c>
      <c r="AY18" s="694">
        <v>55</v>
      </c>
      <c r="AZ18" s="695">
        <v>3</v>
      </c>
    </row>
    <row r="19" spans="1:52" s="695" customFormat="1" ht="22.9" customHeight="1">
      <c r="A19" s="700" t="s">
        <v>758</v>
      </c>
      <c r="B19" s="897" t="s">
        <v>755</v>
      </c>
      <c r="C19" s="706">
        <v>31205</v>
      </c>
      <c r="D19" s="694" t="s">
        <v>499</v>
      </c>
      <c r="E19" s="694" t="s">
        <v>761</v>
      </c>
      <c r="F19" s="712" t="s">
        <v>525</v>
      </c>
      <c r="G19" s="694" t="s">
        <v>762</v>
      </c>
      <c r="H19" s="694" t="s">
        <v>762</v>
      </c>
      <c r="I19" s="697"/>
      <c r="J19" s="694" t="s">
        <v>762</v>
      </c>
      <c r="N19" s="697">
        <v>44509</v>
      </c>
      <c r="S19" s="708" t="s">
        <v>765</v>
      </c>
      <c r="T19" s="701" t="s">
        <v>37</v>
      </c>
      <c r="U19" s="604" t="s">
        <v>755</v>
      </c>
      <c r="V19" s="702">
        <v>30</v>
      </c>
      <c r="W19" s="842">
        <f>VLOOKUP(A19,'[1]Pay sheet-APRIL- 2022'!$C$57:$AF$129,10,0)</f>
        <v>30</v>
      </c>
      <c r="X19" s="844" t="s">
        <v>37</v>
      </c>
      <c r="Y19" s="713">
        <v>104377</v>
      </c>
      <c r="Z19" s="752">
        <f>VLOOKUP(A19,'[1]Pay sheet-APRIL- 2022'!$C$57:$AF$129,11,0)</f>
        <v>62626.2</v>
      </c>
      <c r="AA19" s="703">
        <v>0</v>
      </c>
      <c r="AB19" s="703">
        <v>0</v>
      </c>
      <c r="AC19" s="847">
        <f t="shared" si="0"/>
        <v>41863.800000000003</v>
      </c>
      <c r="AD19" s="752">
        <f>VLOOKUP(A19,'[1]Pay sheet-APRIL- 2022'!$C$57:$AF$129,12,0)</f>
        <v>25050.48</v>
      </c>
      <c r="AE19" s="752">
        <f>VLOOKUP(A19,'[1]Pay sheet-APRIL- 2022'!$C$57:$AF$129,13,0)</f>
        <v>2083</v>
      </c>
      <c r="AF19" s="752">
        <f>VLOOKUP(A19,'[1]Pay sheet-APRIL- 2022'!$C$57:$AF$129,14,0)</f>
        <v>2083</v>
      </c>
      <c r="AG19" s="752">
        <f>VLOOKUP(A19,'[1]Pay sheet-APRIL- 2022'!$C$57:$AF$129,15,0)</f>
        <v>12647.320000000007</v>
      </c>
      <c r="AH19" s="848">
        <f t="shared" si="1"/>
        <v>104490</v>
      </c>
      <c r="AI19" s="752">
        <f>VLOOKUP(A19,'[1]Pay sheet-APRIL- 2022'!$C$57:$AF$129,18,0)</f>
        <v>1554.6089999999999</v>
      </c>
      <c r="AJ19" s="752">
        <f>VLOOKUP(A19,'[1]Pay sheet-APRIL- 2022'!$C$57:$AF$129,19,0)</f>
        <v>3012.3202199999996</v>
      </c>
      <c r="AK19" s="752">
        <f>VLOOKUP(A19,'[1]Pay sheet-APRIL- 2022'!$C$57:$AF$129,20,0)</f>
        <v>5218.8499999999995</v>
      </c>
      <c r="AL19" s="752">
        <f>VLOOKUP(A19,'[1]Pay sheet-APRIL- 2022'!$C$57:$AF$129,22,0)</f>
        <v>0</v>
      </c>
      <c r="AM19" s="704">
        <f t="shared" si="2"/>
        <v>114275.77922</v>
      </c>
      <c r="AN19" s="761">
        <v>0</v>
      </c>
      <c r="AO19" s="752">
        <f>VLOOKUP(A19,'[1]Pay sheet-APRIL- 2022'!$C$57:$AF$129,26,0)</f>
        <v>1800</v>
      </c>
      <c r="AP19" s="752">
        <f>VLOOKUP(A19,'[1]Pay sheet-APRIL- 2022'!$C$57:$AF$129,25,0)</f>
        <v>200</v>
      </c>
      <c r="AQ19" s="752">
        <f>VLOOKUP(A19,'[1]Pay sheet-APRIL- 2022'!$C$57:$AF$129,24,0)</f>
        <v>0</v>
      </c>
      <c r="AR19" s="752">
        <f>VLOOKUP(A19,'[1]Pay sheet-APRIL- 2022'!$C$57:$AF$129,27,0)</f>
        <v>283</v>
      </c>
      <c r="AS19" s="763">
        <f t="shared" si="3"/>
        <v>2283</v>
      </c>
      <c r="AT19" s="705">
        <f t="shared" si="4"/>
        <v>111992.77922</v>
      </c>
      <c r="AU19" s="858" t="s">
        <v>899</v>
      </c>
      <c r="AV19" s="695" t="s">
        <v>763</v>
      </c>
      <c r="AW19" s="714" t="s">
        <v>764</v>
      </c>
      <c r="AY19" s="694">
        <v>57</v>
      </c>
      <c r="AZ19" s="695">
        <v>4</v>
      </c>
    </row>
    <row r="20" spans="1:52" s="695" customFormat="1" ht="22.9" customHeight="1">
      <c r="A20" s="700" t="s">
        <v>759</v>
      </c>
      <c r="B20" s="897" t="s">
        <v>756</v>
      </c>
      <c r="C20" s="706">
        <v>32931</v>
      </c>
      <c r="D20" s="694" t="s">
        <v>499</v>
      </c>
      <c r="E20" s="694" t="s">
        <v>766</v>
      </c>
      <c r="F20" s="712" t="s">
        <v>525</v>
      </c>
      <c r="G20" s="694" t="s">
        <v>767</v>
      </c>
      <c r="I20" s="697"/>
      <c r="J20" s="694" t="s">
        <v>767</v>
      </c>
      <c r="N20" s="697">
        <v>44515</v>
      </c>
      <c r="S20" s="708" t="s">
        <v>768</v>
      </c>
      <c r="T20" s="701" t="s">
        <v>37</v>
      </c>
      <c r="U20" s="604" t="s">
        <v>756</v>
      </c>
      <c r="V20" s="702">
        <v>30</v>
      </c>
      <c r="W20" s="842">
        <f>VLOOKUP(A20,'[1]Pay sheet-APRIL- 2022'!$C$57:$AF$129,10,0)</f>
        <v>30</v>
      </c>
      <c r="X20" s="844" t="s">
        <v>37</v>
      </c>
      <c r="Y20" s="713">
        <v>66374</v>
      </c>
      <c r="Z20" s="752">
        <f>VLOOKUP(A20,'[1]Pay sheet-APRIL- 2022'!$C$57:$AF$129,11,0)</f>
        <v>39824.400000000001</v>
      </c>
      <c r="AA20" s="703">
        <v>0</v>
      </c>
      <c r="AB20" s="703">
        <v>0</v>
      </c>
      <c r="AC20" s="847">
        <f t="shared" si="0"/>
        <v>26662.6</v>
      </c>
      <c r="AD20" s="752">
        <f>VLOOKUP(A20,'[1]Pay sheet-APRIL- 2022'!$C$57:$AF$129,12,0)</f>
        <v>15929.760000000002</v>
      </c>
      <c r="AE20" s="752">
        <f>VLOOKUP(A20,'[1]Pay sheet-APRIL- 2022'!$C$57:$AF$129,13,0)</f>
        <v>2083</v>
      </c>
      <c r="AF20" s="752">
        <f>VLOOKUP(A20,'[1]Pay sheet-APRIL- 2022'!$C$57:$AF$129,14,0)</f>
        <v>2083</v>
      </c>
      <c r="AG20" s="752">
        <f>VLOOKUP(A20,'[1]Pay sheet-APRIL- 2022'!$C$57:$AF$129,15,0)</f>
        <v>6566.8399999999965</v>
      </c>
      <c r="AH20" s="848">
        <f t="shared" si="1"/>
        <v>66487</v>
      </c>
      <c r="AI20" s="752">
        <f>VLOOKUP(A20,'[1]Pay sheet-APRIL- 2022'!$C$57:$AF$129,18,0)</f>
        <v>1554.6089999999999</v>
      </c>
      <c r="AJ20" s="752">
        <f>VLOOKUP(A20,'[1]Pay sheet-APRIL- 2022'!$C$57:$AF$129,19,0)</f>
        <v>1915.5536400000001</v>
      </c>
      <c r="AK20" s="752">
        <f>VLOOKUP(A20,'[1]Pay sheet-APRIL- 2022'!$C$57:$AF$129,20,0)</f>
        <v>3318.7000000000003</v>
      </c>
      <c r="AL20" s="752">
        <f>VLOOKUP(A20,'[1]Pay sheet-APRIL- 2022'!$C$57:$AF$129,22,0)</f>
        <v>0</v>
      </c>
      <c r="AM20" s="704">
        <f t="shared" si="2"/>
        <v>73275.862639999992</v>
      </c>
      <c r="AN20" s="761">
        <v>0</v>
      </c>
      <c r="AO20" s="752">
        <f>VLOOKUP(A20,'[1]Pay sheet-APRIL- 2022'!$C$57:$AF$129,26,0)</f>
        <v>1800</v>
      </c>
      <c r="AP20" s="752">
        <f>VLOOKUP(A20,'[1]Pay sheet-APRIL- 2022'!$C$57:$AF$129,25,0)</f>
        <v>200</v>
      </c>
      <c r="AQ20" s="752">
        <f>VLOOKUP(A20,'[1]Pay sheet-APRIL- 2022'!$C$57:$AF$129,24,0)</f>
        <v>0</v>
      </c>
      <c r="AR20" s="752">
        <f>VLOOKUP(A20,'[1]Pay sheet-APRIL- 2022'!$C$57:$AF$129,27,0)</f>
        <v>252</v>
      </c>
      <c r="AS20" s="763">
        <f t="shared" si="3"/>
        <v>2252</v>
      </c>
      <c r="AT20" s="705">
        <f t="shared" si="4"/>
        <v>71023.862639999992</v>
      </c>
      <c r="AU20" s="858" t="s">
        <v>899</v>
      </c>
      <c r="AV20" s="695" t="s">
        <v>735</v>
      </c>
      <c r="AW20" s="714" t="s">
        <v>769</v>
      </c>
      <c r="AY20" s="694">
        <v>58</v>
      </c>
      <c r="AZ20" s="695">
        <v>5</v>
      </c>
    </row>
    <row r="21" spans="1:52" s="695" customFormat="1" ht="22.9" customHeight="1">
      <c r="A21" s="700" t="s">
        <v>760</v>
      </c>
      <c r="B21" s="898" t="s">
        <v>757</v>
      </c>
      <c r="C21" s="706">
        <v>31279</v>
      </c>
      <c r="D21" s="694" t="s">
        <v>499</v>
      </c>
      <c r="E21" s="694" t="s">
        <v>770</v>
      </c>
      <c r="F21" s="694" t="s">
        <v>771</v>
      </c>
      <c r="G21" s="694" t="s">
        <v>772</v>
      </c>
      <c r="I21" s="697"/>
      <c r="J21" s="694" t="s">
        <v>772</v>
      </c>
      <c r="N21" s="697">
        <v>44522</v>
      </c>
      <c r="S21" s="708" t="s">
        <v>773</v>
      </c>
      <c r="T21" s="701" t="s">
        <v>37</v>
      </c>
      <c r="U21" s="605" t="s">
        <v>757</v>
      </c>
      <c r="V21" s="702">
        <v>30</v>
      </c>
      <c r="W21" s="842">
        <f>VLOOKUP(A21,'[1]Pay sheet-APRIL- 2022'!$C$57:$AF$129,10,0)</f>
        <v>30</v>
      </c>
      <c r="X21" s="844" t="s">
        <v>37</v>
      </c>
      <c r="Y21" s="713">
        <v>80278</v>
      </c>
      <c r="Z21" s="752">
        <f>VLOOKUP(A21,'[1]Pay sheet-APRIL- 2022'!$C$57:$AF$129,11,0)</f>
        <v>48166.8</v>
      </c>
      <c r="AA21" s="703">
        <v>0</v>
      </c>
      <c r="AB21" s="703">
        <v>0</v>
      </c>
      <c r="AC21" s="847">
        <f t="shared" si="0"/>
        <v>32224.199999999997</v>
      </c>
      <c r="AD21" s="752">
        <f>VLOOKUP(A21,'[1]Pay sheet-APRIL- 2022'!$C$57:$AF$129,12,0)</f>
        <v>19266.72</v>
      </c>
      <c r="AE21" s="752">
        <f>VLOOKUP(A21,'[1]Pay sheet-APRIL- 2022'!$C$57:$AF$129,13,0)</f>
        <v>2083</v>
      </c>
      <c r="AF21" s="752">
        <f>VLOOKUP(A21,'[1]Pay sheet-APRIL- 2022'!$C$57:$AF$129,14,0)</f>
        <v>2083</v>
      </c>
      <c r="AG21" s="752">
        <f>VLOOKUP(A21,'[1]Pay sheet-APRIL- 2022'!$C$57:$AF$129,15,0)</f>
        <v>8791.4799999999959</v>
      </c>
      <c r="AH21" s="848">
        <f t="shared" si="1"/>
        <v>80391</v>
      </c>
      <c r="AI21" s="752">
        <f>VLOOKUP(A21,'[1]Pay sheet-APRIL- 2022'!$C$57:$AF$129,18,0)</f>
        <v>1554.6089999999999</v>
      </c>
      <c r="AJ21" s="752">
        <f>VLOOKUP(A21,'[1]Pay sheet-APRIL- 2022'!$C$57:$AF$129,19,0)</f>
        <v>2316.8230800000001</v>
      </c>
      <c r="AK21" s="752">
        <f>VLOOKUP(A21,'[1]Pay sheet-APRIL- 2022'!$C$57:$AF$129,20,0)</f>
        <v>4013.9</v>
      </c>
      <c r="AL21" s="752">
        <f>VLOOKUP(A21,'[1]Pay sheet-APRIL- 2022'!$C$57:$AF$129,22,0)</f>
        <v>0</v>
      </c>
      <c r="AM21" s="704">
        <f t="shared" si="2"/>
        <v>88276.332079999993</v>
      </c>
      <c r="AN21" s="761">
        <v>0</v>
      </c>
      <c r="AO21" s="752">
        <f>VLOOKUP(A21,'[1]Pay sheet-APRIL- 2022'!$C$57:$AF$129,26,0)</f>
        <v>1800</v>
      </c>
      <c r="AP21" s="752">
        <f>VLOOKUP(A21,'[1]Pay sheet-APRIL- 2022'!$C$57:$AF$129,25,0)</f>
        <v>200</v>
      </c>
      <c r="AQ21" s="752">
        <f>VLOOKUP(A21,'[1]Pay sheet-APRIL- 2022'!$C$57:$AF$129,24,0)</f>
        <v>0</v>
      </c>
      <c r="AR21" s="752">
        <f>VLOOKUP(A21,'[1]Pay sheet-APRIL- 2022'!$C$57:$AF$129,27,0)</f>
        <v>283</v>
      </c>
      <c r="AS21" s="763">
        <f t="shared" si="3"/>
        <v>2283</v>
      </c>
      <c r="AT21" s="705">
        <f t="shared" si="4"/>
        <v>85993.332079999993</v>
      </c>
      <c r="AU21" s="858" t="s">
        <v>899</v>
      </c>
      <c r="AV21" s="695" t="s">
        <v>774</v>
      </c>
      <c r="AW21" s="714" t="s">
        <v>775</v>
      </c>
      <c r="AY21" s="694">
        <v>59</v>
      </c>
      <c r="AZ21" s="695">
        <v>6</v>
      </c>
    </row>
    <row r="22" spans="1:52" s="695" customFormat="1" ht="22.9" customHeight="1">
      <c r="A22" s="700" t="s">
        <v>784</v>
      </c>
      <c r="B22" s="897" t="s">
        <v>778</v>
      </c>
      <c r="C22" s="706">
        <v>33778</v>
      </c>
      <c r="D22" s="694" t="s">
        <v>499</v>
      </c>
      <c r="E22" s="694" t="s">
        <v>790</v>
      </c>
      <c r="F22" s="694" t="s">
        <v>525</v>
      </c>
      <c r="G22" s="694" t="s">
        <v>791</v>
      </c>
      <c r="I22" s="698" t="s">
        <v>783</v>
      </c>
      <c r="J22" s="694" t="s">
        <v>791</v>
      </c>
      <c r="K22" s="698" t="s">
        <v>783</v>
      </c>
      <c r="L22" s="698" t="s">
        <v>783</v>
      </c>
      <c r="M22" s="698" t="s">
        <v>783</v>
      </c>
      <c r="N22" s="699">
        <v>44536</v>
      </c>
      <c r="S22" s="708" t="s">
        <v>792</v>
      </c>
      <c r="T22" s="701" t="s">
        <v>37</v>
      </c>
      <c r="U22" s="698" t="s">
        <v>778</v>
      </c>
      <c r="V22" s="702">
        <v>30</v>
      </c>
      <c r="W22" s="842">
        <f>VLOOKUP(A22,'[1]Pay sheet-APRIL- 2022'!$C$57:$AF$129,10,0)</f>
        <v>30</v>
      </c>
      <c r="X22" s="844" t="s">
        <v>37</v>
      </c>
      <c r="Y22" s="709">
        <v>54324</v>
      </c>
      <c r="Z22" s="752">
        <f>VLOOKUP(A22,'[1]Pay sheet-APRIL- 2022'!$C$57:$AF$129,11,0)</f>
        <v>32594.400000000001</v>
      </c>
      <c r="AA22" s="703">
        <v>0</v>
      </c>
      <c r="AB22" s="703">
        <v>0</v>
      </c>
      <c r="AC22" s="847">
        <f t="shared" si="0"/>
        <v>21842.6</v>
      </c>
      <c r="AD22" s="752">
        <f>VLOOKUP(A22,'[1]Pay sheet-APRIL- 2022'!$C$57:$AF$129,12,0)</f>
        <v>13037.760000000002</v>
      </c>
      <c r="AE22" s="752">
        <f>VLOOKUP(A22,'[1]Pay sheet-APRIL- 2022'!$C$57:$AF$129,13,0)</f>
        <v>2083</v>
      </c>
      <c r="AF22" s="752">
        <f>VLOOKUP(A22,'[1]Pay sheet-APRIL- 2022'!$C$57:$AF$129,14,0)</f>
        <v>2083</v>
      </c>
      <c r="AG22" s="752">
        <f>VLOOKUP(A22,'[1]Pay sheet-APRIL- 2022'!$C$57:$AF$129,15,0)</f>
        <v>4638.8399999999965</v>
      </c>
      <c r="AH22" s="848">
        <f t="shared" si="1"/>
        <v>54437</v>
      </c>
      <c r="AI22" s="752">
        <f>VLOOKUP(A22,'[1]Pay sheet-APRIL- 2022'!$C$57:$AF$129,18,0)</f>
        <v>1554.6089999999999</v>
      </c>
      <c r="AJ22" s="752">
        <f>VLOOKUP(A22,'[1]Pay sheet-APRIL- 2022'!$C$57:$AF$129,19,0)</f>
        <v>1567.7906399999999</v>
      </c>
      <c r="AK22" s="752">
        <f>VLOOKUP(A22,'[1]Pay sheet-APRIL- 2022'!$C$57:$AF$129,20,0)</f>
        <v>2716.2000000000003</v>
      </c>
      <c r="AL22" s="752">
        <f>VLOOKUP(A22,'[1]Pay sheet-APRIL- 2022'!$C$57:$AF$129,22,0)</f>
        <v>0</v>
      </c>
      <c r="AM22" s="704">
        <f t="shared" si="2"/>
        <v>60275.599639999993</v>
      </c>
      <c r="AN22" s="761">
        <v>0</v>
      </c>
      <c r="AO22" s="752">
        <f>VLOOKUP(A22,'[1]Pay sheet-APRIL- 2022'!$C$57:$AF$129,26,0)</f>
        <v>1800</v>
      </c>
      <c r="AP22" s="752">
        <f>VLOOKUP(A22,'[1]Pay sheet-APRIL- 2022'!$C$57:$AF$129,25,0)</f>
        <v>200</v>
      </c>
      <c r="AQ22" s="752">
        <f>VLOOKUP(A22,'[1]Pay sheet-APRIL- 2022'!$C$57:$AF$129,24,0)</f>
        <v>0</v>
      </c>
      <c r="AR22" s="752">
        <f>VLOOKUP(A22,'[1]Pay sheet-APRIL- 2022'!$C$57:$AF$129,27,0)</f>
        <v>283</v>
      </c>
      <c r="AS22" s="763">
        <f t="shared" si="3"/>
        <v>2283</v>
      </c>
      <c r="AT22" s="705">
        <f t="shared" si="4"/>
        <v>57992.599639999993</v>
      </c>
      <c r="AU22" s="858" t="s">
        <v>899</v>
      </c>
      <c r="AV22" s="695" t="s">
        <v>711</v>
      </c>
      <c r="AW22" s="714" t="s">
        <v>793</v>
      </c>
      <c r="AY22" s="694">
        <v>60</v>
      </c>
      <c r="AZ22" s="695">
        <v>7</v>
      </c>
    </row>
    <row r="23" spans="1:52" s="695" customFormat="1" ht="22.9" customHeight="1">
      <c r="A23" s="700" t="s">
        <v>785</v>
      </c>
      <c r="B23" s="897" t="s">
        <v>779</v>
      </c>
      <c r="C23" s="706">
        <v>35033</v>
      </c>
      <c r="D23" s="694" t="s">
        <v>499</v>
      </c>
      <c r="E23" s="694" t="s">
        <v>794</v>
      </c>
      <c r="F23" s="694" t="s">
        <v>796</v>
      </c>
      <c r="G23" s="694" t="s">
        <v>795</v>
      </c>
      <c r="I23" s="698" t="s">
        <v>783</v>
      </c>
      <c r="J23" s="694" t="s">
        <v>795</v>
      </c>
      <c r="K23" s="698" t="s">
        <v>783</v>
      </c>
      <c r="L23" s="698" t="s">
        <v>783</v>
      </c>
      <c r="M23" s="698" t="s">
        <v>783</v>
      </c>
      <c r="N23" s="699">
        <v>44536</v>
      </c>
      <c r="S23" s="708" t="s">
        <v>798</v>
      </c>
      <c r="T23" s="701" t="s">
        <v>37</v>
      </c>
      <c r="U23" s="698" t="s">
        <v>779</v>
      </c>
      <c r="V23" s="702">
        <v>30</v>
      </c>
      <c r="W23" s="842">
        <f>VLOOKUP(A23,'[1]Pay sheet-APRIL- 2022'!$C$57:$AF$129,10,0)</f>
        <v>30</v>
      </c>
      <c r="X23" s="844" t="s">
        <v>37</v>
      </c>
      <c r="Y23" s="709">
        <v>61740</v>
      </c>
      <c r="Z23" s="752">
        <f>VLOOKUP(A23,'[1]Pay sheet-APRIL- 2022'!$C$57:$AF$129,11,0)</f>
        <v>37044</v>
      </c>
      <c r="AA23" s="703">
        <v>0</v>
      </c>
      <c r="AB23" s="703">
        <v>0</v>
      </c>
      <c r="AC23" s="847">
        <f t="shared" si="0"/>
        <v>24809</v>
      </c>
      <c r="AD23" s="752">
        <f>VLOOKUP(A23,'[1]Pay sheet-APRIL- 2022'!$C$57:$AF$129,12,0)</f>
        <v>14817.6</v>
      </c>
      <c r="AE23" s="752">
        <f>VLOOKUP(A23,'[1]Pay sheet-APRIL- 2022'!$C$57:$AF$129,13,0)</f>
        <v>2083</v>
      </c>
      <c r="AF23" s="752">
        <f>VLOOKUP(A23,'[1]Pay sheet-APRIL- 2022'!$C$57:$AF$129,14,0)</f>
        <v>2083</v>
      </c>
      <c r="AG23" s="752">
        <f>VLOOKUP(A23,'[1]Pay sheet-APRIL- 2022'!$C$57:$AF$129,15,0)</f>
        <v>5825.4000000000015</v>
      </c>
      <c r="AH23" s="848">
        <f t="shared" si="1"/>
        <v>61853</v>
      </c>
      <c r="AI23" s="752">
        <f>VLOOKUP(A23,'[1]Pay sheet-APRIL- 2022'!$C$57:$AF$129,18,0)</f>
        <v>1554.6089999999999</v>
      </c>
      <c r="AJ23" s="752">
        <f>VLOOKUP(A23,'[1]Pay sheet-APRIL- 2022'!$C$57:$AF$129,19,0)</f>
        <v>1781.8163999999999</v>
      </c>
      <c r="AK23" s="752">
        <f>VLOOKUP(A23,'[1]Pay sheet-APRIL- 2022'!$C$57:$AF$129,20,0)</f>
        <v>3087</v>
      </c>
      <c r="AL23" s="752">
        <f>VLOOKUP(A23,'[1]Pay sheet-APRIL- 2022'!$C$57:$AF$129,22,0)</f>
        <v>0</v>
      </c>
      <c r="AM23" s="704">
        <f t="shared" si="2"/>
        <v>68276.425400000007</v>
      </c>
      <c r="AN23" s="761">
        <v>0</v>
      </c>
      <c r="AO23" s="752">
        <f>VLOOKUP(A23,'[1]Pay sheet-APRIL- 2022'!$C$57:$AF$129,26,0)</f>
        <v>1800</v>
      </c>
      <c r="AP23" s="752">
        <f>VLOOKUP(A23,'[1]Pay sheet-APRIL- 2022'!$C$57:$AF$129,25,0)</f>
        <v>200</v>
      </c>
      <c r="AQ23" s="752">
        <f>VLOOKUP(A23,'[1]Pay sheet-APRIL- 2022'!$C$57:$AF$129,24,0)</f>
        <v>0</v>
      </c>
      <c r="AR23" s="752">
        <f>VLOOKUP(A23,'[1]Pay sheet-APRIL- 2022'!$C$57:$AF$129,27,0)</f>
        <v>283</v>
      </c>
      <c r="AS23" s="763">
        <f t="shared" si="3"/>
        <v>2283</v>
      </c>
      <c r="AT23" s="705">
        <f t="shared" si="4"/>
        <v>65993.425400000007</v>
      </c>
      <c r="AU23" s="858" t="s">
        <v>899</v>
      </c>
      <c r="AV23" s="695" t="s">
        <v>774</v>
      </c>
      <c r="AW23" s="714" t="s">
        <v>797</v>
      </c>
      <c r="AY23" s="694">
        <v>61</v>
      </c>
      <c r="AZ23" s="695">
        <v>8</v>
      </c>
    </row>
    <row r="24" spans="1:52" s="695" customFormat="1" ht="22.9" customHeight="1">
      <c r="A24" s="700" t="s">
        <v>786</v>
      </c>
      <c r="B24" s="897" t="s">
        <v>780</v>
      </c>
      <c r="C24" s="706">
        <v>32329</v>
      </c>
      <c r="D24" s="694" t="s">
        <v>499</v>
      </c>
      <c r="E24" s="694" t="s">
        <v>799</v>
      </c>
      <c r="F24" s="694" t="s">
        <v>525</v>
      </c>
      <c r="G24" s="694" t="s">
        <v>800</v>
      </c>
      <c r="I24" s="698" t="s">
        <v>783</v>
      </c>
      <c r="J24" s="694" t="s">
        <v>800</v>
      </c>
      <c r="K24" s="698" t="s">
        <v>783</v>
      </c>
      <c r="L24" s="698" t="s">
        <v>783</v>
      </c>
      <c r="M24" s="698" t="s">
        <v>783</v>
      </c>
      <c r="N24" s="699">
        <v>44537</v>
      </c>
      <c r="S24" s="708" t="s">
        <v>802</v>
      </c>
      <c r="T24" s="701" t="s">
        <v>37</v>
      </c>
      <c r="U24" s="698" t="s">
        <v>780</v>
      </c>
      <c r="V24" s="702">
        <v>30</v>
      </c>
      <c r="W24" s="942">
        <f>VLOOKUP(A24,'[1]Pay sheet-APRIL- 2022'!$C$57:$AF$129,10,0)</f>
        <v>28</v>
      </c>
      <c r="X24" s="844" t="s">
        <v>37</v>
      </c>
      <c r="Y24" s="709">
        <v>84912</v>
      </c>
      <c r="Z24" s="752">
        <f>VLOOKUP(A24,'[1]Pay sheet-APRIL- 2022'!$C$57:$AF$129,11,0)</f>
        <v>47550.720000000001</v>
      </c>
      <c r="AA24" s="703">
        <v>0</v>
      </c>
      <c r="AB24" s="703">
        <v>0</v>
      </c>
      <c r="AC24" s="847">
        <f t="shared" si="0"/>
        <v>31813.479999999996</v>
      </c>
      <c r="AD24" s="752">
        <f>VLOOKUP(A24,'[1]Pay sheet-APRIL- 2022'!$C$57:$AF$129,12,0)</f>
        <v>19020.288</v>
      </c>
      <c r="AE24" s="752">
        <f>VLOOKUP(A24,'[1]Pay sheet-APRIL- 2022'!$C$57:$AF$129,13,0)</f>
        <v>1944</v>
      </c>
      <c r="AF24" s="752">
        <f>VLOOKUP(A24,'[1]Pay sheet-APRIL- 2022'!$C$57:$AF$129,14,0)</f>
        <v>1944</v>
      </c>
      <c r="AG24" s="752">
        <f>VLOOKUP(A24,'[1]Pay sheet-APRIL- 2022'!$C$57:$AF$129,15,0)</f>
        <v>8905.1919999999955</v>
      </c>
      <c r="AH24" s="848">
        <f t="shared" si="1"/>
        <v>79364.2</v>
      </c>
      <c r="AI24" s="752">
        <f>VLOOKUP(A24,'[1]Pay sheet-APRIL- 2022'!$C$57:$AF$129,18,0)</f>
        <v>1554.6089999999999</v>
      </c>
      <c r="AJ24" s="752">
        <f>VLOOKUP(A24,'[1]Pay sheet-APRIL- 2022'!$C$57:$AF$129,19,0)</f>
        <v>2287.1896320000001</v>
      </c>
      <c r="AK24" s="752">
        <f>VLOOKUP(A24,'[1]Pay sheet-APRIL- 2022'!$C$57:$AF$129,20,0)</f>
        <v>3962.56</v>
      </c>
      <c r="AL24" s="752">
        <f>VLOOKUP(A24,'[1]Pay sheet-APRIL- 2022'!$C$57:$AF$129,22,0)</f>
        <v>0</v>
      </c>
      <c r="AM24" s="704">
        <f t="shared" si="2"/>
        <v>87168.558631999986</v>
      </c>
      <c r="AN24" s="761">
        <v>0</v>
      </c>
      <c r="AO24" s="752">
        <f>VLOOKUP(A24,'[1]Pay sheet-APRIL- 2022'!$C$57:$AF$129,26,0)</f>
        <v>1800</v>
      </c>
      <c r="AP24" s="752">
        <f>VLOOKUP(A24,'[1]Pay sheet-APRIL- 2022'!$C$57:$AF$129,25,0)</f>
        <v>200</v>
      </c>
      <c r="AQ24" s="752">
        <f>VLOOKUP(A24,'[1]Pay sheet-APRIL- 2022'!$C$57:$AF$129,24,0)</f>
        <v>0</v>
      </c>
      <c r="AR24" s="752">
        <f>VLOOKUP(A24,'[1]Pay sheet-APRIL- 2022'!$C$57:$AF$129,27,0)</f>
        <v>283</v>
      </c>
      <c r="AS24" s="763">
        <f t="shared" si="3"/>
        <v>2283</v>
      </c>
      <c r="AT24" s="705">
        <f t="shared" si="4"/>
        <v>84885.558631999986</v>
      </c>
      <c r="AU24" s="858" t="s">
        <v>899</v>
      </c>
      <c r="AV24" s="695" t="s">
        <v>711</v>
      </c>
      <c r="AW24" s="714" t="s">
        <v>801</v>
      </c>
      <c r="AY24" s="694">
        <v>62</v>
      </c>
      <c r="AZ24" s="695">
        <v>9</v>
      </c>
    </row>
    <row r="25" spans="1:52" s="695" customFormat="1" ht="22.9" customHeight="1">
      <c r="A25" s="700" t="s">
        <v>787</v>
      </c>
      <c r="B25" s="897" t="s">
        <v>781</v>
      </c>
      <c r="C25" s="706">
        <v>34094</v>
      </c>
      <c r="D25" s="694" t="s">
        <v>672</v>
      </c>
      <c r="E25" s="694" t="s">
        <v>803</v>
      </c>
      <c r="F25" s="694" t="s">
        <v>525</v>
      </c>
      <c r="G25" s="694" t="s">
        <v>804</v>
      </c>
      <c r="I25" s="698" t="s">
        <v>783</v>
      </c>
      <c r="J25" s="694" t="s">
        <v>805</v>
      </c>
      <c r="K25" s="698" t="s">
        <v>783</v>
      </c>
      <c r="L25" s="698" t="s">
        <v>783</v>
      </c>
      <c r="M25" s="698" t="s">
        <v>783</v>
      </c>
      <c r="N25" s="699">
        <v>44538</v>
      </c>
      <c r="S25" s="708" t="s">
        <v>807</v>
      </c>
      <c r="T25" s="701" t="s">
        <v>37</v>
      </c>
      <c r="U25" s="698" t="s">
        <v>781</v>
      </c>
      <c r="V25" s="702">
        <v>30</v>
      </c>
      <c r="W25" s="842">
        <f>VLOOKUP(A25,'[1]Pay sheet-APRIL- 2022'!$C$57:$AF$129,10,0)</f>
        <v>30</v>
      </c>
      <c r="X25" s="844" t="s">
        <v>37</v>
      </c>
      <c r="Y25" s="709">
        <v>71009</v>
      </c>
      <c r="Z25" s="752">
        <f>VLOOKUP(A25,'[1]Pay sheet-APRIL- 2022'!$C$57:$AF$129,11,0)</f>
        <v>42605.4</v>
      </c>
      <c r="AA25" s="703">
        <v>0</v>
      </c>
      <c r="AB25" s="703">
        <v>0</v>
      </c>
      <c r="AC25" s="847">
        <f t="shared" si="0"/>
        <v>28516.600000000002</v>
      </c>
      <c r="AD25" s="752">
        <f>VLOOKUP(A25,'[1]Pay sheet-APRIL- 2022'!$C$57:$AF$129,12,0)</f>
        <v>17042.16</v>
      </c>
      <c r="AE25" s="752">
        <f>VLOOKUP(A25,'[1]Pay sheet-APRIL- 2022'!$C$57:$AF$129,13,0)</f>
        <v>2083</v>
      </c>
      <c r="AF25" s="752">
        <f>VLOOKUP(A25,'[1]Pay sheet-APRIL- 2022'!$C$57:$AF$129,14,0)</f>
        <v>2083</v>
      </c>
      <c r="AG25" s="752">
        <f>VLOOKUP(A25,'[1]Pay sheet-APRIL- 2022'!$C$57:$AF$129,15,0)</f>
        <v>7308.4400000000023</v>
      </c>
      <c r="AH25" s="848">
        <f t="shared" si="1"/>
        <v>71122</v>
      </c>
      <c r="AI25" s="752">
        <f>VLOOKUP(A25,'[1]Pay sheet-APRIL- 2022'!$C$57:$AF$129,18,0)</f>
        <v>1554.6089999999999</v>
      </c>
      <c r="AJ25" s="752">
        <f>VLOOKUP(A25,'[1]Pay sheet-APRIL- 2022'!$C$57:$AF$129,19,0)</f>
        <v>2049.3197399999999</v>
      </c>
      <c r="AK25" s="752">
        <f>VLOOKUP(A25,'[1]Pay sheet-APRIL- 2022'!$C$57:$AF$129,20,0)</f>
        <v>3550.4500000000003</v>
      </c>
      <c r="AL25" s="752">
        <f>VLOOKUP(A25,'[1]Pay sheet-APRIL- 2022'!$C$57:$AF$129,22,0)</f>
        <v>0</v>
      </c>
      <c r="AM25" s="704">
        <f t="shared" si="2"/>
        <v>78276.37874</v>
      </c>
      <c r="AN25" s="761">
        <v>0</v>
      </c>
      <c r="AO25" s="752">
        <f>VLOOKUP(A25,'[1]Pay sheet-APRIL- 2022'!$C$57:$AF$129,26,0)</f>
        <v>1800</v>
      </c>
      <c r="AP25" s="752">
        <f>VLOOKUP(A25,'[1]Pay sheet-APRIL- 2022'!$C$57:$AF$129,25,0)</f>
        <v>200</v>
      </c>
      <c r="AQ25" s="752">
        <f>VLOOKUP(A25,'[1]Pay sheet-APRIL- 2022'!$C$57:$AF$129,24,0)</f>
        <v>0</v>
      </c>
      <c r="AR25" s="752">
        <f>VLOOKUP(A25,'[1]Pay sheet-APRIL- 2022'!$C$57:$AF$129,27,0)</f>
        <v>283</v>
      </c>
      <c r="AS25" s="763">
        <f t="shared" si="3"/>
        <v>2283</v>
      </c>
      <c r="AT25" s="705">
        <f t="shared" si="4"/>
        <v>75993.37874</v>
      </c>
      <c r="AU25" s="858" t="s">
        <v>899</v>
      </c>
      <c r="AV25" s="695" t="s">
        <v>735</v>
      </c>
      <c r="AW25" s="714" t="s">
        <v>806</v>
      </c>
      <c r="AY25" s="694">
        <v>63</v>
      </c>
      <c r="AZ25" s="695">
        <v>10</v>
      </c>
    </row>
    <row r="26" spans="1:52" s="695" customFormat="1" ht="22.9" customHeight="1">
      <c r="A26" s="700" t="s">
        <v>788</v>
      </c>
      <c r="B26" s="896" t="s">
        <v>782</v>
      </c>
      <c r="C26" s="706">
        <v>31700</v>
      </c>
      <c r="D26" s="694" t="s">
        <v>499</v>
      </c>
      <c r="E26" s="694" t="s">
        <v>808</v>
      </c>
      <c r="F26" s="694" t="s">
        <v>811</v>
      </c>
      <c r="G26" s="694" t="s">
        <v>809</v>
      </c>
      <c r="I26" s="698" t="s">
        <v>783</v>
      </c>
      <c r="J26" s="694" t="s">
        <v>809</v>
      </c>
      <c r="K26" s="698" t="s">
        <v>783</v>
      </c>
      <c r="L26" s="698" t="s">
        <v>783</v>
      </c>
      <c r="M26" s="698" t="s">
        <v>783</v>
      </c>
      <c r="N26" s="699">
        <v>44557</v>
      </c>
      <c r="S26" s="708" t="s">
        <v>810</v>
      </c>
      <c r="T26" s="701" t="s">
        <v>37</v>
      </c>
      <c r="U26" s="698" t="s">
        <v>782</v>
      </c>
      <c r="V26" s="702">
        <v>30</v>
      </c>
      <c r="W26" s="842">
        <f>VLOOKUP(A26,'[1]Pay sheet-APRIL- 2022'!$C$57:$AF$129,10,0)</f>
        <v>30</v>
      </c>
      <c r="X26" s="844" t="s">
        <v>37</v>
      </c>
      <c r="Y26" s="709">
        <v>94181</v>
      </c>
      <c r="Z26" s="752">
        <f>VLOOKUP(A26,'[1]Pay sheet-APRIL- 2022'!$C$57:$AF$129,11,0)</f>
        <v>56508.6</v>
      </c>
      <c r="AA26" s="703">
        <v>0</v>
      </c>
      <c r="AB26" s="703">
        <v>0</v>
      </c>
      <c r="AC26" s="847">
        <f t="shared" si="0"/>
        <v>37785.399999999994</v>
      </c>
      <c r="AD26" s="752">
        <f>VLOOKUP(A26,'[1]Pay sheet-APRIL- 2022'!$C$57:$AF$129,12,0)</f>
        <v>22603.440000000002</v>
      </c>
      <c r="AE26" s="752">
        <f>VLOOKUP(A26,'[1]Pay sheet-APRIL- 2022'!$C$57:$AF$129,13,0)</f>
        <v>2083</v>
      </c>
      <c r="AF26" s="752">
        <f>VLOOKUP(A26,'[1]Pay sheet-APRIL- 2022'!$C$57:$AF$129,14,0)</f>
        <v>2083</v>
      </c>
      <c r="AG26" s="752">
        <f>VLOOKUP(A26,'[1]Pay sheet-APRIL- 2022'!$C$57:$AF$129,15,0)</f>
        <v>11015.959999999992</v>
      </c>
      <c r="AH26" s="848">
        <f t="shared" si="1"/>
        <v>94294</v>
      </c>
      <c r="AI26" s="752">
        <f>VLOOKUP(A26,'[1]Pay sheet-APRIL- 2022'!$C$57:$AF$129,18,0)</f>
        <v>1554.6089999999999</v>
      </c>
      <c r="AJ26" s="752">
        <f>VLOOKUP(A26,'[1]Pay sheet-APRIL- 2022'!$C$57:$AF$129,19,0)</f>
        <v>2718.0636599999998</v>
      </c>
      <c r="AK26" s="752">
        <f>VLOOKUP(A26,'[1]Pay sheet-APRIL- 2022'!$C$57:$AF$129,20,0)</f>
        <v>4709.05</v>
      </c>
      <c r="AL26" s="752">
        <f>VLOOKUP(A26,'[1]Pay sheet-APRIL- 2022'!$C$57:$AF$129,22,0)</f>
        <v>0</v>
      </c>
      <c r="AM26" s="704">
        <f t="shared" si="2"/>
        <v>103275.72266</v>
      </c>
      <c r="AN26" s="761">
        <v>0</v>
      </c>
      <c r="AO26" s="752">
        <f>VLOOKUP(A26,'[1]Pay sheet-APRIL- 2022'!$C$57:$AF$129,26,0)</f>
        <v>1800</v>
      </c>
      <c r="AP26" s="752">
        <f>VLOOKUP(A26,'[1]Pay sheet-APRIL- 2022'!$C$57:$AF$129,25,0)</f>
        <v>200</v>
      </c>
      <c r="AQ26" s="752">
        <f>VLOOKUP(A26,'[1]Pay sheet-APRIL- 2022'!$C$57:$AF$129,24,0)</f>
        <v>0</v>
      </c>
      <c r="AR26" s="752">
        <f>VLOOKUP(A26,'[1]Pay sheet-APRIL- 2022'!$C$57:$AF$129,27,0)</f>
        <v>283</v>
      </c>
      <c r="AS26" s="763">
        <f t="shared" si="3"/>
        <v>2283</v>
      </c>
      <c r="AT26" s="705">
        <f t="shared" si="4"/>
        <v>100992.72266</v>
      </c>
      <c r="AU26" s="858" t="s">
        <v>899</v>
      </c>
      <c r="AV26" s="695" t="s">
        <v>711</v>
      </c>
      <c r="AW26" s="714" t="s">
        <v>812</v>
      </c>
      <c r="AY26" s="695">
        <v>64</v>
      </c>
      <c r="AZ26" s="695">
        <v>11</v>
      </c>
    </row>
    <row r="27" spans="1:52" s="695" customFormat="1" ht="22.9" customHeight="1">
      <c r="A27" s="700" t="s">
        <v>815</v>
      </c>
      <c r="B27" s="896" t="s">
        <v>813</v>
      </c>
      <c r="C27" s="706">
        <v>34393</v>
      </c>
      <c r="D27" s="694" t="s">
        <v>499</v>
      </c>
      <c r="E27" s="1316" t="s">
        <v>824</v>
      </c>
      <c r="F27" s="1317" t="s">
        <v>525</v>
      </c>
      <c r="G27" s="1318" t="s">
        <v>825</v>
      </c>
      <c r="I27" s="698" t="s">
        <v>783</v>
      </c>
      <c r="J27" s="720" t="s">
        <v>825</v>
      </c>
      <c r="K27" s="698" t="s">
        <v>783</v>
      </c>
      <c r="L27" s="698" t="s">
        <v>783</v>
      </c>
      <c r="M27" s="698" t="s">
        <v>783</v>
      </c>
      <c r="N27" s="716">
        <v>44564</v>
      </c>
      <c r="O27" s="698" t="s">
        <v>783</v>
      </c>
      <c r="P27" s="698" t="s">
        <v>783</v>
      </c>
      <c r="Q27" s="698" t="s">
        <v>783</v>
      </c>
      <c r="R27" s="698" t="s">
        <v>783</v>
      </c>
      <c r="S27" s="710" t="s">
        <v>817</v>
      </c>
      <c r="T27" s="701" t="s">
        <v>37</v>
      </c>
      <c r="U27" s="715" t="s">
        <v>813</v>
      </c>
      <c r="V27" s="702">
        <v>30</v>
      </c>
      <c r="W27" s="942">
        <f>VLOOKUP(A27,'[1]Pay sheet-APRIL- 2022'!$C$57:$AF$129,10,0)</f>
        <v>27</v>
      </c>
      <c r="X27" s="844" t="s">
        <v>37</v>
      </c>
      <c r="Y27" s="709">
        <v>75643</v>
      </c>
      <c r="Z27" s="752">
        <f>VLOOKUP(A27,'[1]Pay sheet-APRIL- 2022'!$C$57:$AF$129,11,0)</f>
        <v>40847.22</v>
      </c>
      <c r="AA27" s="703">
        <v>0</v>
      </c>
      <c r="AB27" s="703">
        <v>0</v>
      </c>
      <c r="AC27" s="847">
        <f t="shared" si="0"/>
        <v>27344.479999999996</v>
      </c>
      <c r="AD27" s="752">
        <f>VLOOKUP(A27,'[1]Pay sheet-APRIL- 2022'!$C$57:$AF$129,12,0)</f>
        <v>16338.888000000001</v>
      </c>
      <c r="AE27" s="752">
        <f>VLOOKUP(A27,'[1]Pay sheet-APRIL- 2022'!$C$57:$AF$129,13,0)</f>
        <v>1875</v>
      </c>
      <c r="AF27" s="752">
        <f>VLOOKUP(A27,'[1]Pay sheet-APRIL- 2022'!$C$57:$AF$129,14,0)</f>
        <v>1875</v>
      </c>
      <c r="AG27" s="752">
        <f>VLOOKUP(A27,'[1]Pay sheet-APRIL- 2022'!$C$57:$AF$129,15,0)</f>
        <v>7255.5919999999969</v>
      </c>
      <c r="AH27" s="848">
        <f t="shared" si="1"/>
        <v>68191.7</v>
      </c>
      <c r="AI27" s="752">
        <f>VLOOKUP(A27,'[1]Pay sheet-APRIL- 2022'!$C$57:$AF$129,18,0)</f>
        <v>1554.6089999999999</v>
      </c>
      <c r="AJ27" s="752">
        <f>VLOOKUP(A27,'[1]Pay sheet-APRIL- 2022'!$C$57:$AF$129,19,0)</f>
        <v>1964.7512819999997</v>
      </c>
      <c r="AK27" s="752">
        <f>VLOOKUP(A27,'[1]Pay sheet-APRIL- 2022'!$C$57:$AF$129,20,0)</f>
        <v>3403.9349999999999</v>
      </c>
      <c r="AL27" s="752">
        <f>VLOOKUP(A27,'[1]Pay sheet-APRIL- 2022'!$C$57:$AF$129,22,0)</f>
        <v>0</v>
      </c>
      <c r="AM27" s="704">
        <f t="shared" si="2"/>
        <v>75114.995281999989</v>
      </c>
      <c r="AN27" s="761">
        <v>0</v>
      </c>
      <c r="AO27" s="752">
        <f>VLOOKUP(A27,'[1]Pay sheet-APRIL- 2022'!$C$57:$AF$129,26,0)</f>
        <v>1800</v>
      </c>
      <c r="AP27" s="752">
        <f>VLOOKUP(A27,'[1]Pay sheet-APRIL- 2022'!$C$57:$AF$129,25,0)</f>
        <v>200</v>
      </c>
      <c r="AQ27" s="752">
        <f>VLOOKUP(A27,'[1]Pay sheet-APRIL- 2022'!$C$57:$AF$129,24,0)</f>
        <v>0</v>
      </c>
      <c r="AR27" s="752">
        <f>VLOOKUP(A27,'[1]Pay sheet-APRIL- 2022'!$C$57:$AF$129,27,0)</f>
        <v>283</v>
      </c>
      <c r="AS27" s="763">
        <f t="shared" si="3"/>
        <v>2283</v>
      </c>
      <c r="AT27" s="705">
        <f t="shared" si="4"/>
        <v>72831.995281999989</v>
      </c>
      <c r="AU27" s="858" t="s">
        <v>899</v>
      </c>
      <c r="AV27" s="707" t="s">
        <v>818</v>
      </c>
      <c r="AW27" s="710" t="s">
        <v>819</v>
      </c>
      <c r="AX27" s="698"/>
      <c r="AY27" s="695">
        <v>65</v>
      </c>
      <c r="AZ27" s="695">
        <v>12</v>
      </c>
    </row>
    <row r="28" spans="1:52" s="695" customFormat="1" ht="22.9" customHeight="1">
      <c r="A28" s="700" t="s">
        <v>816</v>
      </c>
      <c r="B28" s="896" t="s">
        <v>814</v>
      </c>
      <c r="C28" s="706">
        <v>28308</v>
      </c>
      <c r="D28" s="694" t="s">
        <v>499</v>
      </c>
      <c r="E28" s="1321" t="s">
        <v>826</v>
      </c>
      <c r="F28" s="1319" t="s">
        <v>820</v>
      </c>
      <c r="G28" s="1320" t="s">
        <v>828</v>
      </c>
      <c r="H28" s="698" t="s">
        <v>783</v>
      </c>
      <c r="I28" s="698" t="s">
        <v>783</v>
      </c>
      <c r="J28" s="724" t="s">
        <v>828</v>
      </c>
      <c r="K28" s="698" t="s">
        <v>783</v>
      </c>
      <c r="L28" s="698" t="s">
        <v>783</v>
      </c>
      <c r="M28" s="698" t="s">
        <v>783</v>
      </c>
      <c r="N28" s="716">
        <v>44567</v>
      </c>
      <c r="O28" s="698" t="s">
        <v>783</v>
      </c>
      <c r="P28" s="698" t="s">
        <v>783</v>
      </c>
      <c r="Q28" s="698" t="s">
        <v>783</v>
      </c>
      <c r="R28" s="698" t="s">
        <v>783</v>
      </c>
      <c r="S28" s="710" t="s">
        <v>817</v>
      </c>
      <c r="T28" s="701" t="s">
        <v>37</v>
      </c>
      <c r="U28" s="717" t="s">
        <v>814</v>
      </c>
      <c r="V28" s="702">
        <v>30</v>
      </c>
      <c r="W28" s="842">
        <f>VLOOKUP(A28,'[1]Pay sheet-APRIL- 2022'!$C$57:$AF$129,10,0)</f>
        <v>30</v>
      </c>
      <c r="X28" s="844" t="s">
        <v>37</v>
      </c>
      <c r="Y28" s="709">
        <v>52471</v>
      </c>
      <c r="Z28" s="752">
        <f>VLOOKUP(A28,'[1]Pay sheet-APRIL- 2022'!$C$57:$AF$129,11,0)</f>
        <v>31482.6</v>
      </c>
      <c r="AA28" s="751">
        <v>0</v>
      </c>
      <c r="AB28" s="751">
        <v>0</v>
      </c>
      <c r="AC28" s="847">
        <f t="shared" si="0"/>
        <v>21101.4</v>
      </c>
      <c r="AD28" s="752">
        <f>VLOOKUP(A28,'[1]Pay sheet-APRIL- 2022'!$C$57:$AF$129,12,0)</f>
        <v>12593.04</v>
      </c>
      <c r="AE28" s="752">
        <f>VLOOKUP(A28,'[1]Pay sheet-APRIL- 2022'!$C$57:$AF$129,13,0)</f>
        <v>2083</v>
      </c>
      <c r="AF28" s="752">
        <f>VLOOKUP(A28,'[1]Pay sheet-APRIL- 2022'!$C$57:$AF$129,14,0)</f>
        <v>2083</v>
      </c>
      <c r="AG28" s="752">
        <f>VLOOKUP(A28,'[1]Pay sheet-APRIL- 2022'!$C$57:$AF$129,15,0)</f>
        <v>4342.3600000000006</v>
      </c>
      <c r="AH28" s="848">
        <f t="shared" si="1"/>
        <v>52584</v>
      </c>
      <c r="AI28" s="752">
        <f>VLOOKUP(A28,'[1]Pay sheet-APRIL- 2022'!$C$57:$AF$129,18,0)</f>
        <v>1554.6089999999999</v>
      </c>
      <c r="AJ28" s="752">
        <f>VLOOKUP(A28,'[1]Pay sheet-APRIL- 2022'!$C$57:$AF$129,19,0)</f>
        <v>1514.3130599999997</v>
      </c>
      <c r="AK28" s="752">
        <f>VLOOKUP(A28,'[1]Pay sheet-APRIL- 2022'!$C$57:$AF$129,20,0)</f>
        <v>2623.5499999999997</v>
      </c>
      <c r="AL28" s="752">
        <f>VLOOKUP(A28,'[1]Pay sheet-APRIL- 2022'!$C$57:$AF$129,22,0)</f>
        <v>0</v>
      </c>
      <c r="AM28" s="704">
        <f t="shared" si="2"/>
        <v>58276.47206</v>
      </c>
      <c r="AN28" s="761">
        <v>0</v>
      </c>
      <c r="AO28" s="752">
        <f>VLOOKUP(A28,'[1]Pay sheet-APRIL- 2022'!$C$57:$AF$129,26,0)</f>
        <v>1800</v>
      </c>
      <c r="AP28" s="752">
        <f>VLOOKUP(A28,'[1]Pay sheet-APRIL- 2022'!$C$57:$AF$129,25,0)</f>
        <v>200</v>
      </c>
      <c r="AQ28" s="752">
        <f>VLOOKUP(A28,'[1]Pay sheet-APRIL- 2022'!$C$57:$AF$129,24,0)</f>
        <v>0</v>
      </c>
      <c r="AR28" s="752">
        <f>VLOOKUP(A28,'[1]Pay sheet-APRIL- 2022'!$C$57:$AF$129,27,0)</f>
        <v>283</v>
      </c>
      <c r="AS28" s="763">
        <f t="shared" si="3"/>
        <v>2283</v>
      </c>
      <c r="AT28" s="705">
        <f t="shared" si="4"/>
        <v>55993.47206</v>
      </c>
      <c r="AU28" s="858" t="s">
        <v>899</v>
      </c>
      <c r="AV28" s="717" t="s">
        <v>818</v>
      </c>
      <c r="AW28" s="718" t="s">
        <v>819</v>
      </c>
      <c r="AX28" s="737"/>
      <c r="AY28" s="695">
        <v>66</v>
      </c>
      <c r="AZ28" s="695">
        <v>13</v>
      </c>
    </row>
    <row r="29" spans="1:52" ht="22.9" customHeight="1">
      <c r="A29" s="287" t="s">
        <v>839</v>
      </c>
      <c r="B29" s="944" t="s">
        <v>829</v>
      </c>
      <c r="C29" s="788">
        <v>34378</v>
      </c>
      <c r="D29" s="573" t="s">
        <v>499</v>
      </c>
      <c r="E29" s="789" t="s">
        <v>845</v>
      </c>
      <c r="F29" s="746" t="s">
        <v>874</v>
      </c>
      <c r="G29" s="790" t="s">
        <v>846</v>
      </c>
      <c r="H29" s="698" t="s">
        <v>783</v>
      </c>
      <c r="I29" s="698" t="s">
        <v>783</v>
      </c>
      <c r="J29" s="790" t="s">
        <v>847</v>
      </c>
      <c r="K29" s="698" t="s">
        <v>783</v>
      </c>
      <c r="L29" s="698" t="s">
        <v>783</v>
      </c>
      <c r="M29" s="698" t="s">
        <v>783</v>
      </c>
      <c r="N29" s="791">
        <v>44602</v>
      </c>
      <c r="O29" s="698" t="s">
        <v>783</v>
      </c>
      <c r="P29" s="698" t="s">
        <v>783</v>
      </c>
      <c r="Q29" s="698" t="s">
        <v>783</v>
      </c>
      <c r="R29" s="698" t="s">
        <v>783</v>
      </c>
      <c r="S29" s="708" t="s">
        <v>875</v>
      </c>
      <c r="T29" s="701" t="s">
        <v>37</v>
      </c>
      <c r="U29" s="750" t="s">
        <v>829</v>
      </c>
      <c r="V29" s="702">
        <v>30</v>
      </c>
      <c r="W29" s="842">
        <f>VLOOKUP(A29,'[1]Pay sheet-APRIL- 2022'!$C$57:$AF$129,10,0)</f>
        <v>30</v>
      </c>
      <c r="X29" s="844" t="s">
        <v>37</v>
      </c>
      <c r="Y29" s="792">
        <v>38567</v>
      </c>
      <c r="Z29" s="752">
        <f>VLOOKUP(A29,'[1]Pay sheet-APRIL- 2022'!$C$57:$AF$129,11,0)</f>
        <v>23140.2</v>
      </c>
      <c r="AA29" s="751">
        <v>0</v>
      </c>
      <c r="AB29" s="751">
        <v>0</v>
      </c>
      <c r="AC29" s="847">
        <f t="shared" si="0"/>
        <v>15539.800000000001</v>
      </c>
      <c r="AD29" s="752">
        <f>VLOOKUP(A29,'[1]Pay sheet-APRIL- 2022'!$C$57:$AF$129,12,0)</f>
        <v>9256.08</v>
      </c>
      <c r="AE29" s="752">
        <f>VLOOKUP(A29,'[1]Pay sheet-APRIL- 2022'!$C$57:$AF$129,13,0)</f>
        <v>2083</v>
      </c>
      <c r="AF29" s="752">
        <f>VLOOKUP(A29,'[1]Pay sheet-APRIL- 2022'!$C$57:$AF$129,14,0)</f>
        <v>2083</v>
      </c>
      <c r="AG29" s="752">
        <f>VLOOKUP(A29,'[1]Pay sheet-APRIL- 2022'!$C$57:$AF$129,15,0)</f>
        <v>2117.7200000000012</v>
      </c>
      <c r="AH29" s="848">
        <f t="shared" si="1"/>
        <v>38680</v>
      </c>
      <c r="AI29" s="752">
        <f>VLOOKUP(A29,'[1]Pay sheet-APRIL- 2022'!$C$57:$AF$129,18,0)</f>
        <v>1554.6089999999999</v>
      </c>
      <c r="AJ29" s="752">
        <f>VLOOKUP(A29,'[1]Pay sheet-APRIL- 2022'!$C$57:$AF$129,19,0)</f>
        <v>1113.0436199999999</v>
      </c>
      <c r="AK29" s="752">
        <f>VLOOKUP(A29,'[1]Pay sheet-APRIL- 2022'!$C$57:$AF$129,20,0)</f>
        <v>1928.3500000000001</v>
      </c>
      <c r="AL29" s="752">
        <f>VLOOKUP(A29,'[1]Pay sheet-APRIL- 2022'!$C$57:$AF$129,22,0)</f>
        <v>0</v>
      </c>
      <c r="AM29" s="704">
        <f t="shared" si="2"/>
        <v>43276.002619999992</v>
      </c>
      <c r="AN29" s="793"/>
      <c r="AO29" s="752">
        <f>VLOOKUP(A29,'[1]Pay sheet-APRIL- 2022'!$C$57:$AF$129,26,0)</f>
        <v>1800</v>
      </c>
      <c r="AP29" s="752">
        <f>VLOOKUP(A29,'[1]Pay sheet-APRIL- 2022'!$C$57:$AF$129,25,0)</f>
        <v>200</v>
      </c>
      <c r="AQ29" s="752">
        <f>VLOOKUP(A29,'[1]Pay sheet-APRIL- 2022'!$C$57:$AF$129,24,0)</f>
        <v>0</v>
      </c>
      <c r="AR29" s="752">
        <f>VLOOKUP(A29,'[1]Pay sheet-APRIL- 2022'!$C$57:$AF$129,27,0)</f>
        <v>283</v>
      </c>
      <c r="AS29" s="763">
        <f t="shared" si="3"/>
        <v>2283</v>
      </c>
      <c r="AT29" s="705">
        <f t="shared" si="4"/>
        <v>40993.002619999992</v>
      </c>
      <c r="AU29" s="858" t="s">
        <v>899</v>
      </c>
      <c r="AV29" s="503" t="s">
        <v>734</v>
      </c>
      <c r="AW29" s="502" t="s">
        <v>848</v>
      </c>
      <c r="AY29" s="748">
        <v>67</v>
      </c>
      <c r="AZ29" s="695">
        <v>14</v>
      </c>
    </row>
    <row r="30" spans="1:52" ht="22.9" customHeight="1">
      <c r="A30" s="794" t="s">
        <v>840</v>
      </c>
      <c r="B30" s="944" t="s">
        <v>830</v>
      </c>
      <c r="C30" s="505" t="s">
        <v>849</v>
      </c>
      <c r="D30" s="573" t="s">
        <v>730</v>
      </c>
      <c r="E30" s="305" t="s">
        <v>852</v>
      </c>
      <c r="F30" s="746" t="s">
        <v>874</v>
      </c>
      <c r="G30" s="795" t="s">
        <v>850</v>
      </c>
      <c r="H30" s="739" t="s">
        <v>783</v>
      </c>
      <c r="I30" s="739" t="s">
        <v>783</v>
      </c>
      <c r="J30" s="795" t="s">
        <v>850</v>
      </c>
      <c r="K30" s="698" t="s">
        <v>783</v>
      </c>
      <c r="L30" s="698" t="s">
        <v>783</v>
      </c>
      <c r="M30" s="698" t="s">
        <v>783</v>
      </c>
      <c r="N30" s="796" t="s">
        <v>855</v>
      </c>
      <c r="O30" s="698" t="s">
        <v>783</v>
      </c>
      <c r="P30" s="698" t="s">
        <v>783</v>
      </c>
      <c r="Q30" s="698" t="s">
        <v>783</v>
      </c>
      <c r="R30" s="698" t="s">
        <v>783</v>
      </c>
      <c r="S30" s="708" t="s">
        <v>876</v>
      </c>
      <c r="T30" s="701" t="s">
        <v>37</v>
      </c>
      <c r="U30" s="750" t="s">
        <v>830</v>
      </c>
      <c r="V30" s="702">
        <v>30</v>
      </c>
      <c r="W30" s="842">
        <f>VLOOKUP(A30,'[1]Pay sheet-APRIL- 2022'!$C$57:$AF$129,10,0)</f>
        <v>30</v>
      </c>
      <c r="X30" s="844" t="s">
        <v>37</v>
      </c>
      <c r="Y30" s="792">
        <v>38567</v>
      </c>
      <c r="Z30" s="752">
        <f>VLOOKUP(A30,'[1]Pay sheet-APRIL- 2022'!$C$57:$AF$129,11,0)</f>
        <v>23140.2</v>
      </c>
      <c r="AA30" s="751">
        <v>0</v>
      </c>
      <c r="AB30" s="751">
        <v>0</v>
      </c>
      <c r="AC30" s="847">
        <f t="shared" si="0"/>
        <v>15539.800000000001</v>
      </c>
      <c r="AD30" s="752">
        <f>VLOOKUP(A30,'[1]Pay sheet-APRIL- 2022'!$C$57:$AF$129,12,0)</f>
        <v>9256.08</v>
      </c>
      <c r="AE30" s="752">
        <f>VLOOKUP(A30,'[1]Pay sheet-APRIL- 2022'!$C$57:$AF$129,13,0)</f>
        <v>2083</v>
      </c>
      <c r="AF30" s="752">
        <f>VLOOKUP(A30,'[1]Pay sheet-APRIL- 2022'!$C$57:$AF$129,14,0)</f>
        <v>2083</v>
      </c>
      <c r="AG30" s="752">
        <f>VLOOKUP(A30,'[1]Pay sheet-APRIL- 2022'!$C$57:$AF$129,15,0)</f>
        <v>2117.7200000000012</v>
      </c>
      <c r="AH30" s="848">
        <f t="shared" si="1"/>
        <v>38680</v>
      </c>
      <c r="AI30" s="752">
        <f>VLOOKUP(A30,'[1]Pay sheet-APRIL- 2022'!$C$57:$AF$129,18,0)</f>
        <v>1554.6089999999999</v>
      </c>
      <c r="AJ30" s="752">
        <f>VLOOKUP(A30,'[1]Pay sheet-APRIL- 2022'!$C$57:$AF$129,19,0)</f>
        <v>1113.0436199999999</v>
      </c>
      <c r="AK30" s="752">
        <f>VLOOKUP(A30,'[1]Pay sheet-APRIL- 2022'!$C$57:$AF$129,20,0)</f>
        <v>1928.3500000000001</v>
      </c>
      <c r="AL30" s="752">
        <f>VLOOKUP(A30,'[1]Pay sheet-APRIL- 2022'!$C$57:$AF$129,22,0)</f>
        <v>0</v>
      </c>
      <c r="AM30" s="704">
        <f t="shared" si="2"/>
        <v>43276.002619999992</v>
      </c>
      <c r="AN30" s="797"/>
      <c r="AO30" s="752">
        <f>VLOOKUP(A30,'[1]Pay sheet-APRIL- 2022'!$C$57:$AF$129,26,0)</f>
        <v>1800</v>
      </c>
      <c r="AP30" s="752">
        <f>VLOOKUP(A30,'[1]Pay sheet-APRIL- 2022'!$C$57:$AF$129,25,0)</f>
        <v>200</v>
      </c>
      <c r="AQ30" s="752">
        <f>VLOOKUP(A30,'[1]Pay sheet-APRIL- 2022'!$C$57:$AF$129,24,0)</f>
        <v>0</v>
      </c>
      <c r="AR30" s="752">
        <f>VLOOKUP(A30,'[1]Pay sheet-APRIL- 2022'!$C$57:$AF$129,27,0)</f>
        <v>283</v>
      </c>
      <c r="AS30" s="763">
        <f t="shared" si="3"/>
        <v>2283</v>
      </c>
      <c r="AT30" s="705">
        <f t="shared" si="4"/>
        <v>40993.002619999992</v>
      </c>
      <c r="AU30" s="858" t="s">
        <v>899</v>
      </c>
      <c r="AV30" s="503" t="s">
        <v>734</v>
      </c>
      <c r="AW30" s="502" t="s">
        <v>851</v>
      </c>
      <c r="AY30" s="749">
        <v>68</v>
      </c>
      <c r="AZ30" s="695">
        <v>15</v>
      </c>
    </row>
    <row r="31" spans="1:52" ht="22.9" customHeight="1">
      <c r="A31" s="287" t="s">
        <v>841</v>
      </c>
      <c r="B31" s="944" t="s">
        <v>832</v>
      </c>
      <c r="C31" s="798">
        <v>35748</v>
      </c>
      <c r="D31" s="573" t="s">
        <v>499</v>
      </c>
      <c r="E31" s="799" t="s">
        <v>856</v>
      </c>
      <c r="F31" s="746" t="s">
        <v>874</v>
      </c>
      <c r="G31" s="795" t="s">
        <v>857</v>
      </c>
      <c r="H31" s="739" t="s">
        <v>783</v>
      </c>
      <c r="I31" s="739" t="s">
        <v>783</v>
      </c>
      <c r="J31" s="795" t="s">
        <v>858</v>
      </c>
      <c r="K31" s="698" t="s">
        <v>783</v>
      </c>
      <c r="L31" s="698" t="s">
        <v>783</v>
      </c>
      <c r="M31" s="698" t="s">
        <v>783</v>
      </c>
      <c r="N31" s="796" t="s">
        <v>855</v>
      </c>
      <c r="O31" s="698" t="s">
        <v>783</v>
      </c>
      <c r="P31" s="698" t="s">
        <v>783</v>
      </c>
      <c r="Q31" s="698" t="s">
        <v>783</v>
      </c>
      <c r="R31" s="698" t="s">
        <v>783</v>
      </c>
      <c r="S31" s="708" t="s">
        <v>879</v>
      </c>
      <c r="T31" s="701" t="s">
        <v>37</v>
      </c>
      <c r="U31" s="750" t="s">
        <v>832</v>
      </c>
      <c r="V31" s="702">
        <v>30</v>
      </c>
      <c r="W31" s="942">
        <f>VLOOKUP(A31,'[1]Pay sheet-APRIL- 2022'!$C$57:$AF$129,10,0)</f>
        <v>29</v>
      </c>
      <c r="X31" s="844" t="s">
        <v>37</v>
      </c>
      <c r="Y31" s="792">
        <v>38567</v>
      </c>
      <c r="Z31" s="752">
        <f>VLOOKUP(A31,'[1]Pay sheet-APRIL- 2022'!$C$57:$AF$129,11,0)</f>
        <v>22368.86</v>
      </c>
      <c r="AA31" s="751">
        <v>0</v>
      </c>
      <c r="AB31" s="751">
        <v>0</v>
      </c>
      <c r="AC31" s="847">
        <f t="shared" si="0"/>
        <v>15025.573333333332</v>
      </c>
      <c r="AD31" s="752">
        <f>VLOOKUP(A31,'[1]Pay sheet-APRIL- 2022'!$C$57:$AF$129,12,0)</f>
        <v>8947.5439999999999</v>
      </c>
      <c r="AE31" s="752">
        <f>VLOOKUP(A31,'[1]Pay sheet-APRIL- 2022'!$C$57:$AF$129,13,0)</f>
        <v>2014</v>
      </c>
      <c r="AF31" s="752">
        <f>VLOOKUP(A31,'[1]Pay sheet-APRIL- 2022'!$C$57:$AF$129,14,0)</f>
        <v>2014</v>
      </c>
      <c r="AG31" s="752">
        <f>VLOOKUP(A31,'[1]Pay sheet-APRIL- 2022'!$C$57:$AF$129,15,0)</f>
        <v>2050.029333333332</v>
      </c>
      <c r="AH31" s="848">
        <f t="shared" si="1"/>
        <v>37394.433333333334</v>
      </c>
      <c r="AI31" s="752">
        <f>VLOOKUP(A31,'[1]Pay sheet-APRIL- 2022'!$C$57:$AF$129,18,0)</f>
        <v>1554.6089999999999</v>
      </c>
      <c r="AJ31" s="752">
        <f>VLOOKUP(A31,'[1]Pay sheet-APRIL- 2022'!$C$57:$AF$129,19,0)</f>
        <v>1075.942166</v>
      </c>
      <c r="AK31" s="752">
        <f>VLOOKUP(A31,'[1]Pay sheet-APRIL- 2022'!$C$57:$AF$129,20,0)</f>
        <v>1864.0716666666667</v>
      </c>
      <c r="AL31" s="752">
        <f>VLOOKUP(A31,'[1]Pay sheet-APRIL- 2022'!$C$57:$AF$129,22,0)</f>
        <v>0</v>
      </c>
      <c r="AM31" s="704">
        <f t="shared" si="2"/>
        <v>41889.056165999995</v>
      </c>
      <c r="AN31" s="797"/>
      <c r="AO31" s="752">
        <f>VLOOKUP(A31,'[1]Pay sheet-APRIL- 2022'!$C$57:$AF$129,26,0)</f>
        <v>1800</v>
      </c>
      <c r="AP31" s="752">
        <f>VLOOKUP(A31,'[1]Pay sheet-APRIL- 2022'!$C$57:$AF$129,25,0)</f>
        <v>200</v>
      </c>
      <c r="AQ31" s="752">
        <f>VLOOKUP(A31,'[1]Pay sheet-APRIL- 2022'!$C$57:$AF$129,24,0)</f>
        <v>0</v>
      </c>
      <c r="AR31" s="752">
        <f>VLOOKUP(A31,'[1]Pay sheet-APRIL- 2022'!$C$57:$AF$129,27,0)</f>
        <v>283</v>
      </c>
      <c r="AS31" s="763">
        <f t="shared" si="3"/>
        <v>2283</v>
      </c>
      <c r="AT31" s="705">
        <f t="shared" si="4"/>
        <v>39606.056165999995</v>
      </c>
      <c r="AU31" s="858" t="s">
        <v>899</v>
      </c>
      <c r="AV31" s="503" t="s">
        <v>731</v>
      </c>
      <c r="AW31" s="502" t="s">
        <v>878</v>
      </c>
      <c r="AY31" s="749">
        <v>70</v>
      </c>
      <c r="AZ31" s="695">
        <v>16</v>
      </c>
    </row>
    <row r="32" spans="1:52" ht="22.9" customHeight="1">
      <c r="A32" s="794" t="s">
        <v>842</v>
      </c>
      <c r="B32" s="944" t="s">
        <v>836</v>
      </c>
      <c r="C32" s="922">
        <v>33292</v>
      </c>
      <c r="D32" s="573" t="s">
        <v>499</v>
      </c>
      <c r="E32" s="631" t="s">
        <v>864</v>
      </c>
      <c r="F32" s="746" t="s">
        <v>874</v>
      </c>
      <c r="G32" s="695" t="s">
        <v>865</v>
      </c>
      <c r="H32" s="503" t="s">
        <v>821</v>
      </c>
      <c r="I32" s="503" t="s">
        <v>821</v>
      </c>
      <c r="J32" s="695" t="s">
        <v>865</v>
      </c>
      <c r="K32" s="503" t="s">
        <v>821</v>
      </c>
      <c r="L32" s="503" t="s">
        <v>821</v>
      </c>
      <c r="M32" s="503" t="s">
        <v>821</v>
      </c>
      <c r="N32" s="630">
        <v>44602</v>
      </c>
      <c r="O32" s="698" t="s">
        <v>783</v>
      </c>
      <c r="P32" s="698" t="s">
        <v>783</v>
      </c>
      <c r="Q32" s="698" t="s">
        <v>783</v>
      </c>
      <c r="R32" s="698" t="s">
        <v>783</v>
      </c>
      <c r="S32" s="708" t="s">
        <v>882</v>
      </c>
      <c r="T32" s="701" t="s">
        <v>37</v>
      </c>
      <c r="U32" s="750" t="s">
        <v>836</v>
      </c>
      <c r="V32" s="702">
        <v>30</v>
      </c>
      <c r="W32" s="942">
        <f>VLOOKUP(A32,'[1]Pay sheet-APRIL- 2022'!$C$57:$AF$129,10,0)</f>
        <v>27</v>
      </c>
      <c r="X32" s="844" t="s">
        <v>37</v>
      </c>
      <c r="Y32" s="923">
        <v>43202</v>
      </c>
      <c r="Z32" s="752">
        <f>VLOOKUP(A32,'[1]Pay sheet-APRIL- 2022'!$C$57:$AF$129,11,0)</f>
        <v>23329.08</v>
      </c>
      <c r="AA32" s="751">
        <v>0</v>
      </c>
      <c r="AB32" s="751">
        <v>0</v>
      </c>
      <c r="AC32" s="847">
        <f t="shared" si="0"/>
        <v>15665.720000000005</v>
      </c>
      <c r="AD32" s="752">
        <f>VLOOKUP(A32,'[1]Pay sheet-APRIL- 2022'!$C$57:$AF$129,12,0)</f>
        <v>9331.6320000000014</v>
      </c>
      <c r="AE32" s="752">
        <f>VLOOKUP(A32,'[1]Pay sheet-APRIL- 2022'!$C$57:$AF$129,13,0)</f>
        <v>1875</v>
      </c>
      <c r="AF32" s="752">
        <f>VLOOKUP(A32,'[1]Pay sheet-APRIL- 2022'!$C$57:$AF$129,14,0)</f>
        <v>1875</v>
      </c>
      <c r="AG32" s="752">
        <f>VLOOKUP(A32,'[1]Pay sheet-APRIL- 2022'!$C$57:$AF$129,15,0)</f>
        <v>2584.0880000000034</v>
      </c>
      <c r="AH32" s="848">
        <f t="shared" si="1"/>
        <v>38994.800000000003</v>
      </c>
      <c r="AI32" s="752">
        <f>VLOOKUP(A32,'[1]Pay sheet-APRIL- 2022'!$C$57:$AF$129,18,0)</f>
        <v>1554.6089999999999</v>
      </c>
      <c r="AJ32" s="752">
        <f>VLOOKUP(A32,'[1]Pay sheet-APRIL- 2022'!$C$57:$AF$129,19,0)</f>
        <v>1122.1287480000001</v>
      </c>
      <c r="AK32" s="752">
        <f>VLOOKUP(A32,'[1]Pay sheet-APRIL- 2022'!$C$57:$AF$129,20,0)</f>
        <v>1944.0900000000001</v>
      </c>
      <c r="AL32" s="752">
        <f>VLOOKUP(A32,'[1]Pay sheet-APRIL- 2022'!$C$57:$AF$129,22,0)</f>
        <v>0</v>
      </c>
      <c r="AM32" s="704">
        <f>Z32+AD32+AE32+AF32+AG32+AI32+AJ32+AK32</f>
        <v>43615.627747999999</v>
      </c>
      <c r="AN32" s="797"/>
      <c r="AO32" s="752">
        <f>VLOOKUP(A32,'[1]Pay sheet-APRIL- 2022'!$C$57:$AF$129,26,0)</f>
        <v>1800</v>
      </c>
      <c r="AP32" s="752">
        <f>VLOOKUP(A32,'[1]Pay sheet-APRIL- 2022'!$C$57:$AF$129,25,0)</f>
        <v>200</v>
      </c>
      <c r="AQ32" s="752">
        <f>VLOOKUP(A32,'[1]Pay sheet-APRIL- 2022'!$C$57:$AF$129,24,0)</f>
        <v>0</v>
      </c>
      <c r="AR32" s="752">
        <f>VLOOKUP(A32,'[1]Pay sheet-APRIL- 2022'!$C$57:$AF$129,27,0)</f>
        <v>283</v>
      </c>
      <c r="AS32" s="763">
        <f t="shared" si="3"/>
        <v>2283</v>
      </c>
      <c r="AT32" s="705">
        <f t="shared" si="4"/>
        <v>41332.627747999999</v>
      </c>
      <c r="AU32" s="858" t="s">
        <v>899</v>
      </c>
      <c r="AV32" s="503" t="s">
        <v>734</v>
      </c>
      <c r="AW32" s="503" t="s">
        <v>883</v>
      </c>
      <c r="AY32" s="749">
        <v>74</v>
      </c>
      <c r="AZ32" s="695">
        <v>17</v>
      </c>
    </row>
    <row r="33" spans="1:52" s="759" customFormat="1" ht="22.9" customHeight="1">
      <c r="A33" s="287" t="s">
        <v>843</v>
      </c>
      <c r="B33" s="944" t="s">
        <v>837</v>
      </c>
      <c r="C33" s="924">
        <v>35088</v>
      </c>
      <c r="D33" s="753" t="s">
        <v>499</v>
      </c>
      <c r="E33" s="758" t="s">
        <v>866</v>
      </c>
      <c r="F33" s="746" t="s">
        <v>874</v>
      </c>
      <c r="G33" s="925" t="s">
        <v>867</v>
      </c>
      <c r="H33" s="758" t="s">
        <v>821</v>
      </c>
      <c r="I33" s="758" t="s">
        <v>821</v>
      </c>
      <c r="J33" s="926" t="s">
        <v>868</v>
      </c>
      <c r="K33" s="758" t="s">
        <v>821</v>
      </c>
      <c r="L33" s="758" t="s">
        <v>821</v>
      </c>
      <c r="M33" s="758" t="s">
        <v>821</v>
      </c>
      <c r="N33" s="927">
        <v>44602</v>
      </c>
      <c r="O33" s="754" t="s">
        <v>783</v>
      </c>
      <c r="P33" s="754" t="s">
        <v>783</v>
      </c>
      <c r="Q33" s="754" t="s">
        <v>783</v>
      </c>
      <c r="R33" s="754" t="s">
        <v>783</v>
      </c>
      <c r="S33" s="808" t="s">
        <v>885</v>
      </c>
      <c r="T33" s="755" t="s">
        <v>37</v>
      </c>
      <c r="U33" s="756" t="s">
        <v>837</v>
      </c>
      <c r="V33" s="702">
        <v>30</v>
      </c>
      <c r="W33" s="842">
        <f>VLOOKUP(A33,'[1]Pay sheet-APRIL- 2022'!$C$57:$AF$129,10,0)</f>
        <v>30</v>
      </c>
      <c r="X33" s="845" t="s">
        <v>37</v>
      </c>
      <c r="Y33" s="928">
        <v>38567</v>
      </c>
      <c r="Z33" s="752">
        <f>VLOOKUP(A33,'[1]Pay sheet-APRIL- 2022'!$C$57:$AF$129,11,0)</f>
        <v>23140.2</v>
      </c>
      <c r="AA33" s="757">
        <v>0</v>
      </c>
      <c r="AB33" s="757">
        <v>0</v>
      </c>
      <c r="AC33" s="847">
        <f t="shared" si="0"/>
        <v>15539.800000000001</v>
      </c>
      <c r="AD33" s="752">
        <f>VLOOKUP(A33,'[1]Pay sheet-APRIL- 2022'!$C$57:$AF$129,12,0)</f>
        <v>9256.08</v>
      </c>
      <c r="AE33" s="752">
        <f>VLOOKUP(A33,'[1]Pay sheet-APRIL- 2022'!$C$57:$AF$129,13,0)</f>
        <v>2083</v>
      </c>
      <c r="AF33" s="752">
        <f>VLOOKUP(A33,'[1]Pay sheet-APRIL- 2022'!$C$57:$AF$129,14,0)</f>
        <v>2083</v>
      </c>
      <c r="AG33" s="752">
        <f>VLOOKUP(A33,'[1]Pay sheet-APRIL- 2022'!$C$57:$AF$129,15,0)</f>
        <v>2117.7200000000012</v>
      </c>
      <c r="AH33" s="848">
        <f t="shared" si="1"/>
        <v>38680</v>
      </c>
      <c r="AI33" s="752">
        <f>VLOOKUP(A33,'[1]Pay sheet-APRIL- 2022'!$C$57:$AF$129,18,0)</f>
        <v>1554.6089999999999</v>
      </c>
      <c r="AJ33" s="752">
        <f>VLOOKUP(A33,'[1]Pay sheet-APRIL- 2022'!$C$57:$AF$129,19,0)</f>
        <v>1113.0436199999999</v>
      </c>
      <c r="AK33" s="752">
        <f>VLOOKUP(A33,'[1]Pay sheet-APRIL- 2022'!$C$57:$AF$129,20,0)</f>
        <v>1928.3500000000001</v>
      </c>
      <c r="AL33" s="752">
        <f>VLOOKUP(A33,'[1]Pay sheet-APRIL- 2022'!$C$57:$AF$129,22,0)</f>
        <v>0</v>
      </c>
      <c r="AM33" s="704">
        <f>Z33+AD33+AE33+AF33+AG33+AI33+AJ33+AK33</f>
        <v>43276.002619999992</v>
      </c>
      <c r="AN33" s="762"/>
      <c r="AO33" s="752">
        <f>VLOOKUP(A33,'[1]Pay sheet-APRIL- 2022'!$C$57:$AF$129,26,0)</f>
        <v>1800</v>
      </c>
      <c r="AP33" s="752">
        <f>VLOOKUP(A33,'[1]Pay sheet-APRIL- 2022'!$C$57:$AF$129,25,0)</f>
        <v>200</v>
      </c>
      <c r="AQ33" s="752">
        <f>VLOOKUP(A33,'[1]Pay sheet-APRIL- 2022'!$C$57:$AF$129,24,0)</f>
        <v>0</v>
      </c>
      <c r="AR33" s="752">
        <f>VLOOKUP(A33,'[1]Pay sheet-APRIL- 2022'!$C$57:$AF$129,27,0)</f>
        <v>283</v>
      </c>
      <c r="AS33" s="763">
        <f t="shared" si="3"/>
        <v>2283</v>
      </c>
      <c r="AT33" s="705">
        <f t="shared" si="4"/>
        <v>40993.002619999992</v>
      </c>
      <c r="AU33" s="858" t="s">
        <v>899</v>
      </c>
      <c r="AV33" s="758" t="s">
        <v>731</v>
      </c>
      <c r="AW33" s="758" t="s">
        <v>886</v>
      </c>
      <c r="AY33" s="760">
        <v>75</v>
      </c>
      <c r="AZ33" s="695">
        <v>18</v>
      </c>
    </row>
    <row r="34" spans="1:52" s="759" customFormat="1" ht="22.9" customHeight="1">
      <c r="A34" s="794" t="s">
        <v>844</v>
      </c>
      <c r="B34" s="945" t="s">
        <v>838</v>
      </c>
      <c r="C34" s="821">
        <v>32638</v>
      </c>
      <c r="D34" s="822" t="s">
        <v>730</v>
      </c>
      <c r="E34" s="823" t="s">
        <v>869</v>
      </c>
      <c r="F34" s="824" t="s">
        <v>874</v>
      </c>
      <c r="G34" s="825" t="s">
        <v>870</v>
      </c>
      <c r="H34" s="823" t="s">
        <v>821</v>
      </c>
      <c r="I34" s="823" t="s">
        <v>821</v>
      </c>
      <c r="J34" s="825" t="s">
        <v>870</v>
      </c>
      <c r="K34" s="823" t="s">
        <v>821</v>
      </c>
      <c r="L34" s="823" t="s">
        <v>821</v>
      </c>
      <c r="M34" s="823" t="s">
        <v>821</v>
      </c>
      <c r="N34" s="826">
        <v>44602</v>
      </c>
      <c r="O34" s="827" t="s">
        <v>783</v>
      </c>
      <c r="P34" s="827" t="s">
        <v>783</v>
      </c>
      <c r="Q34" s="827" t="s">
        <v>783</v>
      </c>
      <c r="R34" s="827" t="s">
        <v>783</v>
      </c>
      <c r="S34" s="828" t="s">
        <v>887</v>
      </c>
      <c r="T34" s="829" t="s">
        <v>37</v>
      </c>
      <c r="U34" s="830" t="s">
        <v>838</v>
      </c>
      <c r="V34" s="702">
        <v>30</v>
      </c>
      <c r="W34" s="842">
        <f>VLOOKUP(A34,'[1]Pay sheet-APRIL- 2022'!$C$57:$AF$129,10,0)</f>
        <v>30</v>
      </c>
      <c r="X34" s="846" t="s">
        <v>37</v>
      </c>
      <c r="Y34" s="937">
        <v>38567</v>
      </c>
      <c r="Z34" s="752">
        <f>VLOOKUP(A34,'[1]Pay sheet-APRIL- 2022'!$C$57:$AF$129,11,0)</f>
        <v>23140.2</v>
      </c>
      <c r="AA34" s="938">
        <v>0</v>
      </c>
      <c r="AB34" s="938">
        <v>0</v>
      </c>
      <c r="AC34" s="847">
        <f t="shared" si="0"/>
        <v>15539.800000000001</v>
      </c>
      <c r="AD34" s="752">
        <f>VLOOKUP(A34,'[1]Pay sheet-APRIL- 2022'!$C$57:$AF$129,12,0)</f>
        <v>9256.08</v>
      </c>
      <c r="AE34" s="752">
        <f>VLOOKUP(A34,'[1]Pay sheet-APRIL- 2022'!$C$57:$AF$129,13,0)</f>
        <v>2083</v>
      </c>
      <c r="AF34" s="752">
        <f>VLOOKUP(A34,'[1]Pay sheet-APRIL- 2022'!$C$57:$AF$129,14,0)</f>
        <v>2083</v>
      </c>
      <c r="AG34" s="752">
        <f>VLOOKUP(A34,'[1]Pay sheet-APRIL- 2022'!$C$57:$AF$129,15,0)</f>
        <v>2117.7200000000012</v>
      </c>
      <c r="AH34" s="848">
        <f t="shared" si="1"/>
        <v>38680</v>
      </c>
      <c r="AI34" s="752">
        <f>VLOOKUP(A34,'[1]Pay sheet-APRIL- 2022'!$C$57:$AF$129,18,0)</f>
        <v>1554.6089999999999</v>
      </c>
      <c r="AJ34" s="752">
        <f>VLOOKUP(A34,'[1]Pay sheet-APRIL- 2022'!$C$57:$AF$129,19,0)</f>
        <v>1113.0436199999999</v>
      </c>
      <c r="AK34" s="752">
        <f>VLOOKUP(A34,'[1]Pay sheet-APRIL- 2022'!$C$57:$AF$129,20,0)</f>
        <v>1928.3500000000001</v>
      </c>
      <c r="AL34" s="752">
        <f>VLOOKUP(A34,'[1]Pay sheet-APRIL- 2022'!$C$57:$AF$129,22,0)</f>
        <v>0</v>
      </c>
      <c r="AM34" s="831">
        <f t="shared" si="2"/>
        <v>43276.002619999992</v>
      </c>
      <c r="AN34" s="832"/>
      <c r="AO34" s="752">
        <f>VLOOKUP(A34,'[1]Pay sheet-APRIL- 2022'!$C$57:$AF$129,26,0)</f>
        <v>1800</v>
      </c>
      <c r="AP34" s="752">
        <f>VLOOKUP(A34,'[1]Pay sheet-APRIL- 2022'!$C$57:$AF$129,25,0)</f>
        <v>200</v>
      </c>
      <c r="AQ34" s="752">
        <f>VLOOKUP(A34,'[1]Pay sheet-APRIL- 2022'!$C$57:$AF$129,24,0)</f>
        <v>0</v>
      </c>
      <c r="AR34" s="752">
        <f>VLOOKUP(A34,'[1]Pay sheet-APRIL- 2022'!$C$57:$AF$129,27,0)</f>
        <v>283</v>
      </c>
      <c r="AS34" s="763">
        <f t="shared" si="3"/>
        <v>2283</v>
      </c>
      <c r="AT34" s="705">
        <f t="shared" si="4"/>
        <v>40993.002619999992</v>
      </c>
      <c r="AU34" s="939" t="s">
        <v>899</v>
      </c>
      <c r="AV34" s="833" t="s">
        <v>734</v>
      </c>
      <c r="AW34" s="833" t="s">
        <v>888</v>
      </c>
      <c r="AY34" s="834">
        <v>76</v>
      </c>
      <c r="AZ34" s="695">
        <v>19</v>
      </c>
    </row>
    <row r="35" spans="1:52" ht="22.9" customHeight="1">
      <c r="A35" s="287" t="s">
        <v>890</v>
      </c>
      <c r="B35" s="841" t="s">
        <v>906</v>
      </c>
      <c r="C35" s="839">
        <v>30056</v>
      </c>
      <c r="D35" s="573" t="s">
        <v>499</v>
      </c>
      <c r="E35" s="786" t="s">
        <v>905</v>
      </c>
      <c r="F35" s="835" t="s">
        <v>771</v>
      </c>
      <c r="G35" s="289" t="s">
        <v>907</v>
      </c>
      <c r="I35" s="857" t="s">
        <v>821</v>
      </c>
      <c r="J35" s="289" t="s">
        <v>907</v>
      </c>
      <c r="K35" s="857" t="s">
        <v>821</v>
      </c>
      <c r="L35" s="835" t="s">
        <v>821</v>
      </c>
      <c r="M35" s="835" t="s">
        <v>821</v>
      </c>
      <c r="N35" s="941">
        <v>44652</v>
      </c>
      <c r="O35" s="835" t="s">
        <v>821</v>
      </c>
      <c r="P35" s="835" t="s">
        <v>821</v>
      </c>
      <c r="Q35" s="835" t="s">
        <v>821</v>
      </c>
      <c r="R35" s="835" t="s">
        <v>821</v>
      </c>
      <c r="S35" s="288" t="s">
        <v>37</v>
      </c>
      <c r="T35" s="755" t="s">
        <v>37</v>
      </c>
      <c r="U35" s="573" t="s">
        <v>889</v>
      </c>
      <c r="V35" s="702">
        <v>30</v>
      </c>
      <c r="W35" s="842">
        <f>VLOOKUP(A35,'[1]Pay sheet-APRIL- 2022'!$C$57:$AF$129,10,0)</f>
        <v>30</v>
      </c>
      <c r="X35" s="940" t="s">
        <v>37</v>
      </c>
      <c r="Y35" s="836">
        <f>AH35/W35*31</f>
        <v>83070.7</v>
      </c>
      <c r="Z35" s="752">
        <f>VLOOKUP(A35,'[1]Pay sheet-APRIL- 2022'!$C$57:$AF$129,11,0)</f>
        <v>48166.8</v>
      </c>
      <c r="AA35" s="757">
        <v>0</v>
      </c>
      <c r="AB35" s="757">
        <v>0</v>
      </c>
      <c r="AC35" s="847">
        <f t="shared" si="0"/>
        <v>32224.199999999997</v>
      </c>
      <c r="AD35" s="752">
        <f>VLOOKUP(A35,'[1]Pay sheet-APRIL- 2022'!$C$57:$AF$129,12,0)</f>
        <v>19266.72</v>
      </c>
      <c r="AE35" s="752">
        <f>VLOOKUP(A35,'[1]Pay sheet-APRIL- 2022'!$C$57:$AF$129,13,0)</f>
        <v>2083</v>
      </c>
      <c r="AF35" s="752">
        <f>VLOOKUP(A35,'[1]Pay sheet-APRIL- 2022'!$C$57:$AF$129,14,0)</f>
        <v>2083</v>
      </c>
      <c r="AG35" s="752">
        <f>VLOOKUP(A35,'[1]Pay sheet-APRIL- 2022'!$C$57:$AF$129,15,0)</f>
        <v>8791.4799999999959</v>
      </c>
      <c r="AH35" s="848">
        <f t="shared" si="1"/>
        <v>80391</v>
      </c>
      <c r="AI35" s="752">
        <f>VLOOKUP(A35,'[1]Pay sheet-APRIL- 2022'!$C$57:$AF$129,18,0)</f>
        <v>1554.6089999999999</v>
      </c>
      <c r="AJ35" s="752">
        <f>VLOOKUP(A35,'[1]Pay sheet-APRIL- 2022'!$C$57:$AF$129,19,0)</f>
        <v>2316.8230800000001</v>
      </c>
      <c r="AK35" s="752">
        <f>VLOOKUP(A35,'[1]Pay sheet-APRIL- 2022'!$C$57:$AF$129,20,0)</f>
        <v>4013.9</v>
      </c>
      <c r="AL35" s="752">
        <f>VLOOKUP(A35,'[1]Pay sheet-APRIL- 2022'!$C$57:$AF$129,22,0)</f>
        <v>0</v>
      </c>
      <c r="AM35" s="704">
        <f t="shared" si="2"/>
        <v>88276.332079999993</v>
      </c>
      <c r="AN35" s="837"/>
      <c r="AO35" s="752">
        <f>VLOOKUP(A35,'[1]Pay sheet-APRIL- 2022'!$C$57:$AF$129,26,0)</f>
        <v>0</v>
      </c>
      <c r="AP35" s="752">
        <f>VLOOKUP(A35,'[1]Pay sheet-APRIL- 2022'!$C$57:$AF$129,25,0)</f>
        <v>200</v>
      </c>
      <c r="AQ35" s="752">
        <f>VLOOKUP(A35,'[1]Pay sheet-APRIL- 2022'!$C$57:$AF$129,24,0)</f>
        <v>0</v>
      </c>
      <c r="AR35" s="752">
        <f>VLOOKUP(A35,'[1]Pay sheet-APRIL- 2022'!$C$57:$AF$129,27,0)</f>
        <v>0</v>
      </c>
      <c r="AS35" s="763">
        <f t="shared" si="3"/>
        <v>200</v>
      </c>
      <c r="AT35" s="705">
        <f t="shared" si="4"/>
        <v>88076.332079999993</v>
      </c>
      <c r="AU35" s="858" t="s">
        <v>899</v>
      </c>
      <c r="AV35" s="503" t="s">
        <v>897</v>
      </c>
      <c r="AW35" s="503" t="s">
        <v>898</v>
      </c>
      <c r="AX35" s="503"/>
      <c r="AY35" s="838">
        <v>77</v>
      </c>
      <c r="AZ35" s="695">
        <v>20</v>
      </c>
    </row>
    <row r="36" spans="1:52" s="953" customFormat="1" ht="28.5" customHeight="1">
      <c r="A36" s="952"/>
      <c r="C36" s="954"/>
      <c r="D36" s="955"/>
      <c r="E36" s="956"/>
      <c r="F36" s="956"/>
      <c r="G36" s="957"/>
      <c r="H36" s="957"/>
      <c r="I36" s="957"/>
      <c r="J36" s="957"/>
      <c r="N36" s="958"/>
      <c r="S36" s="954"/>
      <c r="U36" s="957"/>
      <c r="W36" s="959">
        <f>SUM(W16:W35)</f>
        <v>591</v>
      </c>
      <c r="Y36" s="960"/>
      <c r="Z36" s="961">
        <f>SUM(Z16:Z35)</f>
        <v>792977.47999999975</v>
      </c>
      <c r="AA36" s="961">
        <f t="shared" ref="AA36:AT36" si="5">SUM(AA16:AA35)</f>
        <v>0</v>
      </c>
      <c r="AB36" s="961">
        <f t="shared" si="5"/>
        <v>0</v>
      </c>
      <c r="AC36" s="961">
        <f t="shared" si="5"/>
        <v>530911.6533333332</v>
      </c>
      <c r="AD36" s="961">
        <f t="shared" si="5"/>
        <v>317190.99200000009</v>
      </c>
      <c r="AE36" s="961">
        <f t="shared" si="5"/>
        <v>41036</v>
      </c>
      <c r="AF36" s="961">
        <f t="shared" si="5"/>
        <v>41036</v>
      </c>
      <c r="AG36" s="961">
        <f t="shared" si="5"/>
        <v>131648.66133333329</v>
      </c>
      <c r="AH36" s="961">
        <f t="shared" si="5"/>
        <v>1323889.1333333333</v>
      </c>
      <c r="AI36" s="961">
        <f t="shared" si="5"/>
        <v>31092.180000000004</v>
      </c>
      <c r="AJ36" s="961">
        <f t="shared" si="5"/>
        <v>38142.216787999998</v>
      </c>
      <c r="AK36" s="961">
        <f t="shared" si="5"/>
        <v>66081.456666666651</v>
      </c>
      <c r="AL36" s="962">
        <v>0</v>
      </c>
      <c r="AM36" s="961">
        <f t="shared" si="5"/>
        <v>1459204.9867879997</v>
      </c>
      <c r="AN36" s="961">
        <f t="shared" si="5"/>
        <v>0</v>
      </c>
      <c r="AO36" s="961">
        <f t="shared" si="5"/>
        <v>34200</v>
      </c>
      <c r="AP36" s="961">
        <f t="shared" si="5"/>
        <v>4000</v>
      </c>
      <c r="AQ36" s="961">
        <f t="shared" si="5"/>
        <v>0</v>
      </c>
      <c r="AR36" s="961">
        <f t="shared" si="5"/>
        <v>5291</v>
      </c>
      <c r="AS36" s="961">
        <f t="shared" si="5"/>
        <v>43491</v>
      </c>
      <c r="AT36" s="951">
        <f t="shared" si="5"/>
        <v>1415713.9867879997</v>
      </c>
      <c r="AU36" s="963"/>
      <c r="AY36" s="954"/>
    </row>
    <row r="37" spans="1:52">
      <c r="AU37" s="858"/>
    </row>
    <row r="48" spans="1:52" s="448" customFormat="1" ht="22.9" customHeight="1">
      <c r="A48" s="902"/>
      <c r="B48" s="901"/>
      <c r="C48" s="903">
        <v>30222</v>
      </c>
      <c r="D48" s="448" t="s">
        <v>499</v>
      </c>
      <c r="E48" s="448" t="s">
        <v>722</v>
      </c>
      <c r="F48" s="904"/>
      <c r="G48" s="448" t="s">
        <v>723</v>
      </c>
      <c r="I48" s="905"/>
      <c r="J48" s="448" t="s">
        <v>724</v>
      </c>
      <c r="K48" s="906"/>
      <c r="L48" s="906"/>
      <c r="M48" s="906"/>
      <c r="N48" s="907">
        <v>44390</v>
      </c>
      <c r="S48" s="908" t="s">
        <v>718</v>
      </c>
      <c r="T48" s="909" t="s">
        <v>37</v>
      </c>
      <c r="U48" s="448">
        <f>B48</f>
        <v>0</v>
      </c>
      <c r="V48" s="910">
        <v>31</v>
      </c>
      <c r="W48" s="843" t="e">
        <f>VLOOKUP(A48,'[2]Pay sheet-MARCH- 2022'!$C$34:$AF$122,10,0)</f>
        <v>#N/A</v>
      </c>
      <c r="X48" s="911" t="s">
        <v>37</v>
      </c>
      <c r="Y48" s="912">
        <v>100670</v>
      </c>
      <c r="Z48" s="843" t="e">
        <f>VLOOKUP(A48,'[2]Pay sheet-MARCH- 2022'!$C$34:$AF$122,11,0)</f>
        <v>#N/A</v>
      </c>
      <c r="AA48" s="913">
        <v>0</v>
      </c>
      <c r="AB48" s="913">
        <v>0</v>
      </c>
      <c r="AC48" s="914" t="e">
        <f>AD48+AE48+AF48+AG48</f>
        <v>#N/A</v>
      </c>
      <c r="AD48" s="843" t="e">
        <f>VLOOKUP(A48,'[2]Pay sheet-MARCH- 2022'!$C$34:$AF$122,12,0)</f>
        <v>#N/A</v>
      </c>
      <c r="AE48" s="843" t="e">
        <f>VLOOKUP(A48,'[2]Pay sheet-MARCH- 2022'!$C$34:$AF$122,13,0)</f>
        <v>#N/A</v>
      </c>
      <c r="AF48" s="843" t="e">
        <f>VLOOKUP(A48,'[2]Pay sheet-MARCH- 2022'!$C$34:$AF$122,14,0)</f>
        <v>#N/A</v>
      </c>
      <c r="AG48" s="843"/>
      <c r="AH48" s="915"/>
      <c r="AI48" s="843"/>
      <c r="AJ48" s="843"/>
      <c r="AK48" s="843"/>
      <c r="AL48" s="843"/>
      <c r="AM48" s="916"/>
      <c r="AN48" s="917"/>
      <c r="AO48" s="843"/>
      <c r="AP48" s="843"/>
      <c r="AQ48" s="843"/>
      <c r="AR48" s="843"/>
      <c r="AS48" s="918"/>
      <c r="AT48" s="919"/>
      <c r="AU48" s="920"/>
      <c r="AW48" s="921"/>
      <c r="AY48" s="448">
        <v>52</v>
      </c>
      <c r="AZ48" s="448">
        <v>1</v>
      </c>
    </row>
    <row r="49" spans="1:52" s="936" customFormat="1" ht="22.9" customHeight="1">
      <c r="A49" s="420"/>
      <c r="B49" s="899"/>
      <c r="C49" s="875">
        <v>33172</v>
      </c>
      <c r="D49" s="419" t="s">
        <v>499</v>
      </c>
      <c r="E49" s="445" t="s">
        <v>853</v>
      </c>
      <c r="F49" s="876"/>
      <c r="G49" s="884" t="s">
        <v>854</v>
      </c>
      <c r="H49" s="887" t="s">
        <v>783</v>
      </c>
      <c r="I49" s="887" t="s">
        <v>783</v>
      </c>
      <c r="J49" s="884" t="s">
        <v>854</v>
      </c>
      <c r="K49" s="929" t="s">
        <v>783</v>
      </c>
      <c r="L49" s="929" t="s">
        <v>783</v>
      </c>
      <c r="M49" s="929" t="s">
        <v>783</v>
      </c>
      <c r="N49" s="930" t="s">
        <v>855</v>
      </c>
      <c r="O49" s="929" t="s">
        <v>783</v>
      </c>
      <c r="P49" s="929" t="s">
        <v>783</v>
      </c>
      <c r="Q49" s="929" t="s">
        <v>783</v>
      </c>
      <c r="R49" s="929" t="s">
        <v>783</v>
      </c>
      <c r="S49" s="931" t="s">
        <v>877</v>
      </c>
      <c r="T49" s="909" t="s">
        <v>37</v>
      </c>
      <c r="U49" s="932" t="s">
        <v>831</v>
      </c>
      <c r="V49" s="910">
        <v>31</v>
      </c>
      <c r="W49" s="843" t="e">
        <f>VLOOKUP(A49,'[2]Pay sheet-MARCH- 2022'!$C$34:$AF$122,10,0)</f>
        <v>#N/A</v>
      </c>
      <c r="X49" s="911" t="s">
        <v>37</v>
      </c>
      <c r="Y49" s="933">
        <v>38567</v>
      </c>
      <c r="Z49" s="843" t="e">
        <f>VLOOKUP(A49,'[2]Pay sheet-MARCH- 2022'!$C$34:$AF$122,11,0)</f>
        <v>#N/A</v>
      </c>
      <c r="AA49" s="935">
        <v>0</v>
      </c>
      <c r="AB49" s="935">
        <v>0</v>
      </c>
      <c r="AC49" s="914" t="e">
        <f>AD49+AE49+AF49+AG49</f>
        <v>#N/A</v>
      </c>
      <c r="AD49" s="934" t="e">
        <f>VLOOKUP(A49,'[2]Pay sheet-MARCH- 2022'!$C$34:$AF$122,12,0)</f>
        <v>#N/A</v>
      </c>
      <c r="AE49" s="934" t="e">
        <f>VLOOKUP(A49,'[2]Pay sheet-MARCH- 2022'!$C$34:$AF$122,13,0)</f>
        <v>#N/A</v>
      </c>
      <c r="AF49" s="934" t="e">
        <f>VLOOKUP(A49,'[2]Pay sheet-MARCH- 2022'!$C$34:$AF$122,14,0)</f>
        <v>#N/A</v>
      </c>
      <c r="AG49" s="934"/>
      <c r="AH49" s="915"/>
      <c r="AI49" s="934"/>
      <c r="AJ49" s="934"/>
      <c r="AK49" s="934"/>
      <c r="AL49" s="934"/>
      <c r="AM49" s="916"/>
      <c r="AN49" s="854"/>
      <c r="AO49" s="934"/>
      <c r="AP49" s="934"/>
      <c r="AQ49" s="934"/>
      <c r="AR49" s="934"/>
      <c r="AS49" s="918"/>
      <c r="AT49" s="919"/>
      <c r="AU49" s="920"/>
      <c r="AV49" s="437"/>
      <c r="AW49" s="450"/>
      <c r="AY49" s="874">
        <v>69</v>
      </c>
      <c r="AZ49" s="936">
        <v>17</v>
      </c>
    </row>
    <row r="50" spans="1:52" s="936" customFormat="1" ht="22.9" customHeight="1">
      <c r="A50" s="900"/>
      <c r="B50" s="899"/>
      <c r="C50" s="878">
        <v>35895</v>
      </c>
      <c r="D50" s="419" t="s">
        <v>499</v>
      </c>
      <c r="E50" s="437" t="s">
        <v>859</v>
      </c>
      <c r="F50" s="876"/>
      <c r="G50" s="450" t="s">
        <v>860</v>
      </c>
      <c r="H50" s="887" t="s">
        <v>783</v>
      </c>
      <c r="I50" s="887" t="s">
        <v>783</v>
      </c>
      <c r="J50" s="450" t="s">
        <v>861</v>
      </c>
      <c r="K50" s="929" t="s">
        <v>783</v>
      </c>
      <c r="L50" s="929" t="s">
        <v>783</v>
      </c>
      <c r="M50" s="929" t="s">
        <v>783</v>
      </c>
      <c r="N50" s="930" t="s">
        <v>872</v>
      </c>
      <c r="O50" s="929" t="s">
        <v>783</v>
      </c>
      <c r="P50" s="929" t="s">
        <v>783</v>
      </c>
      <c r="Q50" s="929" t="s">
        <v>783</v>
      </c>
      <c r="R50" s="929" t="s">
        <v>783</v>
      </c>
      <c r="S50" s="931" t="s">
        <v>880</v>
      </c>
      <c r="T50" s="909" t="s">
        <v>37</v>
      </c>
      <c r="U50" s="932" t="s">
        <v>833</v>
      </c>
      <c r="V50" s="910">
        <v>31</v>
      </c>
      <c r="W50" s="843" t="e">
        <f>VLOOKUP(A50,'[2]Pay sheet-MARCH- 2022'!$C$34:$AF$122,10,0)</f>
        <v>#N/A</v>
      </c>
      <c r="X50" s="911" t="s">
        <v>37</v>
      </c>
      <c r="Y50" s="933">
        <v>38567</v>
      </c>
      <c r="Z50" s="843" t="e">
        <f>VLOOKUP(A50,'[2]Pay sheet-MARCH- 2022'!$C$34:$AF$122,11,0)</f>
        <v>#N/A</v>
      </c>
      <c r="AA50" s="935">
        <v>0</v>
      </c>
      <c r="AB50" s="935">
        <v>0</v>
      </c>
      <c r="AC50" s="914" t="e">
        <f>AD50+AE50+AF50+AG50</f>
        <v>#N/A</v>
      </c>
      <c r="AD50" s="934" t="e">
        <f>VLOOKUP(A50,'[2]Pay sheet-MARCH- 2022'!$C$34:$AF$122,12,0)</f>
        <v>#N/A</v>
      </c>
      <c r="AE50" s="934" t="e">
        <f>VLOOKUP(A50,'[2]Pay sheet-MARCH- 2022'!$C$34:$AF$122,13,0)</f>
        <v>#N/A</v>
      </c>
      <c r="AF50" s="934" t="e">
        <f>VLOOKUP(A50,'[2]Pay sheet-MARCH- 2022'!$C$34:$AF$122,14,0)</f>
        <v>#N/A</v>
      </c>
      <c r="AG50" s="934"/>
      <c r="AH50" s="915"/>
      <c r="AI50" s="934"/>
      <c r="AJ50" s="934"/>
      <c r="AK50" s="934"/>
      <c r="AL50" s="934"/>
      <c r="AM50" s="916"/>
      <c r="AN50" s="854"/>
      <c r="AO50" s="934"/>
      <c r="AP50" s="934"/>
      <c r="AQ50" s="934"/>
      <c r="AR50" s="934"/>
      <c r="AS50" s="918"/>
      <c r="AT50" s="919"/>
      <c r="AU50" s="920"/>
      <c r="AV50" s="437"/>
      <c r="AW50" s="437"/>
      <c r="AY50" s="874">
        <v>71</v>
      </c>
      <c r="AZ50" s="936">
        <v>19</v>
      </c>
    </row>
    <row r="51" spans="1:52" s="936" customFormat="1" ht="22.9" customHeight="1">
      <c r="A51" s="420"/>
      <c r="B51" s="899"/>
      <c r="C51" s="880">
        <v>36086</v>
      </c>
      <c r="D51" s="419" t="s">
        <v>499</v>
      </c>
      <c r="E51" s="613" t="s">
        <v>862</v>
      </c>
      <c r="F51" s="876"/>
      <c r="G51" s="445" t="s">
        <v>863</v>
      </c>
      <c r="H51" s="450"/>
      <c r="I51" s="450"/>
      <c r="J51" s="445" t="s">
        <v>863</v>
      </c>
      <c r="K51" s="929" t="s">
        <v>783</v>
      </c>
      <c r="L51" s="929" t="s">
        <v>783</v>
      </c>
      <c r="M51" s="929" t="s">
        <v>783</v>
      </c>
      <c r="N51" s="612">
        <v>44602</v>
      </c>
      <c r="O51" s="929" t="s">
        <v>783</v>
      </c>
      <c r="P51" s="929" t="s">
        <v>783</v>
      </c>
      <c r="Q51" s="929" t="s">
        <v>783</v>
      </c>
      <c r="R51" s="929" t="s">
        <v>783</v>
      </c>
      <c r="S51" s="931" t="s">
        <v>881</v>
      </c>
      <c r="T51" s="909" t="s">
        <v>37</v>
      </c>
      <c r="U51" s="932" t="s">
        <v>834</v>
      </c>
      <c r="V51" s="910">
        <v>31</v>
      </c>
      <c r="W51" s="843" t="e">
        <f>VLOOKUP(A51,'[2]Pay sheet-MARCH- 2022'!$C$34:$AF$122,10,0)</f>
        <v>#N/A</v>
      </c>
      <c r="X51" s="911" t="s">
        <v>37</v>
      </c>
      <c r="Y51" s="933">
        <v>29298</v>
      </c>
      <c r="Z51" s="843" t="e">
        <f>VLOOKUP(A51,'[2]Pay sheet-MARCH- 2022'!$C$34:$AF$122,11,0)</f>
        <v>#N/A</v>
      </c>
      <c r="AA51" s="935">
        <v>0</v>
      </c>
      <c r="AB51" s="935">
        <v>0</v>
      </c>
      <c r="AC51" s="914" t="e">
        <f>AD51+AE51+AF51+AG51</f>
        <v>#N/A</v>
      </c>
      <c r="AD51" s="934" t="e">
        <f>VLOOKUP(A51,'[2]Pay sheet-MARCH- 2022'!$C$34:$AF$122,12,0)</f>
        <v>#N/A</v>
      </c>
      <c r="AE51" s="934" t="e">
        <f>VLOOKUP(A51,'[2]Pay sheet-MARCH- 2022'!$C$34:$AF$122,13,0)</f>
        <v>#N/A</v>
      </c>
      <c r="AF51" s="934" t="e">
        <f>VLOOKUP(A51,'[2]Pay sheet-MARCH- 2022'!$C$34:$AF$122,14,0)</f>
        <v>#N/A</v>
      </c>
      <c r="AG51" s="934"/>
      <c r="AH51" s="915"/>
      <c r="AI51" s="934"/>
      <c r="AJ51" s="934"/>
      <c r="AK51" s="934"/>
      <c r="AL51" s="934"/>
      <c r="AM51" s="916"/>
      <c r="AN51" s="854"/>
      <c r="AO51" s="934"/>
      <c r="AP51" s="934"/>
      <c r="AQ51" s="934"/>
      <c r="AR51" s="934"/>
      <c r="AS51" s="918"/>
      <c r="AT51" s="919"/>
      <c r="AU51" s="920"/>
      <c r="AV51" s="437"/>
      <c r="AW51" s="437"/>
      <c r="AY51" s="879">
        <v>72</v>
      </c>
      <c r="AZ51" s="936">
        <v>20</v>
      </c>
    </row>
    <row r="52" spans="1:52" s="936" customFormat="1" ht="22.9" customHeight="1">
      <c r="A52" s="420"/>
      <c r="B52" s="899"/>
      <c r="C52" s="885">
        <v>31019</v>
      </c>
      <c r="D52" s="419" t="s">
        <v>499</v>
      </c>
      <c r="E52" s="422" t="s">
        <v>873</v>
      </c>
      <c r="F52" s="876"/>
      <c r="G52" s="437" t="s">
        <v>884</v>
      </c>
      <c r="H52" s="437" t="s">
        <v>821</v>
      </c>
      <c r="I52" s="437" t="s">
        <v>821</v>
      </c>
      <c r="J52" s="437" t="s">
        <v>884</v>
      </c>
      <c r="K52" s="437" t="s">
        <v>821</v>
      </c>
      <c r="L52" s="437" t="s">
        <v>821</v>
      </c>
      <c r="M52" s="437" t="s">
        <v>821</v>
      </c>
      <c r="N52" s="612">
        <v>44602</v>
      </c>
      <c r="O52" s="929" t="s">
        <v>783</v>
      </c>
      <c r="P52" s="929" t="s">
        <v>783</v>
      </c>
      <c r="Q52" s="929" t="s">
        <v>783</v>
      </c>
      <c r="R52" s="929" t="s">
        <v>783</v>
      </c>
      <c r="S52" s="929" t="s">
        <v>783</v>
      </c>
      <c r="T52" s="909" t="s">
        <v>37</v>
      </c>
      <c r="U52" s="932" t="s">
        <v>835</v>
      </c>
      <c r="V52" s="910">
        <v>31</v>
      </c>
      <c r="W52" s="843" t="e">
        <f>VLOOKUP(A52,'[2]Pay sheet-MARCH- 2022'!$C$34:$AF$122,10,0)</f>
        <v>#N/A</v>
      </c>
      <c r="X52" s="911" t="s">
        <v>37</v>
      </c>
      <c r="Y52" s="933">
        <v>38567</v>
      </c>
      <c r="Z52" s="843" t="e">
        <f>VLOOKUP(A52,'[2]Pay sheet-MARCH- 2022'!$C$34:$AF$122,11,0)</f>
        <v>#N/A</v>
      </c>
      <c r="AA52" s="935">
        <v>0</v>
      </c>
      <c r="AB52" s="935">
        <v>0</v>
      </c>
      <c r="AC52" s="914" t="e">
        <f>AD52+AE52+AF52+AG52</f>
        <v>#N/A</v>
      </c>
      <c r="AD52" s="934" t="e">
        <f>VLOOKUP(A52,'[2]Pay sheet-MARCH- 2022'!$C$34:$AF$122,12,0)</f>
        <v>#N/A</v>
      </c>
      <c r="AE52" s="934" t="e">
        <f>VLOOKUP(A52,'[2]Pay sheet-MARCH- 2022'!$C$34:$AF$122,13,0)</f>
        <v>#N/A</v>
      </c>
      <c r="AF52" s="934" t="e">
        <f>VLOOKUP(A52,'[2]Pay sheet-MARCH- 2022'!$C$34:$AF$122,14,0)</f>
        <v>#N/A</v>
      </c>
      <c r="AG52" s="934"/>
      <c r="AH52" s="915"/>
      <c r="AI52" s="934"/>
      <c r="AJ52" s="934"/>
      <c r="AK52" s="934"/>
      <c r="AL52" s="934"/>
      <c r="AM52" s="916"/>
      <c r="AN52" s="854"/>
      <c r="AO52" s="934"/>
      <c r="AP52" s="934"/>
      <c r="AQ52" s="934"/>
      <c r="AR52" s="934"/>
      <c r="AS52" s="918"/>
      <c r="AT52" s="919"/>
      <c r="AU52" s="920"/>
      <c r="AV52" s="437"/>
      <c r="AW52" s="437"/>
      <c r="AY52" s="874">
        <v>73</v>
      </c>
      <c r="AZ52" s="936">
        <v>21</v>
      </c>
    </row>
  </sheetData>
  <mergeCells count="29">
    <mergeCell ref="F6:H6"/>
    <mergeCell ref="F8:H8"/>
    <mergeCell ref="F5:H5"/>
    <mergeCell ref="D10:E10"/>
    <mergeCell ref="AD14:AD15"/>
    <mergeCell ref="AE14:AE15"/>
    <mergeCell ref="AF14:AF15"/>
    <mergeCell ref="AG14:AG15"/>
    <mergeCell ref="U14:U15"/>
    <mergeCell ref="Y14:Y15"/>
    <mergeCell ref="Z14:Z15"/>
    <mergeCell ref="AA14:AA15"/>
    <mergeCell ref="AB14:AB15"/>
    <mergeCell ref="AY14:AY15"/>
    <mergeCell ref="F14:F15"/>
    <mergeCell ref="W14:W15"/>
    <mergeCell ref="X14:X15"/>
    <mergeCell ref="A5:C5"/>
    <mergeCell ref="AX14:AX15"/>
    <mergeCell ref="AC14:AC15"/>
    <mergeCell ref="AH14:AH15"/>
    <mergeCell ref="AN14:AS14"/>
    <mergeCell ref="AT14:AT15"/>
    <mergeCell ref="AU14:AU15"/>
    <mergeCell ref="AW14:AW15"/>
    <mergeCell ref="AB5:AO5"/>
    <mergeCell ref="A8:C8"/>
    <mergeCell ref="AP9:AX9"/>
    <mergeCell ref="A10:C10"/>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topLeftCell="A16" workbookViewId="0">
      <selection activeCell="D12" sqref="D12"/>
    </sheetView>
  </sheetViews>
  <sheetFormatPr defaultColWidth="8.7109375" defaultRowHeight="15"/>
  <cols>
    <col min="1" max="1" width="26.28515625" style="8" customWidth="1"/>
    <col min="2" max="2" width="25" style="8" customWidth="1"/>
    <col min="3" max="3" width="11.28515625" style="8" customWidth="1"/>
    <col min="4" max="4" width="11.85546875" style="8" customWidth="1"/>
    <col min="5" max="5" width="9.5703125" style="8" bestFit="1" customWidth="1"/>
    <col min="6" max="9" width="8.7109375" style="8"/>
    <col min="10" max="10" width="15" style="8" customWidth="1"/>
    <col min="11" max="11" width="12.85546875" style="8" customWidth="1"/>
    <col min="12" max="16384" width="8.7109375" style="8"/>
  </cols>
  <sheetData>
    <row r="1" spans="1:11">
      <c r="A1" s="1008" t="s">
        <v>158</v>
      </c>
      <c r="B1" s="1009"/>
      <c r="C1" s="1009"/>
      <c r="D1" s="1009"/>
      <c r="E1" s="1009"/>
      <c r="F1" s="1009"/>
      <c r="G1" s="1009"/>
      <c r="H1" s="1009"/>
      <c r="I1" s="1009"/>
      <c r="J1" s="112"/>
      <c r="K1" s="113"/>
    </row>
    <row r="2" spans="1:11">
      <c r="A2" s="1010" t="s">
        <v>159</v>
      </c>
      <c r="B2" s="1322"/>
      <c r="C2" s="1322"/>
      <c r="D2" s="1322"/>
      <c r="E2" s="1322"/>
      <c r="F2" s="1322"/>
      <c r="G2" s="1322"/>
      <c r="H2" s="1322"/>
      <c r="I2" s="1322"/>
      <c r="J2" s="1323"/>
      <c r="K2" s="114"/>
    </row>
    <row r="3" spans="1:11">
      <c r="A3" s="1011"/>
      <c r="B3" s="1324"/>
      <c r="C3" s="1324"/>
      <c r="D3" s="1324"/>
      <c r="E3" s="1324"/>
      <c r="F3" s="1324"/>
      <c r="G3" s="1324"/>
      <c r="H3" s="1324"/>
      <c r="I3" s="1324"/>
      <c r="J3" s="1325"/>
      <c r="K3" s="115"/>
    </row>
    <row r="4" spans="1:11">
      <c r="A4" s="1012" t="s">
        <v>160</v>
      </c>
      <c r="B4" s="1326"/>
      <c r="C4" s="1326"/>
      <c r="D4" s="1326"/>
      <c r="E4" s="1326"/>
      <c r="F4" s="1326"/>
      <c r="G4" s="1326"/>
      <c r="H4" s="1326"/>
      <c r="I4" s="1326"/>
      <c r="J4" s="1327"/>
      <c r="K4" s="116"/>
    </row>
    <row r="5" spans="1:11">
      <c r="A5" s="949"/>
      <c r="B5" s="1327"/>
      <c r="C5" s="1327"/>
      <c r="D5" s="1327"/>
      <c r="E5" s="1327"/>
      <c r="F5" s="1327"/>
      <c r="G5" s="1327"/>
      <c r="H5" s="1327"/>
      <c r="I5" s="1327"/>
      <c r="J5" s="1327"/>
      <c r="K5" s="116"/>
    </row>
    <row r="6" spans="1:11" ht="18.75">
      <c r="A6" s="117"/>
      <c r="B6" s="1328"/>
      <c r="C6" s="1328"/>
      <c r="D6" s="1329">
        <f>'0422Master'!D10</f>
        <v>44652</v>
      </c>
      <c r="E6" s="1329"/>
      <c r="F6" s="1328"/>
      <c r="G6" s="1328"/>
      <c r="H6" s="1328"/>
      <c r="I6" s="1328"/>
      <c r="J6" s="1328"/>
      <c r="K6" s="118"/>
    </row>
    <row r="7" spans="1:11">
      <c r="A7" s="949"/>
      <c r="B7" s="1327"/>
      <c r="C7" s="1327"/>
      <c r="D7" s="1327"/>
      <c r="E7" s="1327"/>
      <c r="F7" s="1327"/>
      <c r="G7" s="1327"/>
      <c r="H7" s="1327"/>
      <c r="I7" s="1327"/>
      <c r="J7" s="1327"/>
      <c r="K7" s="116"/>
    </row>
    <row r="8" spans="1:11">
      <c r="A8" s="119" t="s">
        <v>161</v>
      </c>
      <c r="B8" s="1330"/>
      <c r="C8" s="1330"/>
      <c r="D8" s="1330"/>
      <c r="E8" s="1331"/>
      <c r="F8" s="1332" t="str">
        <f>'0422Master'!F5</f>
        <v>Burgeon IT Services Pvt.Ltd.</v>
      </c>
      <c r="G8" s="1332"/>
      <c r="H8" s="1332"/>
      <c r="I8" s="1332"/>
      <c r="J8" s="1332"/>
      <c r="K8" s="1007"/>
    </row>
    <row r="9" spans="1:11">
      <c r="A9" s="120"/>
      <c r="B9" s="1333"/>
      <c r="C9" s="1333"/>
      <c r="D9" s="1334"/>
      <c r="E9" s="1334"/>
      <c r="F9" s="1335"/>
      <c r="G9" s="1333"/>
      <c r="H9" s="1333"/>
      <c r="I9" s="1333"/>
      <c r="J9" s="1336"/>
      <c r="K9" s="124"/>
    </row>
    <row r="10" spans="1:11">
      <c r="A10" s="119" t="s">
        <v>162</v>
      </c>
      <c r="B10" s="1330"/>
      <c r="C10" s="1330"/>
      <c r="D10" s="1330"/>
      <c r="E10" s="1331"/>
      <c r="F10" s="1332" t="str">
        <f>'0422Master'!AP5</f>
        <v>Burgeon IT Services Pvt.Ltd.</v>
      </c>
      <c r="G10" s="1332"/>
      <c r="H10" s="1332"/>
      <c r="I10" s="1332"/>
      <c r="J10" s="1332"/>
      <c r="K10" s="1007"/>
    </row>
    <row r="11" spans="1:11">
      <c r="A11" s="120"/>
      <c r="B11" s="1333"/>
      <c r="C11" s="1333"/>
      <c r="D11" s="1333"/>
      <c r="E11" s="1336"/>
      <c r="F11" s="1336" t="str">
        <f>'0422Master'!AP6</f>
        <v>Siri Mansion LIGB 436 Dr.A S Rao Nagar,Hyderabad</v>
      </c>
      <c r="G11" s="1333"/>
      <c r="H11" s="1333"/>
      <c r="I11" s="1333"/>
      <c r="J11" s="1336"/>
      <c r="K11" s="124"/>
    </row>
    <row r="12" spans="1:11">
      <c r="A12" s="119" t="s">
        <v>163</v>
      </c>
      <c r="B12" s="1330"/>
      <c r="C12" s="1330"/>
      <c r="D12" s="1330"/>
      <c r="E12" s="1331"/>
      <c r="F12" s="1332" t="str">
        <f>'0422Master'!AP10</f>
        <v>INFOSYS  LTD.IL Pune SEZ Unit-II,Plot No. 24/3</v>
      </c>
      <c r="G12" s="1332"/>
      <c r="H12" s="1332"/>
      <c r="I12" s="1332"/>
      <c r="J12" s="1332"/>
      <c r="K12" s="1007"/>
    </row>
    <row r="13" spans="1:11" ht="21">
      <c r="A13" s="125"/>
      <c r="B13" s="1337"/>
      <c r="C13" s="1337"/>
      <c r="D13" s="1337"/>
      <c r="E13" s="1338"/>
      <c r="F13" s="504" t="str">
        <f>'0422Master'!AP11</f>
        <v>Rajiv gandhi Info tech park,Village Mann,Pune,Maharashtra 411057</v>
      </c>
      <c r="G13" s="1337"/>
      <c r="H13" s="1337"/>
      <c r="I13" s="1337"/>
      <c r="J13" s="1339"/>
      <c r="K13" s="126"/>
    </row>
    <row r="14" spans="1:11">
      <c r="A14" s="1014" t="s">
        <v>164</v>
      </c>
      <c r="B14" s="1340"/>
      <c r="C14" s="1341">
        <f>D40</f>
        <v>16</v>
      </c>
      <c r="D14" s="1342"/>
      <c r="E14" s="1342"/>
      <c r="F14" s="1342"/>
      <c r="G14" s="1342"/>
      <c r="H14" s="1342"/>
      <c r="I14" s="1342"/>
      <c r="J14" s="1343"/>
      <c r="K14" s="127"/>
    </row>
    <row r="15" spans="1:11">
      <c r="A15" s="948"/>
      <c r="B15" s="1344"/>
      <c r="C15" s="1342"/>
      <c r="D15" s="1342"/>
      <c r="E15" s="1342"/>
      <c r="F15" s="1342"/>
      <c r="G15" s="1342"/>
      <c r="H15" s="1342"/>
      <c r="I15" s="1342"/>
      <c r="J15" s="1343"/>
      <c r="K15" s="127"/>
    </row>
    <row r="16" spans="1:11">
      <c r="A16" s="1014" t="s">
        <v>165</v>
      </c>
      <c r="B16" s="1340"/>
      <c r="C16" s="1341">
        <f>C40</f>
        <v>4</v>
      </c>
      <c r="D16" s="1342"/>
      <c r="E16" s="1342"/>
      <c r="F16" s="1342"/>
      <c r="G16" s="1342"/>
      <c r="H16" s="1342"/>
      <c r="I16" s="1342"/>
      <c r="J16" s="1343"/>
      <c r="K16" s="127"/>
    </row>
    <row r="17" spans="1:11">
      <c r="A17" s="1015"/>
      <c r="B17" s="1345"/>
      <c r="C17" s="1345"/>
      <c r="D17" s="1345"/>
      <c r="E17" s="1345"/>
      <c r="F17" s="1345"/>
      <c r="G17" s="1345"/>
      <c r="H17" s="1345"/>
      <c r="I17" s="1345"/>
      <c r="J17" s="1346"/>
      <c r="K17" s="128"/>
    </row>
    <row r="18" spans="1:11">
      <c r="A18" s="129"/>
      <c r="B18" s="1347"/>
      <c r="C18" s="1013" t="s">
        <v>166</v>
      </c>
      <c r="D18" s="1013"/>
      <c r="E18" s="1013"/>
      <c r="F18" s="1013"/>
      <c r="G18" s="1013"/>
      <c r="H18" s="1013"/>
      <c r="I18" s="1348"/>
      <c r="J18" s="1347"/>
      <c r="K18" s="130"/>
    </row>
    <row r="19" spans="1:11" ht="105">
      <c r="A19" s="1349" t="s">
        <v>167</v>
      </c>
      <c r="B19" s="506" t="s">
        <v>168</v>
      </c>
      <c r="C19" s="506" t="s">
        <v>169</v>
      </c>
      <c r="D19" s="506" t="s">
        <v>170</v>
      </c>
      <c r="E19" s="506" t="s">
        <v>171</v>
      </c>
      <c r="F19" s="506" t="s">
        <v>172</v>
      </c>
      <c r="G19" s="506" t="s">
        <v>173</v>
      </c>
      <c r="H19" s="506" t="s">
        <v>174</v>
      </c>
      <c r="I19" s="506" t="s">
        <v>175</v>
      </c>
      <c r="J19" s="506" t="s">
        <v>176</v>
      </c>
      <c r="K19" s="1350" t="s">
        <v>177</v>
      </c>
    </row>
    <row r="20" spans="1:11">
      <c r="A20" s="1351" t="str">
        <f>'0422Master'!F16</f>
        <v>Network Security Admin</v>
      </c>
      <c r="B20" s="620" t="s">
        <v>501</v>
      </c>
      <c r="C20" s="306">
        <v>0</v>
      </c>
      <c r="D20" s="291">
        <v>1</v>
      </c>
      <c r="E20" s="621">
        <f>'0422Master'!AM16</f>
        <v>88276.332079999993</v>
      </c>
      <c r="F20" s="524">
        <f>'0422Master'!Z16</f>
        <v>48166.8</v>
      </c>
      <c r="G20" s="1352">
        <f>'0422Master'!AD16</f>
        <v>19266.72</v>
      </c>
      <c r="H20" s="1352">
        <f t="shared" ref="H20:H38" si="0">E20-(F20+G20)</f>
        <v>20842.812079999989</v>
      </c>
      <c r="I20" s="1353">
        <v>0</v>
      </c>
      <c r="J20" s="291"/>
      <c r="K20" s="1354" t="s">
        <v>521</v>
      </c>
    </row>
    <row r="21" spans="1:11">
      <c r="A21" s="1351" t="str">
        <f>'0422Master'!F17</f>
        <v>Infrastructure Lead</v>
      </c>
      <c r="B21" s="620" t="s">
        <v>501</v>
      </c>
      <c r="C21" s="306">
        <v>0</v>
      </c>
      <c r="D21" s="291">
        <v>1</v>
      </c>
      <c r="E21" s="621">
        <f>'0422Master'!AM17</f>
        <v>156275.79902000001</v>
      </c>
      <c r="F21" s="524">
        <f>'0422Master'!Z17</f>
        <v>85984.2</v>
      </c>
      <c r="G21" s="1352">
        <f>'0422Master'!AD17</f>
        <v>34393.68</v>
      </c>
      <c r="H21" s="1352">
        <f t="shared" si="0"/>
        <v>35897.919020000001</v>
      </c>
      <c r="I21" s="1353">
        <v>0</v>
      </c>
      <c r="J21" s="291"/>
      <c r="K21" s="1354"/>
    </row>
    <row r="22" spans="1:11">
      <c r="A22" s="1351" t="str">
        <f>'0422Master'!F18</f>
        <v xml:space="preserve">ASSISTANT PROJECT MANAGER </v>
      </c>
      <c r="B22" s="620" t="s">
        <v>501</v>
      </c>
      <c r="C22" s="306">
        <v>1</v>
      </c>
      <c r="D22" s="291">
        <v>0</v>
      </c>
      <c r="E22" s="621">
        <f>'0422Master'!AM18</f>
        <v>61275.702859999998</v>
      </c>
      <c r="F22" s="524">
        <f>'0422Master'!Z18</f>
        <v>33150.6</v>
      </c>
      <c r="G22" s="1352">
        <f>'0422Master'!AD18</f>
        <v>13260.24</v>
      </c>
      <c r="H22" s="1352">
        <f t="shared" si="0"/>
        <v>14864.862860000001</v>
      </c>
      <c r="I22" s="1353">
        <v>0</v>
      </c>
      <c r="J22" s="291"/>
      <c r="K22" s="1354"/>
    </row>
    <row r="23" spans="1:11">
      <c r="A23" s="1351" t="str">
        <f>'0422Master'!F19</f>
        <v>Project Manager</v>
      </c>
      <c r="B23" s="620" t="s">
        <v>501</v>
      </c>
      <c r="C23" s="306">
        <v>0</v>
      </c>
      <c r="D23" s="291">
        <v>1</v>
      </c>
      <c r="E23" s="621">
        <f>'0422Master'!AM19</f>
        <v>114275.77922</v>
      </c>
      <c r="F23" s="524">
        <f>'0422Master'!Z19</f>
        <v>62626.2</v>
      </c>
      <c r="G23" s="1352">
        <f>'0422Master'!AD19</f>
        <v>25050.48</v>
      </c>
      <c r="H23" s="1352">
        <f t="shared" si="0"/>
        <v>26599.099220000004</v>
      </c>
      <c r="I23" s="1353">
        <v>0</v>
      </c>
      <c r="J23" s="291"/>
      <c r="K23" s="1354"/>
    </row>
    <row r="24" spans="1:11">
      <c r="A24" s="1351" t="str">
        <f>'0422Master'!F20</f>
        <v>Project Manager</v>
      </c>
      <c r="B24" s="620" t="s">
        <v>501</v>
      </c>
      <c r="C24" s="306">
        <v>0</v>
      </c>
      <c r="D24" s="291">
        <v>1</v>
      </c>
      <c r="E24" s="621">
        <f>'0422Master'!AM20</f>
        <v>73275.862639999992</v>
      </c>
      <c r="F24" s="524">
        <f>'0422Master'!Z20</f>
        <v>39824.400000000001</v>
      </c>
      <c r="G24" s="1352">
        <f>'0422Master'!AD20</f>
        <v>15929.760000000002</v>
      </c>
      <c r="H24" s="1352">
        <f t="shared" si="0"/>
        <v>17521.702639999989</v>
      </c>
      <c r="I24" s="1353">
        <v>0</v>
      </c>
      <c r="J24" s="291"/>
      <c r="K24" s="1354"/>
    </row>
    <row r="25" spans="1:11">
      <c r="A25" s="1351" t="str">
        <f>'0422Master'!F21</f>
        <v>Sr.Software Engineer</v>
      </c>
      <c r="B25" s="620" t="s">
        <v>501</v>
      </c>
      <c r="C25" s="306">
        <v>0</v>
      </c>
      <c r="D25" s="291">
        <v>1</v>
      </c>
      <c r="E25" s="621">
        <f>'0422Master'!AM21</f>
        <v>88276.332079999993</v>
      </c>
      <c r="F25" s="524">
        <f>'0422Master'!Z21</f>
        <v>48166.8</v>
      </c>
      <c r="G25" s="1352">
        <f>'0422Master'!AD21</f>
        <v>19266.72</v>
      </c>
      <c r="H25" s="1352">
        <f t="shared" si="0"/>
        <v>20842.812079999989</v>
      </c>
      <c r="I25" s="1353">
        <v>0</v>
      </c>
      <c r="J25" s="291"/>
      <c r="K25" s="1354"/>
    </row>
    <row r="26" spans="1:11">
      <c r="A26" s="1351" t="str">
        <f>'0422Master'!F22</f>
        <v>Project Manager</v>
      </c>
      <c r="B26" s="620" t="s">
        <v>501</v>
      </c>
      <c r="C26" s="306">
        <v>0</v>
      </c>
      <c r="D26" s="291">
        <v>1</v>
      </c>
      <c r="E26" s="621">
        <f>'0422Master'!AM22</f>
        <v>60275.599639999993</v>
      </c>
      <c r="F26" s="524">
        <f>'0422Master'!Z22</f>
        <v>32594.400000000001</v>
      </c>
      <c r="G26" s="1352">
        <f>'0422Master'!AD22</f>
        <v>13037.760000000002</v>
      </c>
      <c r="H26" s="1352">
        <f t="shared" si="0"/>
        <v>14643.43963999999</v>
      </c>
      <c r="I26" s="1353">
        <v>0</v>
      </c>
      <c r="J26" s="291"/>
      <c r="K26" s="1354"/>
    </row>
    <row r="27" spans="1:11">
      <c r="A27" s="1351" t="str">
        <f>'0422Master'!F23</f>
        <v>Network Engineer L2</v>
      </c>
      <c r="B27" s="620" t="s">
        <v>501</v>
      </c>
      <c r="C27" s="306">
        <v>0</v>
      </c>
      <c r="D27" s="291">
        <v>1</v>
      </c>
      <c r="E27" s="621">
        <f>'0422Master'!AM23</f>
        <v>68276.425400000007</v>
      </c>
      <c r="F27" s="524">
        <f>'0422Master'!Z23</f>
        <v>37044</v>
      </c>
      <c r="G27" s="1352">
        <f>'0422Master'!AD23</f>
        <v>14817.6</v>
      </c>
      <c r="H27" s="1352">
        <f t="shared" si="0"/>
        <v>16414.825400000009</v>
      </c>
      <c r="I27" s="1353">
        <v>0</v>
      </c>
      <c r="J27" s="291"/>
      <c r="K27" s="1354"/>
    </row>
    <row r="28" spans="1:11">
      <c r="A28" s="1351" t="str">
        <f>'0422Master'!F24</f>
        <v>Project Manager</v>
      </c>
      <c r="B28" s="620" t="s">
        <v>501</v>
      </c>
      <c r="C28" s="306">
        <v>0</v>
      </c>
      <c r="D28" s="291">
        <v>1</v>
      </c>
      <c r="E28" s="621">
        <f>'0422Master'!AM24</f>
        <v>87168.558631999986</v>
      </c>
      <c r="F28" s="524">
        <f>'0422Master'!Z24</f>
        <v>47550.720000000001</v>
      </c>
      <c r="G28" s="1352">
        <f>'0422Master'!AD24</f>
        <v>19020.288</v>
      </c>
      <c r="H28" s="1352">
        <f t="shared" si="0"/>
        <v>20597.550631999984</v>
      </c>
      <c r="I28" s="1353">
        <v>0</v>
      </c>
      <c r="J28" s="583"/>
      <c r="K28" s="1355"/>
    </row>
    <row r="29" spans="1:11">
      <c r="A29" s="1351" t="str">
        <f>'0422Master'!F25</f>
        <v>Project Manager</v>
      </c>
      <c r="B29" s="620" t="s">
        <v>501</v>
      </c>
      <c r="C29" s="306">
        <v>1</v>
      </c>
      <c r="D29" s="291">
        <v>0</v>
      </c>
      <c r="E29" s="621">
        <f>'0422Master'!AM25</f>
        <v>78276.37874</v>
      </c>
      <c r="F29" s="524">
        <f>'0422Master'!Z25</f>
        <v>42605.4</v>
      </c>
      <c r="G29" s="1352">
        <f>'0422Master'!AD25</f>
        <v>17042.16</v>
      </c>
      <c r="H29" s="1352">
        <f t="shared" si="0"/>
        <v>18628.818740000002</v>
      </c>
      <c r="I29" s="1353">
        <v>0</v>
      </c>
      <c r="J29" s="291"/>
      <c r="K29" s="1354"/>
    </row>
    <row r="30" spans="1:11" ht="18.75" customHeight="1">
      <c r="A30" s="1351" t="str">
        <f>'0422Master'!F26</f>
        <v>Linux Administrator</v>
      </c>
      <c r="B30" s="620" t="s">
        <v>501</v>
      </c>
      <c r="C30" s="306">
        <v>0</v>
      </c>
      <c r="D30" s="291">
        <v>1</v>
      </c>
      <c r="E30" s="621">
        <f>'0422Master'!AM26</f>
        <v>103275.72266</v>
      </c>
      <c r="F30" s="524">
        <f>'0422Master'!Z26</f>
        <v>56508.6</v>
      </c>
      <c r="G30" s="1352">
        <f>'0422Master'!AD26</f>
        <v>22603.440000000002</v>
      </c>
      <c r="H30" s="1352">
        <f t="shared" si="0"/>
        <v>24163.682659999991</v>
      </c>
      <c r="I30" s="1353">
        <v>0</v>
      </c>
      <c r="J30" s="289"/>
      <c r="K30" s="1356"/>
    </row>
    <row r="31" spans="1:11">
      <c r="A31" s="1351" t="str">
        <f>'0422Master'!F27</f>
        <v>Project Manager</v>
      </c>
      <c r="B31" s="620" t="s">
        <v>501</v>
      </c>
      <c r="C31" s="306">
        <v>0</v>
      </c>
      <c r="D31" s="291">
        <v>1</v>
      </c>
      <c r="E31" s="621">
        <f>'0422Master'!AM27</f>
        <v>75114.995281999989</v>
      </c>
      <c r="F31" s="524">
        <f>'0422Master'!Z27</f>
        <v>40847.22</v>
      </c>
      <c r="G31" s="1352">
        <f>'0422Master'!AD27</f>
        <v>16338.888000000001</v>
      </c>
      <c r="H31" s="1352">
        <f t="shared" si="0"/>
        <v>17928.887281999989</v>
      </c>
      <c r="I31" s="1353">
        <v>0</v>
      </c>
      <c r="J31" s="289"/>
      <c r="K31" s="1356"/>
    </row>
    <row r="32" spans="1:11">
      <c r="A32" s="1351" t="str">
        <f>'0422Master'!F28</f>
        <v>Network Admin</v>
      </c>
      <c r="B32" s="620" t="s">
        <v>501</v>
      </c>
      <c r="C32" s="306">
        <v>0</v>
      </c>
      <c r="D32" s="291">
        <v>1</v>
      </c>
      <c r="E32" s="621">
        <f>'0422Master'!AM28</f>
        <v>58276.47206</v>
      </c>
      <c r="F32" s="524">
        <f>'0422Master'!Z28</f>
        <v>31482.6</v>
      </c>
      <c r="G32" s="1352">
        <f>'0422Master'!AD28</f>
        <v>12593.04</v>
      </c>
      <c r="H32" s="1352">
        <f t="shared" si="0"/>
        <v>14200.832060000001</v>
      </c>
      <c r="I32" s="1353">
        <v>0</v>
      </c>
      <c r="J32" s="289"/>
      <c r="K32" s="1356"/>
    </row>
    <row r="33" spans="1:11">
      <c r="A33" s="1351" t="str">
        <f>'0422Master'!F29</f>
        <v>SAP Basis consultant</v>
      </c>
      <c r="B33" s="620" t="s">
        <v>501</v>
      </c>
      <c r="C33" s="306">
        <v>0</v>
      </c>
      <c r="D33" s="291">
        <v>1</v>
      </c>
      <c r="E33" s="621">
        <f>'0422Master'!AM29</f>
        <v>43276.002619999992</v>
      </c>
      <c r="F33" s="524">
        <f>'0422Master'!Z29</f>
        <v>23140.2</v>
      </c>
      <c r="G33" s="1352">
        <f>'0422Master'!AD29</f>
        <v>9256.08</v>
      </c>
      <c r="H33" s="1352">
        <f t="shared" si="0"/>
        <v>10879.722619999993</v>
      </c>
      <c r="I33" s="1353">
        <v>0</v>
      </c>
      <c r="J33" s="289"/>
      <c r="K33" s="1356"/>
    </row>
    <row r="34" spans="1:11">
      <c r="A34" s="1351" t="str">
        <f>'0422Master'!F30</f>
        <v>SAP Basis consultant</v>
      </c>
      <c r="B34" s="620" t="s">
        <v>501</v>
      </c>
      <c r="C34" s="306">
        <v>1</v>
      </c>
      <c r="D34" s="291">
        <v>0</v>
      </c>
      <c r="E34" s="621">
        <f>'0422Master'!AM30</f>
        <v>43276.002619999992</v>
      </c>
      <c r="F34" s="524">
        <f>'0422Master'!Z30</f>
        <v>23140.2</v>
      </c>
      <c r="G34" s="1352">
        <f>'0422Master'!AD30</f>
        <v>9256.08</v>
      </c>
      <c r="H34" s="1352">
        <f t="shared" si="0"/>
        <v>10879.722619999993</v>
      </c>
      <c r="I34" s="1353">
        <v>0</v>
      </c>
      <c r="J34" s="289"/>
      <c r="K34" s="1356"/>
    </row>
    <row r="35" spans="1:11">
      <c r="A35" s="1351" t="str">
        <f>'0422Master'!F31</f>
        <v>SAP Basis consultant</v>
      </c>
      <c r="B35" s="620" t="s">
        <v>501</v>
      </c>
      <c r="C35" s="306">
        <v>0</v>
      </c>
      <c r="D35" s="291">
        <v>1</v>
      </c>
      <c r="E35" s="621">
        <f>'0422Master'!AM31</f>
        <v>41889.056165999995</v>
      </c>
      <c r="F35" s="524">
        <f>'0422Master'!Z31</f>
        <v>22368.86</v>
      </c>
      <c r="G35" s="1352">
        <f>'0422Master'!AD31</f>
        <v>8947.5439999999999</v>
      </c>
      <c r="H35" s="1352">
        <f t="shared" si="0"/>
        <v>10572.652165999993</v>
      </c>
      <c r="I35" s="1353">
        <v>0</v>
      </c>
      <c r="J35" s="289"/>
      <c r="K35" s="1356"/>
    </row>
    <row r="36" spans="1:11">
      <c r="A36" s="1351" t="str">
        <f>'0422Master'!F32</f>
        <v>SAP Basis consultant</v>
      </c>
      <c r="B36" s="620" t="s">
        <v>501</v>
      </c>
      <c r="C36" s="306">
        <v>0</v>
      </c>
      <c r="D36" s="291">
        <v>1</v>
      </c>
      <c r="E36" s="621">
        <f>'0422Master'!AM32</f>
        <v>43615.627747999999</v>
      </c>
      <c r="F36" s="524">
        <f>'0422Master'!Z32</f>
        <v>23329.08</v>
      </c>
      <c r="G36" s="1352">
        <f>'0422Master'!AD32</f>
        <v>9331.6320000000014</v>
      </c>
      <c r="H36" s="1352">
        <f t="shared" si="0"/>
        <v>10954.915747999996</v>
      </c>
      <c r="I36" s="1353">
        <v>0</v>
      </c>
      <c r="J36" s="289"/>
      <c r="K36" s="1356"/>
    </row>
    <row r="37" spans="1:11">
      <c r="A37" s="1351" t="str">
        <f>'0422Master'!F33</f>
        <v>SAP Basis consultant</v>
      </c>
      <c r="B37" s="620" t="s">
        <v>501</v>
      </c>
      <c r="C37" s="306">
        <v>0</v>
      </c>
      <c r="D37" s="291">
        <v>1</v>
      </c>
      <c r="E37" s="621">
        <f>'0422Master'!AM33</f>
        <v>43276.002619999992</v>
      </c>
      <c r="F37" s="524">
        <f>'0422Master'!Z33</f>
        <v>23140.2</v>
      </c>
      <c r="G37" s="1352">
        <f>'0422Master'!AD33</f>
        <v>9256.08</v>
      </c>
      <c r="H37" s="1352">
        <f t="shared" si="0"/>
        <v>10879.722619999993</v>
      </c>
      <c r="I37" s="1353">
        <v>0</v>
      </c>
      <c r="J37" s="289"/>
      <c r="K37" s="1356"/>
    </row>
    <row r="38" spans="1:11">
      <c r="A38" s="1351" t="str">
        <f>'0422Master'!F34</f>
        <v>SAP Basis consultant</v>
      </c>
      <c r="B38" s="620" t="s">
        <v>501</v>
      </c>
      <c r="C38" s="306">
        <v>1</v>
      </c>
      <c r="D38" s="291">
        <v>0</v>
      </c>
      <c r="E38" s="621">
        <f>'0422Master'!AM34</f>
        <v>43276.002619999992</v>
      </c>
      <c r="F38" s="524">
        <f>'0422Master'!Z34</f>
        <v>23140.2</v>
      </c>
      <c r="G38" s="1352">
        <f>'0422Master'!AD34</f>
        <v>9256.08</v>
      </c>
      <c r="H38" s="1352">
        <f t="shared" si="0"/>
        <v>10879.722619999993</v>
      </c>
      <c r="I38" s="1353">
        <v>0</v>
      </c>
      <c r="J38" s="289"/>
      <c r="K38" s="1356"/>
    </row>
    <row r="39" spans="1:11">
      <c r="A39" s="1351" t="str">
        <f>'0422Master'!F35</f>
        <v>Sr.Software Engineer</v>
      </c>
      <c r="B39" s="620" t="s">
        <v>501</v>
      </c>
      <c r="C39" s="306">
        <v>0</v>
      </c>
      <c r="D39" s="291">
        <v>1</v>
      </c>
      <c r="E39" s="621">
        <f>'0422Master'!AM35</f>
        <v>88276.332079999993</v>
      </c>
      <c r="F39" s="524">
        <f>'0422Master'!Z35</f>
        <v>48166.8</v>
      </c>
      <c r="G39" s="1352">
        <f>'0422Master'!AD35</f>
        <v>19266.72</v>
      </c>
      <c r="H39" s="1352">
        <f t="shared" ref="H39" si="1">E39-(F39+G39)</f>
        <v>20842.812079999989</v>
      </c>
      <c r="I39" s="1353">
        <v>0</v>
      </c>
      <c r="J39" s="371"/>
      <c r="K39" s="464"/>
    </row>
    <row r="40" spans="1:11" ht="18.75">
      <c r="A40" s="1357"/>
      <c r="B40" s="619"/>
      <c r="C40" s="849">
        <f>SUM(C20:C39)</f>
        <v>4</v>
      </c>
      <c r="D40" s="850">
        <f>SUM(D20:D39)</f>
        <v>16</v>
      </c>
      <c r="E40" s="764"/>
      <c r="F40" s="765"/>
      <c r="G40" s="766"/>
      <c r="H40" s="766"/>
      <c r="I40" s="767"/>
      <c r="J40" s="371"/>
      <c r="K40" s="464"/>
    </row>
    <row r="41" spans="1:11">
      <c r="A41" s="1357"/>
      <c r="B41" s="619"/>
      <c r="C41" s="768"/>
      <c r="D41" s="619"/>
      <c r="E41" s="764"/>
      <c r="F41" s="765"/>
      <c r="G41" s="766"/>
      <c r="H41" s="766"/>
      <c r="I41" s="767"/>
      <c r="J41" s="371"/>
      <c r="K41" s="464"/>
    </row>
    <row r="42" spans="1:11">
      <c r="A42" s="1357"/>
      <c r="B42" s="619"/>
      <c r="C42" s="371"/>
      <c r="D42" s="371"/>
      <c r="E42" s="371"/>
      <c r="F42" s="371"/>
      <c r="G42" s="371"/>
      <c r="H42" s="371"/>
      <c r="I42" s="371"/>
      <c r="J42" s="371"/>
      <c r="K42" s="464"/>
    </row>
    <row r="43" spans="1:11">
      <c r="A43" s="1357"/>
      <c r="B43" s="619"/>
      <c r="C43" s="371"/>
      <c r="D43" s="371"/>
      <c r="E43" s="371"/>
      <c r="F43" s="371"/>
      <c r="G43" s="371"/>
      <c r="H43" s="371"/>
      <c r="I43" s="371"/>
      <c r="J43" s="371"/>
      <c r="K43" s="464"/>
    </row>
    <row r="44" spans="1:11">
      <c r="A44" s="471"/>
      <c r="B44" s="371"/>
      <c r="C44" s="371"/>
      <c r="D44" s="371"/>
      <c r="E44" s="371"/>
      <c r="F44" s="371"/>
      <c r="G44" s="371"/>
      <c r="H44" s="371"/>
      <c r="I44" s="371"/>
      <c r="J44" s="371"/>
      <c r="K44" s="464"/>
    </row>
    <row r="45" spans="1:11">
      <c r="A45" s="471"/>
      <c r="B45" s="371"/>
      <c r="C45" s="371"/>
      <c r="D45" s="371"/>
      <c r="E45" s="371"/>
      <c r="F45" s="371"/>
      <c r="G45" s="371"/>
      <c r="H45" s="371"/>
      <c r="I45" s="371"/>
      <c r="J45" s="371"/>
      <c r="K45" s="464"/>
    </row>
    <row r="46" spans="1:11">
      <c r="A46" s="471"/>
      <c r="B46" s="371"/>
      <c r="C46" s="371"/>
      <c r="D46" s="371"/>
      <c r="E46" s="371"/>
      <c r="F46" s="371"/>
      <c r="G46" s="371"/>
      <c r="H46" s="371"/>
      <c r="I46" s="371"/>
      <c r="J46" s="371"/>
      <c r="K46" s="464"/>
    </row>
    <row r="47" spans="1:11">
      <c r="A47" s="471"/>
      <c r="B47" s="371"/>
      <c r="C47" s="371"/>
      <c r="D47" s="371"/>
      <c r="E47" s="371"/>
      <c r="F47" s="371"/>
      <c r="G47" s="371"/>
      <c r="H47" s="371"/>
      <c r="I47" s="371"/>
      <c r="J47" s="371"/>
      <c r="K47" s="464"/>
    </row>
    <row r="48" spans="1:11" ht="15.75" thickBot="1">
      <c r="A48" s="481"/>
      <c r="B48" s="467"/>
      <c r="C48" s="467"/>
      <c r="D48" s="467"/>
      <c r="E48" s="1358" t="s">
        <v>38</v>
      </c>
      <c r="F48" s="467"/>
      <c r="G48" s="467"/>
      <c r="H48" s="467"/>
      <c r="I48" s="467"/>
      <c r="J48" s="467"/>
      <c r="K48" s="468"/>
    </row>
    <row r="49" spans="5:11">
      <c r="E49" s="345"/>
      <c r="J49" s="371"/>
      <c r="K49" s="371"/>
    </row>
    <row r="50" spans="5:11">
      <c r="E50" s="345"/>
      <c r="J50" s="371"/>
      <c r="K50" s="371"/>
    </row>
    <row r="51" spans="5:11">
      <c r="E51" s="345"/>
      <c r="J51" s="371"/>
      <c r="K51" s="371"/>
    </row>
    <row r="52" spans="5:11">
      <c r="E52" s="345"/>
      <c r="J52" s="371"/>
      <c r="K52" s="371"/>
    </row>
  </sheetData>
  <mergeCells count="12">
    <mergeCell ref="C18:I18"/>
    <mergeCell ref="F10:K10"/>
    <mergeCell ref="F12:K12"/>
    <mergeCell ref="A14:B14"/>
    <mergeCell ref="A16:B16"/>
    <mergeCell ref="A17:I17"/>
    <mergeCell ref="F8:K8"/>
    <mergeCell ref="A1:I1"/>
    <mergeCell ref="A2:I2"/>
    <mergeCell ref="A3:I3"/>
    <mergeCell ref="A4:I4"/>
    <mergeCell ref="D6:E6"/>
  </mergeCells>
  <pageMargins left="0.88" right="0.7" top="0.75" bottom="0.75" header="0.3" footer="0.3"/>
  <pageSetup scale="80"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41"/>
  <sheetViews>
    <sheetView topLeftCell="AG2" workbookViewId="0">
      <selection activeCell="AK8" sqref="AK8"/>
    </sheetView>
  </sheetViews>
  <sheetFormatPr defaultColWidth="9.140625" defaultRowHeight="15"/>
  <cols>
    <col min="1" max="1" width="2.85546875" style="8" customWidth="1"/>
    <col min="2" max="2" width="35.85546875" style="345" customWidth="1"/>
    <col min="3" max="3" width="9.5703125" style="8" customWidth="1"/>
    <col min="4" max="4" width="6.85546875" style="8" customWidth="1"/>
    <col min="5" max="5" width="13.42578125" style="8" customWidth="1"/>
    <col min="6" max="6" width="9.85546875" style="8" customWidth="1"/>
    <col min="7" max="10" width="9.140625" style="8" customWidth="1"/>
    <col min="11" max="40" width="4.5703125" style="8" customWidth="1"/>
    <col min="41" max="16384" width="9.140625" style="8"/>
  </cols>
  <sheetData>
    <row r="1" spans="1:41" ht="20.25" customHeight="1">
      <c r="A1" s="278"/>
      <c r="B1" s="775"/>
      <c r="C1" s="278"/>
      <c r="D1" s="278"/>
      <c r="E1" s="278"/>
      <c r="F1" s="278"/>
      <c r="G1" s="278"/>
      <c r="H1" s="278"/>
      <c r="I1" s="278"/>
      <c r="J1" s="278"/>
      <c r="K1" s="279"/>
      <c r="L1" s="279"/>
      <c r="M1" s="279"/>
      <c r="N1" s="279"/>
      <c r="O1" s="279"/>
      <c r="P1" s="279"/>
      <c r="Q1" s="279"/>
      <c r="R1" s="279"/>
      <c r="S1" s="279"/>
      <c r="T1" s="279"/>
      <c r="U1" s="279"/>
      <c r="V1" s="279"/>
      <c r="W1" s="279"/>
      <c r="X1" s="279"/>
      <c r="Y1" s="279"/>
      <c r="Z1" s="279"/>
      <c r="AA1" s="279"/>
      <c r="AB1" s="279"/>
      <c r="AC1" s="279"/>
      <c r="AD1" s="279"/>
      <c r="AE1" s="279"/>
      <c r="AF1" s="279"/>
      <c r="AG1" s="279"/>
      <c r="AH1" s="279"/>
      <c r="AI1" s="279"/>
      <c r="AJ1" s="279"/>
      <c r="AK1" s="279"/>
      <c r="AL1" s="279"/>
      <c r="AM1" s="291"/>
      <c r="AN1" s="291"/>
      <c r="AO1" s="279"/>
    </row>
    <row r="2" spans="1:41" ht="20.25" customHeight="1">
      <c r="A2" s="1017" t="s">
        <v>387</v>
      </c>
      <c r="B2" s="1017"/>
      <c r="C2" s="1017"/>
      <c r="D2" s="1017"/>
      <c r="E2" s="1017"/>
      <c r="F2" s="1017"/>
      <c r="G2" s="1017"/>
      <c r="H2" s="1017"/>
      <c r="I2" s="1017"/>
      <c r="J2" s="1017"/>
      <c r="K2" s="1017"/>
      <c r="L2" s="1017"/>
      <c r="M2" s="1017"/>
      <c r="N2" s="1017"/>
      <c r="O2" s="1017"/>
      <c r="P2" s="1017"/>
      <c r="Q2" s="1017"/>
      <c r="R2" s="1017"/>
      <c r="S2" s="1017"/>
      <c r="T2" s="1017"/>
      <c r="U2" s="1017"/>
      <c r="V2" s="1017"/>
      <c r="W2" s="1017"/>
      <c r="X2" s="1017"/>
      <c r="Y2" s="1017"/>
      <c r="Z2" s="1017"/>
      <c r="AA2" s="1017"/>
      <c r="AB2" s="1017"/>
      <c r="AC2" s="1017"/>
      <c r="AD2" s="1017"/>
      <c r="AE2" s="1017"/>
      <c r="AF2" s="1017"/>
      <c r="AG2" s="1017"/>
      <c r="AH2" s="1017"/>
      <c r="AI2" s="1017"/>
      <c r="AJ2" s="1017"/>
      <c r="AK2" s="1017"/>
      <c r="AL2" s="1017"/>
      <c r="AM2" s="1018"/>
      <c r="AN2" s="1018"/>
      <c r="AO2" s="1017"/>
    </row>
    <row r="3" spans="1:41" ht="20.25" customHeight="1">
      <c r="A3" s="1019" t="s">
        <v>388</v>
      </c>
      <c r="B3" s="1019"/>
      <c r="C3" s="1019"/>
      <c r="D3" s="1019"/>
      <c r="E3" s="1019"/>
      <c r="F3" s="1019"/>
      <c r="G3" s="1019"/>
      <c r="H3" s="1019"/>
      <c r="I3" s="1019"/>
      <c r="J3" s="1019"/>
      <c r="K3" s="1019"/>
      <c r="L3" s="1019"/>
      <c r="M3" s="1019"/>
      <c r="N3" s="1019"/>
      <c r="O3" s="1019"/>
      <c r="P3" s="1019"/>
      <c r="Q3" s="1019"/>
      <c r="R3" s="1019"/>
      <c r="S3" s="1019"/>
      <c r="T3" s="1019"/>
      <c r="U3" s="1019"/>
      <c r="V3" s="1019"/>
      <c r="W3" s="1019"/>
      <c r="X3" s="1019"/>
      <c r="Y3" s="1019"/>
      <c r="Z3" s="1019"/>
      <c r="AA3" s="1019"/>
      <c r="AB3" s="1019"/>
      <c r="AC3" s="1019"/>
      <c r="AD3" s="1019"/>
      <c r="AE3" s="1019"/>
      <c r="AF3" s="1019"/>
      <c r="AG3" s="1019"/>
      <c r="AH3" s="1019"/>
      <c r="AI3" s="1019"/>
      <c r="AJ3" s="1019"/>
      <c r="AK3" s="1019"/>
      <c r="AL3" s="1019"/>
      <c r="AM3" s="1020"/>
      <c r="AN3" s="1020"/>
      <c r="AO3" s="1019"/>
    </row>
    <row r="4" spans="1:41" ht="20.25" customHeight="1">
      <c r="A4" s="1021" t="s">
        <v>904</v>
      </c>
      <c r="B4" s="1021"/>
      <c r="C4" s="1021"/>
      <c r="D4" s="1021"/>
      <c r="E4" s="1021"/>
      <c r="F4" s="1021"/>
      <c r="G4" s="1021"/>
      <c r="H4" s="1021"/>
      <c r="I4" s="1021"/>
      <c r="J4" s="1021"/>
      <c r="K4" s="1021"/>
      <c r="L4" s="1021"/>
      <c r="M4" s="1021"/>
      <c r="N4" s="1021"/>
      <c r="O4" s="1021"/>
      <c r="P4" s="1021"/>
      <c r="Q4" s="1021"/>
      <c r="R4" s="1021"/>
      <c r="S4" s="1021"/>
      <c r="T4" s="1021"/>
      <c r="U4" s="1021"/>
      <c r="V4" s="1021"/>
      <c r="W4" s="1021"/>
      <c r="X4" s="1021"/>
      <c r="Y4" s="1021"/>
      <c r="Z4" s="1021"/>
      <c r="AA4" s="1021"/>
      <c r="AB4" s="1021"/>
      <c r="AC4" s="1021"/>
      <c r="AD4" s="1021"/>
      <c r="AE4" s="1021"/>
      <c r="AF4" s="1021"/>
      <c r="AG4" s="1021"/>
      <c r="AH4" s="1021"/>
      <c r="AI4" s="1021"/>
      <c r="AJ4" s="1021"/>
      <c r="AK4" s="1021"/>
      <c r="AL4" s="1021"/>
      <c r="AM4" s="1022"/>
      <c r="AN4" s="1022"/>
      <c r="AO4" s="1021"/>
    </row>
    <row r="5" spans="1:41" ht="20.25" customHeight="1">
      <c r="A5" s="1024" t="s">
        <v>389</v>
      </c>
      <c r="B5" s="1025"/>
      <c r="C5" s="1025"/>
      <c r="D5" s="1025"/>
      <c r="E5" s="1025"/>
      <c r="F5" s="1025"/>
      <c r="G5" s="1025"/>
      <c r="H5" s="1025"/>
      <c r="I5" s="1025"/>
      <c r="J5" s="1025"/>
      <c r="K5" s="1025"/>
      <c r="L5" s="1025"/>
      <c r="M5" s="1025"/>
      <c r="N5" s="1025"/>
      <c r="O5" s="1025"/>
      <c r="P5" s="1025"/>
      <c r="Q5" s="1025"/>
      <c r="R5" s="1025"/>
      <c r="S5" s="1025"/>
      <c r="T5" s="1025"/>
      <c r="U5" s="1025"/>
      <c r="V5" s="1025"/>
      <c r="W5" s="1025"/>
      <c r="X5" s="1025"/>
      <c r="Y5" s="1025"/>
      <c r="Z5" s="1025"/>
      <c r="AA5" s="1025"/>
      <c r="AB5" s="1025"/>
      <c r="AC5" s="1025"/>
      <c r="AD5" s="1025"/>
      <c r="AE5" s="1025"/>
      <c r="AF5" s="1025"/>
      <c r="AG5" s="1025"/>
      <c r="AH5" s="1025"/>
      <c r="AI5" s="1025"/>
      <c r="AJ5" s="1025"/>
      <c r="AK5" s="1025"/>
      <c r="AL5" s="1025"/>
      <c r="AM5" s="1025"/>
      <c r="AN5" s="1025"/>
      <c r="AO5" s="1026"/>
    </row>
    <row r="6" spans="1:41" ht="24" customHeight="1">
      <c r="A6" s="280"/>
      <c r="B6" s="280"/>
      <c r="C6" s="280"/>
      <c r="D6" s="280"/>
      <c r="E6" s="280"/>
      <c r="F6" s="280"/>
      <c r="G6" s="1017" t="s">
        <v>390</v>
      </c>
      <c r="H6" s="1017"/>
      <c r="I6" s="1017" t="s">
        <v>391</v>
      </c>
      <c r="J6" s="1017"/>
      <c r="K6" s="1023" t="s">
        <v>392</v>
      </c>
      <c r="L6" s="1023"/>
      <c r="M6" s="1023"/>
      <c r="N6" s="1023"/>
      <c r="O6" s="1023"/>
      <c r="P6" s="1023"/>
      <c r="Q6" s="1023"/>
      <c r="R6" s="1023"/>
      <c r="S6" s="1023"/>
      <c r="T6" s="1023"/>
      <c r="U6" s="1023"/>
      <c r="V6" s="1023"/>
      <c r="W6" s="1023"/>
      <c r="X6" s="1023"/>
      <c r="Y6" s="1023"/>
      <c r="Z6" s="1023"/>
      <c r="AA6" s="1023"/>
      <c r="AB6" s="1023"/>
      <c r="AC6" s="1023"/>
      <c r="AD6" s="1023"/>
      <c r="AE6" s="1023"/>
      <c r="AF6" s="1023"/>
      <c r="AG6" s="1023"/>
      <c r="AH6" s="1023"/>
      <c r="AI6" s="1023"/>
      <c r="AJ6" s="1023"/>
      <c r="AK6" s="1023"/>
      <c r="AL6" s="1023"/>
      <c r="AM6" s="851"/>
      <c r="AN6" s="851"/>
      <c r="AO6" s="281"/>
    </row>
    <row r="7" spans="1:41" s="548" customFormat="1" ht="33" customHeight="1">
      <c r="A7" s="544" t="s">
        <v>356</v>
      </c>
      <c r="B7" s="545" t="s">
        <v>394</v>
      </c>
      <c r="C7" s="546" t="s">
        <v>202</v>
      </c>
      <c r="D7" s="546" t="s">
        <v>395</v>
      </c>
      <c r="E7" s="546" t="s">
        <v>396</v>
      </c>
      <c r="F7" s="546" t="s">
        <v>397</v>
      </c>
      <c r="G7" s="546" t="s">
        <v>360</v>
      </c>
      <c r="H7" s="546" t="s">
        <v>134</v>
      </c>
      <c r="I7" s="546" t="s">
        <v>360</v>
      </c>
      <c r="J7" s="546" t="s">
        <v>134</v>
      </c>
      <c r="K7" s="547">
        <v>1</v>
      </c>
      <c r="L7" s="547" t="s">
        <v>398</v>
      </c>
      <c r="M7" s="547" t="s">
        <v>399</v>
      </c>
      <c r="N7" s="547" t="s">
        <v>400</v>
      </c>
      <c r="O7" s="547" t="s">
        <v>401</v>
      </c>
      <c r="P7" s="547" t="s">
        <v>402</v>
      </c>
      <c r="Q7" s="547" t="s">
        <v>403</v>
      </c>
      <c r="R7" s="547" t="s">
        <v>404</v>
      </c>
      <c r="S7" s="547" t="s">
        <v>405</v>
      </c>
      <c r="T7" s="547" t="s">
        <v>406</v>
      </c>
      <c r="U7" s="547" t="s">
        <v>407</v>
      </c>
      <c r="V7" s="547" t="s">
        <v>408</v>
      </c>
      <c r="W7" s="547" t="s">
        <v>409</v>
      </c>
      <c r="X7" s="547" t="s">
        <v>410</v>
      </c>
      <c r="Y7" s="547" t="s">
        <v>411</v>
      </c>
      <c r="Z7" s="547" t="s">
        <v>412</v>
      </c>
      <c r="AA7" s="547" t="s">
        <v>413</v>
      </c>
      <c r="AB7" s="547" t="s">
        <v>414</v>
      </c>
      <c r="AC7" s="547" t="s">
        <v>415</v>
      </c>
      <c r="AD7" s="547" t="s">
        <v>416</v>
      </c>
      <c r="AE7" s="547" t="s">
        <v>417</v>
      </c>
      <c r="AF7" s="547" t="s">
        <v>418</v>
      </c>
      <c r="AG7" s="547" t="s">
        <v>419</v>
      </c>
      <c r="AH7" s="547" t="s">
        <v>420</v>
      </c>
      <c r="AI7" s="547" t="s">
        <v>421</v>
      </c>
      <c r="AJ7" s="547" t="s">
        <v>422</v>
      </c>
      <c r="AK7" s="547" t="s">
        <v>423</v>
      </c>
      <c r="AL7" s="547" t="s">
        <v>424</v>
      </c>
      <c r="AM7" s="547" t="s">
        <v>891</v>
      </c>
      <c r="AN7" s="547" t="s">
        <v>892</v>
      </c>
      <c r="AO7" s="584" t="s">
        <v>425</v>
      </c>
    </row>
    <row r="8" spans="1:41" ht="24" customHeight="1">
      <c r="A8" s="513">
        <v>1</v>
      </c>
      <c r="B8" s="622" t="str">
        <f>'0422Master'!B16</f>
        <v>Shaikh Mohammed Sartaj</v>
      </c>
      <c r="C8" s="308">
        <f>'0422Master'!C16</f>
        <v>31453</v>
      </c>
      <c r="D8" s="309" t="str">
        <f>'0422Master'!D16</f>
        <v>MALE</v>
      </c>
      <c r="E8" s="307">
        <f>'0422Master'!N16</f>
        <v>44470</v>
      </c>
      <c r="F8" s="292" t="str">
        <f>'0422Master'!F16</f>
        <v>Network Security Admin</v>
      </c>
      <c r="G8" s="289"/>
      <c r="H8" s="289"/>
      <c r="I8" s="289"/>
      <c r="J8" s="289"/>
      <c r="K8" s="773" t="s">
        <v>383</v>
      </c>
      <c r="L8" s="773" t="s">
        <v>725</v>
      </c>
      <c r="M8" s="773" t="s">
        <v>725</v>
      </c>
      <c r="N8" s="773" t="s">
        <v>383</v>
      </c>
      <c r="O8" s="773" t="s">
        <v>383</v>
      </c>
      <c r="P8" s="773" t="s">
        <v>383</v>
      </c>
      <c r="Q8" s="773" t="s">
        <v>383</v>
      </c>
      <c r="R8" s="943" t="s">
        <v>789</v>
      </c>
      <c r="S8" s="773" t="s">
        <v>725</v>
      </c>
      <c r="T8" s="773" t="s">
        <v>725</v>
      </c>
      <c r="U8" s="773" t="s">
        <v>383</v>
      </c>
      <c r="V8" s="773" t="s">
        <v>383</v>
      </c>
      <c r="W8" s="773" t="s">
        <v>383</v>
      </c>
      <c r="X8" s="773" t="s">
        <v>383</v>
      </c>
      <c r="Y8" s="773" t="s">
        <v>908</v>
      </c>
      <c r="Z8" s="773" t="s">
        <v>725</v>
      </c>
      <c r="AA8" s="773" t="s">
        <v>725</v>
      </c>
      <c r="AB8" s="773" t="s">
        <v>383</v>
      </c>
      <c r="AC8" s="773" t="s">
        <v>383</v>
      </c>
      <c r="AD8" s="773" t="s">
        <v>383</v>
      </c>
      <c r="AE8" s="773" t="s">
        <v>383</v>
      </c>
      <c r="AF8" s="773" t="s">
        <v>383</v>
      </c>
      <c r="AG8" s="773" t="s">
        <v>725</v>
      </c>
      <c r="AH8" s="773" t="s">
        <v>725</v>
      </c>
      <c r="AI8" s="773" t="s">
        <v>383</v>
      </c>
      <c r="AJ8" s="773" t="s">
        <v>383</v>
      </c>
      <c r="AK8" s="773" t="s">
        <v>383</v>
      </c>
      <c r="AL8" s="773" t="s">
        <v>383</v>
      </c>
      <c r="AM8" s="773" t="s">
        <v>383</v>
      </c>
      <c r="AN8" s="773" t="s">
        <v>725</v>
      </c>
      <c r="AO8" s="293">
        <f>'0422Master'!W16</f>
        <v>30</v>
      </c>
    </row>
    <row r="9" spans="1:41" ht="24" customHeight="1">
      <c r="A9" s="513">
        <v>2</v>
      </c>
      <c r="B9" s="622" t="str">
        <f>'0422Master'!B17</f>
        <v>Moin Ahemad Jahur Ahemad Kumarkiri</v>
      </c>
      <c r="C9" s="308">
        <f>'0422Master'!C17</f>
        <v>31507</v>
      </c>
      <c r="D9" s="309" t="str">
        <f>'0422Master'!D17</f>
        <v>MALE</v>
      </c>
      <c r="E9" s="307">
        <f>'0422Master'!N17</f>
        <v>44491</v>
      </c>
      <c r="F9" s="292" t="str">
        <f>'0422Master'!F17</f>
        <v>Infrastructure Lead</v>
      </c>
      <c r="G9" s="289"/>
      <c r="H9" s="289"/>
      <c r="I9" s="289"/>
      <c r="J9" s="289"/>
      <c r="K9" s="773" t="s">
        <v>383</v>
      </c>
      <c r="L9" s="773" t="s">
        <v>725</v>
      </c>
      <c r="M9" s="773" t="s">
        <v>725</v>
      </c>
      <c r="N9" s="773" t="s">
        <v>383</v>
      </c>
      <c r="O9" s="773" t="s">
        <v>383</v>
      </c>
      <c r="P9" s="773" t="s">
        <v>383</v>
      </c>
      <c r="Q9" s="773" t="s">
        <v>383</v>
      </c>
      <c r="R9" s="773" t="s">
        <v>383</v>
      </c>
      <c r="S9" s="773" t="s">
        <v>725</v>
      </c>
      <c r="T9" s="773" t="s">
        <v>725</v>
      </c>
      <c r="U9" s="773" t="s">
        <v>383</v>
      </c>
      <c r="V9" s="773" t="s">
        <v>383</v>
      </c>
      <c r="W9" s="773" t="s">
        <v>383</v>
      </c>
      <c r="X9" s="773" t="s">
        <v>383</v>
      </c>
      <c r="Y9" s="773" t="s">
        <v>908</v>
      </c>
      <c r="Z9" s="773" t="s">
        <v>725</v>
      </c>
      <c r="AA9" s="773" t="s">
        <v>725</v>
      </c>
      <c r="AB9" s="773" t="s">
        <v>383</v>
      </c>
      <c r="AC9" s="773" t="s">
        <v>383</v>
      </c>
      <c r="AD9" s="773" t="s">
        <v>383</v>
      </c>
      <c r="AE9" s="773" t="s">
        <v>383</v>
      </c>
      <c r="AF9" s="773" t="s">
        <v>383</v>
      </c>
      <c r="AG9" s="773" t="s">
        <v>725</v>
      </c>
      <c r="AH9" s="773" t="s">
        <v>725</v>
      </c>
      <c r="AI9" s="773" t="s">
        <v>383</v>
      </c>
      <c r="AJ9" s="773" t="s">
        <v>383</v>
      </c>
      <c r="AK9" s="773" t="s">
        <v>383</v>
      </c>
      <c r="AL9" s="773" t="s">
        <v>383</v>
      </c>
      <c r="AM9" s="773" t="s">
        <v>383</v>
      </c>
      <c r="AN9" s="773" t="s">
        <v>725</v>
      </c>
      <c r="AO9" s="293">
        <f>'0422Master'!W17</f>
        <v>30</v>
      </c>
    </row>
    <row r="10" spans="1:41" ht="24" customHeight="1">
      <c r="A10" s="513">
        <v>3</v>
      </c>
      <c r="B10" s="622" t="str">
        <f>'0422Master'!B18</f>
        <v>Savana Saritha Dora</v>
      </c>
      <c r="C10" s="308">
        <f>'0422Master'!C18</f>
        <v>29965</v>
      </c>
      <c r="D10" s="309" t="str">
        <f>'0422Master'!D18</f>
        <v>FEMALE</v>
      </c>
      <c r="E10" s="307">
        <f>'0422Master'!N18</f>
        <v>44495</v>
      </c>
      <c r="F10" s="292" t="str">
        <f>'0422Master'!F18</f>
        <v xml:space="preserve">ASSISTANT PROJECT MANAGER </v>
      </c>
      <c r="G10" s="289"/>
      <c r="H10" s="289"/>
      <c r="I10" s="289"/>
      <c r="J10" s="289"/>
      <c r="K10" s="943" t="s">
        <v>789</v>
      </c>
      <c r="L10" s="773" t="s">
        <v>725</v>
      </c>
      <c r="M10" s="773" t="s">
        <v>725</v>
      </c>
      <c r="N10" s="773" t="s">
        <v>383</v>
      </c>
      <c r="O10" s="773" t="s">
        <v>383</v>
      </c>
      <c r="P10" s="773" t="s">
        <v>383</v>
      </c>
      <c r="Q10" s="773" t="s">
        <v>383</v>
      </c>
      <c r="R10" s="773" t="s">
        <v>383</v>
      </c>
      <c r="S10" s="773" t="s">
        <v>725</v>
      </c>
      <c r="T10" s="773" t="s">
        <v>725</v>
      </c>
      <c r="U10" s="773" t="s">
        <v>383</v>
      </c>
      <c r="V10" s="773" t="s">
        <v>383</v>
      </c>
      <c r="W10" s="773" t="s">
        <v>383</v>
      </c>
      <c r="X10" s="773" t="s">
        <v>383</v>
      </c>
      <c r="Y10" s="773" t="s">
        <v>908</v>
      </c>
      <c r="Z10" s="773" t="s">
        <v>725</v>
      </c>
      <c r="AA10" s="773" t="s">
        <v>725</v>
      </c>
      <c r="AB10" s="773" t="s">
        <v>383</v>
      </c>
      <c r="AC10" s="773" t="s">
        <v>383</v>
      </c>
      <c r="AD10" s="773" t="s">
        <v>383</v>
      </c>
      <c r="AE10" s="773" t="s">
        <v>383</v>
      </c>
      <c r="AF10" s="773" t="s">
        <v>383</v>
      </c>
      <c r="AG10" s="773" t="s">
        <v>725</v>
      </c>
      <c r="AH10" s="773" t="s">
        <v>725</v>
      </c>
      <c r="AI10" s="773" t="s">
        <v>383</v>
      </c>
      <c r="AJ10" s="773" t="s">
        <v>383</v>
      </c>
      <c r="AK10" s="773" t="s">
        <v>383</v>
      </c>
      <c r="AL10" s="773" t="s">
        <v>383</v>
      </c>
      <c r="AM10" s="773" t="s">
        <v>383</v>
      </c>
      <c r="AN10" s="773" t="s">
        <v>725</v>
      </c>
      <c r="AO10" s="293">
        <f>'0422Master'!W18</f>
        <v>30</v>
      </c>
    </row>
    <row r="11" spans="1:41" ht="24" customHeight="1">
      <c r="A11" s="513">
        <v>4</v>
      </c>
      <c r="B11" s="622" t="str">
        <f>'0422Master'!B19</f>
        <v xml:space="preserve">Mandar Shetty </v>
      </c>
      <c r="C11" s="308">
        <f>'0422Master'!C19</f>
        <v>31205</v>
      </c>
      <c r="D11" s="309" t="str">
        <f>'0422Master'!D19</f>
        <v>MALE</v>
      </c>
      <c r="E11" s="307">
        <f>'0422Master'!N19</f>
        <v>44509</v>
      </c>
      <c r="F11" s="292" t="str">
        <f>'0422Master'!F19</f>
        <v>Project Manager</v>
      </c>
      <c r="G11" s="289"/>
      <c r="H11" s="289"/>
      <c r="I11" s="289"/>
      <c r="J11" s="289"/>
      <c r="K11" s="773" t="s">
        <v>383</v>
      </c>
      <c r="L11" s="773" t="s">
        <v>725</v>
      </c>
      <c r="M11" s="773" t="s">
        <v>725</v>
      </c>
      <c r="N11" s="773" t="s">
        <v>383</v>
      </c>
      <c r="O11" s="773" t="s">
        <v>383</v>
      </c>
      <c r="P11" s="773" t="s">
        <v>383</v>
      </c>
      <c r="Q11" s="773" t="s">
        <v>383</v>
      </c>
      <c r="R11" s="773" t="s">
        <v>383</v>
      </c>
      <c r="S11" s="773" t="s">
        <v>725</v>
      </c>
      <c r="T11" s="773" t="s">
        <v>725</v>
      </c>
      <c r="U11" s="773" t="s">
        <v>383</v>
      </c>
      <c r="V11" s="773" t="s">
        <v>383</v>
      </c>
      <c r="W11" s="773" t="s">
        <v>383</v>
      </c>
      <c r="X11" s="943" t="s">
        <v>789</v>
      </c>
      <c r="Y11" s="773" t="s">
        <v>908</v>
      </c>
      <c r="Z11" s="773" t="s">
        <v>725</v>
      </c>
      <c r="AA11" s="773" t="s">
        <v>725</v>
      </c>
      <c r="AB11" s="773" t="s">
        <v>383</v>
      </c>
      <c r="AC11" s="773" t="s">
        <v>383</v>
      </c>
      <c r="AD11" s="773" t="s">
        <v>383</v>
      </c>
      <c r="AE11" s="773" t="s">
        <v>383</v>
      </c>
      <c r="AF11" s="773" t="s">
        <v>383</v>
      </c>
      <c r="AG11" s="773" t="s">
        <v>725</v>
      </c>
      <c r="AH11" s="773" t="s">
        <v>725</v>
      </c>
      <c r="AI11" s="773" t="s">
        <v>383</v>
      </c>
      <c r="AJ11" s="773" t="s">
        <v>383</v>
      </c>
      <c r="AK11" s="773" t="s">
        <v>383</v>
      </c>
      <c r="AL11" s="773" t="s">
        <v>383</v>
      </c>
      <c r="AM11" s="773" t="s">
        <v>383</v>
      </c>
      <c r="AN11" s="773" t="s">
        <v>725</v>
      </c>
      <c r="AO11" s="293">
        <f>'0422Master'!W19</f>
        <v>30</v>
      </c>
    </row>
    <row r="12" spans="1:41" ht="24" customHeight="1">
      <c r="A12" s="513">
        <v>5</v>
      </c>
      <c r="B12" s="622" t="str">
        <f>'0422Master'!B20</f>
        <v xml:space="preserve">Vivek Dongre </v>
      </c>
      <c r="C12" s="308">
        <f>'0422Master'!C20</f>
        <v>32931</v>
      </c>
      <c r="D12" s="309" t="str">
        <f>'0422Master'!D20</f>
        <v>MALE</v>
      </c>
      <c r="E12" s="307">
        <f>'0422Master'!N20</f>
        <v>44515</v>
      </c>
      <c r="F12" s="292" t="str">
        <f>'0422Master'!F20</f>
        <v>Project Manager</v>
      </c>
      <c r="G12" s="289"/>
      <c r="H12" s="289"/>
      <c r="I12" s="289"/>
      <c r="J12" s="289"/>
      <c r="K12" s="773" t="s">
        <v>383</v>
      </c>
      <c r="L12" s="773" t="s">
        <v>725</v>
      </c>
      <c r="M12" s="773" t="s">
        <v>725</v>
      </c>
      <c r="N12" s="773" t="s">
        <v>383</v>
      </c>
      <c r="O12" s="773" t="s">
        <v>383</v>
      </c>
      <c r="P12" s="773" t="s">
        <v>383</v>
      </c>
      <c r="Q12" s="773" t="s">
        <v>383</v>
      </c>
      <c r="R12" s="773" t="s">
        <v>383</v>
      </c>
      <c r="S12" s="773" t="s">
        <v>725</v>
      </c>
      <c r="T12" s="773" t="s">
        <v>725</v>
      </c>
      <c r="U12" s="773" t="s">
        <v>383</v>
      </c>
      <c r="V12" s="773" t="s">
        <v>383</v>
      </c>
      <c r="W12" s="773" t="s">
        <v>383</v>
      </c>
      <c r="X12" s="773" t="s">
        <v>383</v>
      </c>
      <c r="Y12" s="773" t="s">
        <v>908</v>
      </c>
      <c r="Z12" s="773" t="s">
        <v>725</v>
      </c>
      <c r="AA12" s="773" t="s">
        <v>725</v>
      </c>
      <c r="AB12" s="773" t="s">
        <v>383</v>
      </c>
      <c r="AC12" s="773" t="s">
        <v>383</v>
      </c>
      <c r="AD12" s="773" t="s">
        <v>383</v>
      </c>
      <c r="AE12" s="773" t="s">
        <v>383</v>
      </c>
      <c r="AF12" s="773" t="s">
        <v>383</v>
      </c>
      <c r="AG12" s="773" t="s">
        <v>725</v>
      </c>
      <c r="AH12" s="773" t="s">
        <v>725</v>
      </c>
      <c r="AI12" s="773" t="s">
        <v>383</v>
      </c>
      <c r="AJ12" s="773" t="s">
        <v>383</v>
      </c>
      <c r="AK12" s="773" t="s">
        <v>383</v>
      </c>
      <c r="AL12" s="773" t="s">
        <v>383</v>
      </c>
      <c r="AM12" s="773" t="s">
        <v>383</v>
      </c>
      <c r="AN12" s="773" t="s">
        <v>725</v>
      </c>
      <c r="AO12" s="293">
        <f>'0422Master'!W20</f>
        <v>30</v>
      </c>
    </row>
    <row r="13" spans="1:41" ht="24" customHeight="1">
      <c r="A13" s="513">
        <v>6</v>
      </c>
      <c r="B13" s="622" t="str">
        <f>'0422Master'!B21</f>
        <v>Amit Chawadi</v>
      </c>
      <c r="C13" s="308">
        <f>'0422Master'!C21</f>
        <v>31279</v>
      </c>
      <c r="D13" s="309" t="str">
        <f>'0422Master'!D21</f>
        <v>MALE</v>
      </c>
      <c r="E13" s="307">
        <f>'0422Master'!N21</f>
        <v>44522</v>
      </c>
      <c r="F13" s="292" t="str">
        <f>'0422Master'!F21</f>
        <v>Sr.Software Engineer</v>
      </c>
      <c r="G13" s="289"/>
      <c r="H13" s="289"/>
      <c r="I13" s="289"/>
      <c r="J13" s="289"/>
      <c r="K13" s="773" t="s">
        <v>383</v>
      </c>
      <c r="L13" s="773" t="s">
        <v>725</v>
      </c>
      <c r="M13" s="773" t="s">
        <v>725</v>
      </c>
      <c r="N13" s="773" t="s">
        <v>383</v>
      </c>
      <c r="O13" s="773" t="s">
        <v>383</v>
      </c>
      <c r="P13" s="773" t="s">
        <v>383</v>
      </c>
      <c r="Q13" s="773" t="s">
        <v>383</v>
      </c>
      <c r="R13" s="773" t="s">
        <v>383</v>
      </c>
      <c r="S13" s="773" t="s">
        <v>725</v>
      </c>
      <c r="T13" s="773" t="s">
        <v>725</v>
      </c>
      <c r="U13" s="773" t="s">
        <v>383</v>
      </c>
      <c r="V13" s="773" t="s">
        <v>383</v>
      </c>
      <c r="W13" s="773" t="s">
        <v>383</v>
      </c>
      <c r="X13" s="773" t="s">
        <v>383</v>
      </c>
      <c r="Y13" s="773" t="s">
        <v>908</v>
      </c>
      <c r="Z13" s="773" t="s">
        <v>725</v>
      </c>
      <c r="AA13" s="773" t="s">
        <v>725</v>
      </c>
      <c r="AB13" s="773" t="s">
        <v>383</v>
      </c>
      <c r="AC13" s="773" t="s">
        <v>383</v>
      </c>
      <c r="AD13" s="773" t="s">
        <v>383</v>
      </c>
      <c r="AE13" s="773" t="s">
        <v>383</v>
      </c>
      <c r="AF13" s="773" t="s">
        <v>383</v>
      </c>
      <c r="AG13" s="773" t="s">
        <v>725</v>
      </c>
      <c r="AH13" s="773" t="s">
        <v>725</v>
      </c>
      <c r="AI13" s="773" t="s">
        <v>383</v>
      </c>
      <c r="AJ13" s="773" t="s">
        <v>383</v>
      </c>
      <c r="AK13" s="773" t="s">
        <v>383</v>
      </c>
      <c r="AL13" s="773" t="s">
        <v>383</v>
      </c>
      <c r="AM13" s="773" t="s">
        <v>383</v>
      </c>
      <c r="AN13" s="773" t="s">
        <v>725</v>
      </c>
      <c r="AO13" s="293">
        <f>'0422Master'!W21</f>
        <v>30</v>
      </c>
    </row>
    <row r="14" spans="1:41" ht="24" customHeight="1">
      <c r="A14" s="513">
        <v>7</v>
      </c>
      <c r="B14" s="622" t="str">
        <f>'0422Master'!B22</f>
        <v>Ashwini Nanaware</v>
      </c>
      <c r="C14" s="308">
        <f>'0422Master'!C22</f>
        <v>33778</v>
      </c>
      <c r="D14" s="309" t="str">
        <f>'0422Master'!D22</f>
        <v>MALE</v>
      </c>
      <c r="E14" s="307">
        <f>'0422Master'!N22</f>
        <v>44536</v>
      </c>
      <c r="F14" s="292" t="str">
        <f>'0422Master'!F22</f>
        <v>Project Manager</v>
      </c>
      <c r="G14" s="289"/>
      <c r="H14" s="289"/>
      <c r="I14" s="289"/>
      <c r="J14" s="289"/>
      <c r="K14" s="773" t="s">
        <v>383</v>
      </c>
      <c r="L14" s="773" t="s">
        <v>725</v>
      </c>
      <c r="M14" s="773" t="s">
        <v>725</v>
      </c>
      <c r="N14" s="773" t="s">
        <v>383</v>
      </c>
      <c r="O14" s="773" t="s">
        <v>383</v>
      </c>
      <c r="P14" s="773" t="s">
        <v>383</v>
      </c>
      <c r="Q14" s="773" t="s">
        <v>383</v>
      </c>
      <c r="R14" s="773" t="s">
        <v>383</v>
      </c>
      <c r="S14" s="773" t="s">
        <v>725</v>
      </c>
      <c r="T14" s="773" t="s">
        <v>725</v>
      </c>
      <c r="U14" s="773" t="s">
        <v>383</v>
      </c>
      <c r="V14" s="773" t="s">
        <v>383</v>
      </c>
      <c r="W14" s="773" t="s">
        <v>383</v>
      </c>
      <c r="X14" s="773" t="s">
        <v>383</v>
      </c>
      <c r="Y14" s="773" t="s">
        <v>908</v>
      </c>
      <c r="Z14" s="773" t="s">
        <v>725</v>
      </c>
      <c r="AA14" s="773" t="s">
        <v>725</v>
      </c>
      <c r="AB14" s="773" t="s">
        <v>383</v>
      </c>
      <c r="AC14" s="773" t="s">
        <v>383</v>
      </c>
      <c r="AD14" s="773" t="s">
        <v>383</v>
      </c>
      <c r="AE14" s="773" t="s">
        <v>383</v>
      </c>
      <c r="AF14" s="773" t="s">
        <v>383</v>
      </c>
      <c r="AG14" s="773" t="s">
        <v>725</v>
      </c>
      <c r="AH14" s="773" t="s">
        <v>725</v>
      </c>
      <c r="AI14" s="773" t="s">
        <v>383</v>
      </c>
      <c r="AJ14" s="773" t="s">
        <v>383</v>
      </c>
      <c r="AK14" s="773" t="s">
        <v>383</v>
      </c>
      <c r="AL14" s="773" t="s">
        <v>383</v>
      </c>
      <c r="AM14" s="943" t="s">
        <v>789</v>
      </c>
      <c r="AN14" s="773" t="s">
        <v>725</v>
      </c>
      <c r="AO14" s="293">
        <f>'0422Master'!W22</f>
        <v>30</v>
      </c>
    </row>
    <row r="15" spans="1:41" ht="24" customHeight="1">
      <c r="A15" s="513">
        <v>8</v>
      </c>
      <c r="B15" s="622" t="str">
        <f>'0422Master'!B23</f>
        <v>Kaushal Sushil Sharma</v>
      </c>
      <c r="C15" s="308">
        <f>'0422Master'!C23</f>
        <v>35033</v>
      </c>
      <c r="D15" s="309" t="str">
        <f>'0422Master'!D23</f>
        <v>MALE</v>
      </c>
      <c r="E15" s="307">
        <f>'0422Master'!N23</f>
        <v>44536</v>
      </c>
      <c r="F15" s="292" t="str">
        <f>'0422Master'!F23</f>
        <v>Network Engineer L2</v>
      </c>
      <c r="G15" s="289"/>
      <c r="H15" s="289"/>
      <c r="I15" s="289"/>
      <c r="J15" s="289"/>
      <c r="K15" s="773" t="s">
        <v>383</v>
      </c>
      <c r="L15" s="773" t="s">
        <v>725</v>
      </c>
      <c r="M15" s="773" t="s">
        <v>725</v>
      </c>
      <c r="N15" s="773" t="s">
        <v>383</v>
      </c>
      <c r="O15" s="773" t="s">
        <v>383</v>
      </c>
      <c r="P15" s="773" t="s">
        <v>383</v>
      </c>
      <c r="Q15" s="773" t="s">
        <v>383</v>
      </c>
      <c r="R15" s="773" t="s">
        <v>383</v>
      </c>
      <c r="S15" s="773" t="s">
        <v>725</v>
      </c>
      <c r="T15" s="773" t="s">
        <v>725</v>
      </c>
      <c r="U15" s="773" t="s">
        <v>383</v>
      </c>
      <c r="V15" s="773" t="s">
        <v>383</v>
      </c>
      <c r="W15" s="773" t="s">
        <v>383</v>
      </c>
      <c r="X15" s="773" t="s">
        <v>383</v>
      </c>
      <c r="Y15" s="773" t="s">
        <v>908</v>
      </c>
      <c r="Z15" s="773" t="s">
        <v>725</v>
      </c>
      <c r="AA15" s="773" t="s">
        <v>725</v>
      </c>
      <c r="AB15" s="773" t="s">
        <v>383</v>
      </c>
      <c r="AC15" s="773" t="s">
        <v>383</v>
      </c>
      <c r="AD15" s="773" t="s">
        <v>383</v>
      </c>
      <c r="AE15" s="773" t="s">
        <v>383</v>
      </c>
      <c r="AF15" s="773" t="s">
        <v>383</v>
      </c>
      <c r="AG15" s="773" t="s">
        <v>725</v>
      </c>
      <c r="AH15" s="773" t="s">
        <v>725</v>
      </c>
      <c r="AI15" s="773" t="s">
        <v>383</v>
      </c>
      <c r="AJ15" s="773" t="s">
        <v>383</v>
      </c>
      <c r="AK15" s="773" t="s">
        <v>383</v>
      </c>
      <c r="AL15" s="773" t="s">
        <v>383</v>
      </c>
      <c r="AM15" s="773" t="s">
        <v>383</v>
      </c>
      <c r="AN15" s="773" t="s">
        <v>725</v>
      </c>
      <c r="AO15" s="293">
        <f>'0422Master'!W23</f>
        <v>30</v>
      </c>
    </row>
    <row r="16" spans="1:41" ht="24" customHeight="1">
      <c r="A16" s="513">
        <v>9</v>
      </c>
      <c r="B16" s="622" t="str">
        <f>'0422Master'!B24</f>
        <v>Arvind Akhare</v>
      </c>
      <c r="C16" s="308">
        <f>'0422Master'!C24</f>
        <v>32329</v>
      </c>
      <c r="D16" s="309" t="str">
        <f>'0422Master'!D24</f>
        <v>MALE</v>
      </c>
      <c r="E16" s="307">
        <f>'0422Master'!N24</f>
        <v>44537</v>
      </c>
      <c r="F16" s="292" t="str">
        <f>'0422Master'!F24</f>
        <v>Project Manager</v>
      </c>
      <c r="G16" s="289"/>
      <c r="H16" s="289"/>
      <c r="I16" s="289"/>
      <c r="J16" s="289"/>
      <c r="K16" s="773" t="s">
        <v>383</v>
      </c>
      <c r="L16" s="773" t="s">
        <v>725</v>
      </c>
      <c r="M16" s="773" t="s">
        <v>725</v>
      </c>
      <c r="N16" s="773" t="s">
        <v>383</v>
      </c>
      <c r="O16" s="773" t="s">
        <v>383</v>
      </c>
      <c r="P16" s="773" t="s">
        <v>383</v>
      </c>
      <c r="Q16" s="773" t="s">
        <v>383</v>
      </c>
      <c r="R16" s="773" t="s">
        <v>383</v>
      </c>
      <c r="S16" s="773" t="s">
        <v>725</v>
      </c>
      <c r="T16" s="773" t="s">
        <v>725</v>
      </c>
      <c r="U16" s="943" t="s">
        <v>789</v>
      </c>
      <c r="V16" s="943" t="s">
        <v>893</v>
      </c>
      <c r="W16" s="943" t="s">
        <v>893</v>
      </c>
      <c r="X16" s="773" t="s">
        <v>383</v>
      </c>
      <c r="Y16" s="773" t="s">
        <v>908</v>
      </c>
      <c r="Z16" s="773" t="s">
        <v>725</v>
      </c>
      <c r="AA16" s="773" t="s">
        <v>725</v>
      </c>
      <c r="AB16" s="773" t="s">
        <v>383</v>
      </c>
      <c r="AC16" s="773" t="s">
        <v>383</v>
      </c>
      <c r="AD16" s="773" t="s">
        <v>383</v>
      </c>
      <c r="AE16" s="773" t="s">
        <v>383</v>
      </c>
      <c r="AF16" s="773" t="s">
        <v>383</v>
      </c>
      <c r="AG16" s="773" t="s">
        <v>725</v>
      </c>
      <c r="AH16" s="773" t="s">
        <v>725</v>
      </c>
      <c r="AI16" s="773" t="s">
        <v>383</v>
      </c>
      <c r="AJ16" s="773" t="s">
        <v>383</v>
      </c>
      <c r="AK16" s="773" t="s">
        <v>383</v>
      </c>
      <c r="AL16" s="773" t="s">
        <v>383</v>
      </c>
      <c r="AM16" s="773" t="s">
        <v>383</v>
      </c>
      <c r="AN16" s="773" t="s">
        <v>725</v>
      </c>
      <c r="AO16" s="293">
        <f>'0422Master'!W24</f>
        <v>28</v>
      </c>
    </row>
    <row r="17" spans="1:42" ht="24" customHeight="1">
      <c r="A17" s="513">
        <v>10</v>
      </c>
      <c r="B17" s="622" t="str">
        <f>'0422Master'!B25</f>
        <v>Pallavi Rishikesh Naik</v>
      </c>
      <c r="C17" s="308">
        <f>'0422Master'!C25</f>
        <v>34094</v>
      </c>
      <c r="D17" s="309" t="str">
        <f>'0422Master'!D25</f>
        <v>Female</v>
      </c>
      <c r="E17" s="307">
        <f>'0422Master'!N25</f>
        <v>44538</v>
      </c>
      <c r="F17" s="292" t="str">
        <f>'0422Master'!F25</f>
        <v>Project Manager</v>
      </c>
      <c r="G17" s="289"/>
      <c r="H17" s="289"/>
      <c r="I17" s="289"/>
      <c r="J17" s="289"/>
      <c r="K17" s="773" t="s">
        <v>383</v>
      </c>
      <c r="L17" s="773" t="s">
        <v>725</v>
      </c>
      <c r="M17" s="773" t="s">
        <v>725</v>
      </c>
      <c r="N17" s="773" t="s">
        <v>383</v>
      </c>
      <c r="O17" s="773" t="s">
        <v>383</v>
      </c>
      <c r="P17" s="773" t="s">
        <v>383</v>
      </c>
      <c r="Q17" s="773" t="s">
        <v>383</v>
      </c>
      <c r="R17" s="773" t="s">
        <v>383</v>
      </c>
      <c r="S17" s="773" t="s">
        <v>725</v>
      </c>
      <c r="T17" s="773" t="s">
        <v>725</v>
      </c>
      <c r="U17" s="773" t="s">
        <v>383</v>
      </c>
      <c r="V17" s="773" t="s">
        <v>383</v>
      </c>
      <c r="W17" s="773" t="s">
        <v>383</v>
      </c>
      <c r="X17" s="773" t="s">
        <v>383</v>
      </c>
      <c r="Y17" s="773" t="s">
        <v>908</v>
      </c>
      <c r="Z17" s="773" t="s">
        <v>725</v>
      </c>
      <c r="AA17" s="773" t="s">
        <v>725</v>
      </c>
      <c r="AB17" s="773" t="s">
        <v>383</v>
      </c>
      <c r="AC17" s="773" t="s">
        <v>383</v>
      </c>
      <c r="AD17" s="773" t="s">
        <v>383</v>
      </c>
      <c r="AE17" s="773" t="s">
        <v>383</v>
      </c>
      <c r="AF17" s="773" t="s">
        <v>383</v>
      </c>
      <c r="AG17" s="773" t="s">
        <v>725</v>
      </c>
      <c r="AH17" s="773" t="s">
        <v>725</v>
      </c>
      <c r="AI17" s="773" t="s">
        <v>383</v>
      </c>
      <c r="AJ17" s="773" t="s">
        <v>383</v>
      </c>
      <c r="AK17" s="773" t="s">
        <v>383</v>
      </c>
      <c r="AL17" s="773" t="s">
        <v>383</v>
      </c>
      <c r="AM17" s="773" t="s">
        <v>383</v>
      </c>
      <c r="AN17" s="773" t="s">
        <v>725</v>
      </c>
      <c r="AO17" s="293">
        <f>'0422Master'!W25</f>
        <v>30</v>
      </c>
    </row>
    <row r="18" spans="1:42" ht="24" customHeight="1">
      <c r="A18" s="513">
        <v>11</v>
      </c>
      <c r="B18" s="622" t="str">
        <f>'0422Master'!B26</f>
        <v>Amit Kumar</v>
      </c>
      <c r="C18" s="308">
        <f>'0422Master'!C26</f>
        <v>31700</v>
      </c>
      <c r="D18" s="309" t="str">
        <f>'0422Master'!D26</f>
        <v>MALE</v>
      </c>
      <c r="E18" s="307">
        <f>'0422Master'!N26</f>
        <v>44557</v>
      </c>
      <c r="F18" s="292" t="str">
        <f>'0422Master'!F26</f>
        <v>Linux Administrator</v>
      </c>
      <c r="G18" s="289"/>
      <c r="H18" s="289"/>
      <c r="I18" s="289"/>
      <c r="J18" s="289"/>
      <c r="K18" s="773" t="s">
        <v>383</v>
      </c>
      <c r="L18" s="773" t="s">
        <v>725</v>
      </c>
      <c r="M18" s="773" t="s">
        <v>725</v>
      </c>
      <c r="N18" s="773" t="s">
        <v>383</v>
      </c>
      <c r="O18" s="773" t="s">
        <v>383</v>
      </c>
      <c r="P18" s="773" t="s">
        <v>383</v>
      </c>
      <c r="Q18" s="773" t="s">
        <v>383</v>
      </c>
      <c r="R18" s="773" t="s">
        <v>383</v>
      </c>
      <c r="S18" s="773" t="s">
        <v>725</v>
      </c>
      <c r="T18" s="773" t="s">
        <v>725</v>
      </c>
      <c r="U18" s="943" t="s">
        <v>789</v>
      </c>
      <c r="V18" s="773" t="s">
        <v>383</v>
      </c>
      <c r="W18" s="773" t="s">
        <v>383</v>
      </c>
      <c r="X18" s="773" t="s">
        <v>383</v>
      </c>
      <c r="Y18" s="773" t="s">
        <v>908</v>
      </c>
      <c r="Z18" s="773" t="s">
        <v>725</v>
      </c>
      <c r="AA18" s="773" t="s">
        <v>725</v>
      </c>
      <c r="AB18" s="773" t="s">
        <v>383</v>
      </c>
      <c r="AC18" s="773" t="s">
        <v>383</v>
      </c>
      <c r="AD18" s="773" t="s">
        <v>383</v>
      </c>
      <c r="AE18" s="773" t="s">
        <v>383</v>
      </c>
      <c r="AF18" s="773" t="s">
        <v>383</v>
      </c>
      <c r="AG18" s="773" t="s">
        <v>725</v>
      </c>
      <c r="AH18" s="773" t="s">
        <v>725</v>
      </c>
      <c r="AI18" s="773" t="s">
        <v>383</v>
      </c>
      <c r="AJ18" s="773" t="s">
        <v>383</v>
      </c>
      <c r="AK18" s="773" t="s">
        <v>383</v>
      </c>
      <c r="AL18" s="773" t="s">
        <v>383</v>
      </c>
      <c r="AM18" s="773" t="s">
        <v>383</v>
      </c>
      <c r="AN18" s="773" t="s">
        <v>725</v>
      </c>
      <c r="AO18" s="293">
        <f>'0422Master'!W26</f>
        <v>30</v>
      </c>
      <c r="AP18" s="774"/>
    </row>
    <row r="19" spans="1:42" ht="24" customHeight="1">
      <c r="A19" s="513">
        <v>12</v>
      </c>
      <c r="B19" s="622" t="str">
        <f>'0422Master'!B27</f>
        <v>Pranav Thakare</v>
      </c>
      <c r="C19" s="308">
        <f>'0422Master'!C27</f>
        <v>34393</v>
      </c>
      <c r="D19" s="309" t="str">
        <f>'0422Master'!D27</f>
        <v>MALE</v>
      </c>
      <c r="E19" s="307">
        <f>'0422Master'!N27</f>
        <v>44564</v>
      </c>
      <c r="F19" s="292" t="str">
        <f>'0422Master'!F27</f>
        <v>Project Manager</v>
      </c>
      <c r="G19" s="289"/>
      <c r="H19" s="289"/>
      <c r="I19" s="289"/>
      <c r="J19" s="289"/>
      <c r="K19" s="773" t="s">
        <v>383</v>
      </c>
      <c r="L19" s="773" t="s">
        <v>725</v>
      </c>
      <c r="M19" s="773" t="s">
        <v>725</v>
      </c>
      <c r="N19" s="773" t="s">
        <v>383</v>
      </c>
      <c r="O19" s="773" t="s">
        <v>383</v>
      </c>
      <c r="P19" s="773" t="s">
        <v>383</v>
      </c>
      <c r="Q19" s="773" t="s">
        <v>383</v>
      </c>
      <c r="R19" s="773" t="s">
        <v>383</v>
      </c>
      <c r="S19" s="773" t="s">
        <v>725</v>
      </c>
      <c r="T19" s="773" t="s">
        <v>725</v>
      </c>
      <c r="U19" s="773" t="s">
        <v>383</v>
      </c>
      <c r="V19" s="773" t="s">
        <v>383</v>
      </c>
      <c r="W19" s="773" t="s">
        <v>383</v>
      </c>
      <c r="X19" s="773" t="s">
        <v>383</v>
      </c>
      <c r="Y19" s="773" t="s">
        <v>908</v>
      </c>
      <c r="Z19" s="773" t="s">
        <v>725</v>
      </c>
      <c r="AA19" s="773" t="s">
        <v>725</v>
      </c>
      <c r="AB19" s="773" t="s">
        <v>383</v>
      </c>
      <c r="AC19" s="773" t="s">
        <v>383</v>
      </c>
      <c r="AD19" s="773" t="s">
        <v>383</v>
      </c>
      <c r="AE19" s="773" t="s">
        <v>383</v>
      </c>
      <c r="AF19" s="773" t="s">
        <v>383</v>
      </c>
      <c r="AG19" s="773" t="s">
        <v>725</v>
      </c>
      <c r="AH19" s="773" t="s">
        <v>725</v>
      </c>
      <c r="AI19" s="943" t="s">
        <v>789</v>
      </c>
      <c r="AJ19" s="943" t="s">
        <v>893</v>
      </c>
      <c r="AK19" s="943" t="s">
        <v>893</v>
      </c>
      <c r="AL19" s="943" t="s">
        <v>893</v>
      </c>
      <c r="AM19" s="773" t="s">
        <v>383</v>
      </c>
      <c r="AN19" s="773" t="s">
        <v>725</v>
      </c>
      <c r="AO19" s="293">
        <f>'0422Master'!W27</f>
        <v>27</v>
      </c>
    </row>
    <row r="20" spans="1:42" ht="24" customHeight="1">
      <c r="A20" s="513">
        <v>13</v>
      </c>
      <c r="B20" s="622" t="str">
        <f>'0422Master'!B28</f>
        <v>Asita Kumar Sahoo</v>
      </c>
      <c r="C20" s="308">
        <f>'0422Master'!C28</f>
        <v>28308</v>
      </c>
      <c r="D20" s="309" t="str">
        <f>'0422Master'!D28</f>
        <v>MALE</v>
      </c>
      <c r="E20" s="307">
        <f>'0422Master'!N28</f>
        <v>44567</v>
      </c>
      <c r="F20" s="292" t="str">
        <f>'0422Master'!F28</f>
        <v>Network Admin</v>
      </c>
      <c r="G20" s="289"/>
      <c r="H20" s="289"/>
      <c r="I20" s="289"/>
      <c r="J20" s="289"/>
      <c r="K20" s="773" t="s">
        <v>383</v>
      </c>
      <c r="L20" s="773" t="s">
        <v>725</v>
      </c>
      <c r="M20" s="773" t="s">
        <v>725</v>
      </c>
      <c r="N20" s="773" t="s">
        <v>383</v>
      </c>
      <c r="O20" s="773" t="s">
        <v>383</v>
      </c>
      <c r="P20" s="773" t="s">
        <v>383</v>
      </c>
      <c r="Q20" s="773" t="s">
        <v>383</v>
      </c>
      <c r="R20" s="773" t="s">
        <v>383</v>
      </c>
      <c r="S20" s="773" t="s">
        <v>725</v>
      </c>
      <c r="T20" s="773" t="s">
        <v>725</v>
      </c>
      <c r="U20" s="773" t="s">
        <v>383</v>
      </c>
      <c r="V20" s="773" t="s">
        <v>383</v>
      </c>
      <c r="W20" s="773" t="s">
        <v>383</v>
      </c>
      <c r="X20" s="773" t="s">
        <v>383</v>
      </c>
      <c r="Y20" s="773" t="s">
        <v>908</v>
      </c>
      <c r="Z20" s="773" t="s">
        <v>725</v>
      </c>
      <c r="AA20" s="773" t="s">
        <v>725</v>
      </c>
      <c r="AB20" s="773" t="s">
        <v>383</v>
      </c>
      <c r="AC20" s="773" t="s">
        <v>383</v>
      </c>
      <c r="AD20" s="773" t="s">
        <v>383</v>
      </c>
      <c r="AE20" s="773" t="s">
        <v>383</v>
      </c>
      <c r="AF20" s="773" t="s">
        <v>383</v>
      </c>
      <c r="AG20" s="773" t="s">
        <v>725</v>
      </c>
      <c r="AH20" s="773" t="s">
        <v>725</v>
      </c>
      <c r="AI20" s="773" t="s">
        <v>383</v>
      </c>
      <c r="AJ20" s="773" t="s">
        <v>383</v>
      </c>
      <c r="AK20" s="773" t="s">
        <v>383</v>
      </c>
      <c r="AL20" s="773" t="s">
        <v>383</v>
      </c>
      <c r="AM20" s="773" t="s">
        <v>383</v>
      </c>
      <c r="AN20" s="773" t="s">
        <v>725</v>
      </c>
      <c r="AO20" s="293">
        <f>'0422Master'!W28</f>
        <v>30</v>
      </c>
    </row>
    <row r="21" spans="1:42" ht="24" customHeight="1">
      <c r="A21" s="513">
        <v>14</v>
      </c>
      <c r="B21" s="622" t="str">
        <f>'0422Master'!B29</f>
        <v>Arun Arra</v>
      </c>
      <c r="C21" s="308">
        <f>'0422Master'!C29</f>
        <v>34378</v>
      </c>
      <c r="D21" s="309" t="str">
        <f>'0422Master'!D29</f>
        <v>MALE</v>
      </c>
      <c r="E21" s="307">
        <f>'0422Master'!N29</f>
        <v>44602</v>
      </c>
      <c r="F21" s="292" t="str">
        <f>'0422Master'!F29</f>
        <v>SAP Basis consultant</v>
      </c>
      <c r="G21" s="289"/>
      <c r="H21" s="289"/>
      <c r="I21" s="289"/>
      <c r="J21" s="289"/>
      <c r="K21" s="773" t="s">
        <v>383</v>
      </c>
      <c r="L21" s="773" t="s">
        <v>725</v>
      </c>
      <c r="M21" s="773" t="s">
        <v>725</v>
      </c>
      <c r="N21" s="773" t="s">
        <v>383</v>
      </c>
      <c r="O21" s="773" t="s">
        <v>383</v>
      </c>
      <c r="P21" s="773" t="s">
        <v>383</v>
      </c>
      <c r="Q21" s="773" t="s">
        <v>383</v>
      </c>
      <c r="R21" s="773" t="s">
        <v>383</v>
      </c>
      <c r="S21" s="773" t="s">
        <v>725</v>
      </c>
      <c r="T21" s="773" t="s">
        <v>725</v>
      </c>
      <c r="U21" s="773" t="s">
        <v>383</v>
      </c>
      <c r="V21" s="773" t="s">
        <v>383</v>
      </c>
      <c r="W21" s="773" t="s">
        <v>383</v>
      </c>
      <c r="X21" s="773" t="s">
        <v>383</v>
      </c>
      <c r="Y21" s="773" t="s">
        <v>908</v>
      </c>
      <c r="Z21" s="773" t="s">
        <v>725</v>
      </c>
      <c r="AA21" s="773" t="s">
        <v>725</v>
      </c>
      <c r="AB21" s="773" t="s">
        <v>383</v>
      </c>
      <c r="AC21" s="773" t="s">
        <v>383</v>
      </c>
      <c r="AD21" s="773" t="s">
        <v>383</v>
      </c>
      <c r="AE21" s="773" t="s">
        <v>383</v>
      </c>
      <c r="AF21" s="773" t="s">
        <v>383</v>
      </c>
      <c r="AG21" s="773" t="s">
        <v>725</v>
      </c>
      <c r="AH21" s="773" t="s">
        <v>725</v>
      </c>
      <c r="AI21" s="773" t="s">
        <v>383</v>
      </c>
      <c r="AJ21" s="773" t="s">
        <v>383</v>
      </c>
      <c r="AK21" s="773" t="s">
        <v>383</v>
      </c>
      <c r="AL21" s="773" t="s">
        <v>383</v>
      </c>
      <c r="AM21" s="773" t="s">
        <v>383</v>
      </c>
      <c r="AN21" s="773" t="s">
        <v>725</v>
      </c>
      <c r="AO21" s="293">
        <f>'0422Master'!W29</f>
        <v>30</v>
      </c>
    </row>
    <row r="22" spans="1:42" ht="24" customHeight="1">
      <c r="A22" s="513">
        <v>15</v>
      </c>
      <c r="B22" s="622" t="str">
        <f>'0422Master'!B30</f>
        <v>Ramya Nalla</v>
      </c>
      <c r="C22" s="308" t="str">
        <f>'0422Master'!C30</f>
        <v>22-03-1998</v>
      </c>
      <c r="D22" s="309" t="str">
        <f>'0422Master'!D30</f>
        <v>FEMALE</v>
      </c>
      <c r="E22" s="307" t="str">
        <f>'0422Master'!N30</f>
        <v>10/2/2022</v>
      </c>
      <c r="F22" s="292" t="str">
        <f>'0422Master'!F30</f>
        <v>SAP Basis consultant</v>
      </c>
      <c r="G22" s="289"/>
      <c r="H22" s="289"/>
      <c r="I22" s="289"/>
      <c r="J22" s="289"/>
      <c r="K22" s="943" t="s">
        <v>789</v>
      </c>
      <c r="L22" s="773" t="s">
        <v>725</v>
      </c>
      <c r="M22" s="773" t="s">
        <v>725</v>
      </c>
      <c r="N22" s="773" t="s">
        <v>383</v>
      </c>
      <c r="O22" s="773" t="s">
        <v>383</v>
      </c>
      <c r="P22" s="773" t="s">
        <v>383</v>
      </c>
      <c r="Q22" s="773" t="s">
        <v>383</v>
      </c>
      <c r="R22" s="773" t="s">
        <v>383</v>
      </c>
      <c r="S22" s="773" t="s">
        <v>725</v>
      </c>
      <c r="T22" s="773" t="s">
        <v>725</v>
      </c>
      <c r="U22" s="773" t="s">
        <v>383</v>
      </c>
      <c r="V22" s="773" t="s">
        <v>383</v>
      </c>
      <c r="W22" s="773" t="s">
        <v>383</v>
      </c>
      <c r="X22" s="773" t="s">
        <v>383</v>
      </c>
      <c r="Y22" s="773" t="s">
        <v>908</v>
      </c>
      <c r="Z22" s="773" t="s">
        <v>725</v>
      </c>
      <c r="AA22" s="773" t="s">
        <v>725</v>
      </c>
      <c r="AB22" s="773" t="s">
        <v>383</v>
      </c>
      <c r="AC22" s="773" t="s">
        <v>383</v>
      </c>
      <c r="AD22" s="773" t="s">
        <v>383</v>
      </c>
      <c r="AE22" s="773" t="s">
        <v>383</v>
      </c>
      <c r="AF22" s="773" t="s">
        <v>383</v>
      </c>
      <c r="AG22" s="773" t="s">
        <v>725</v>
      </c>
      <c r="AH22" s="773" t="s">
        <v>725</v>
      </c>
      <c r="AI22" s="773" t="s">
        <v>383</v>
      </c>
      <c r="AJ22" s="773" t="s">
        <v>383</v>
      </c>
      <c r="AK22" s="773" t="s">
        <v>383</v>
      </c>
      <c r="AL22" s="773" t="s">
        <v>383</v>
      </c>
      <c r="AM22" s="773" t="s">
        <v>383</v>
      </c>
      <c r="AN22" s="773" t="s">
        <v>725</v>
      </c>
      <c r="AO22" s="293">
        <f>'0422Master'!W30</f>
        <v>30</v>
      </c>
    </row>
    <row r="23" spans="1:42" ht="24.75" customHeight="1">
      <c r="A23" s="513">
        <v>16</v>
      </c>
      <c r="B23" s="622" t="str">
        <f>'0422Master'!B31</f>
        <v>Uma  Mahesh P</v>
      </c>
      <c r="C23" s="308">
        <f>'0422Master'!C31</f>
        <v>35748</v>
      </c>
      <c r="D23" s="309" t="str">
        <f>'0422Master'!D31</f>
        <v>MALE</v>
      </c>
      <c r="E23" s="307" t="str">
        <f>'0422Master'!N31</f>
        <v>10/2/2022</v>
      </c>
      <c r="F23" s="292" t="str">
        <f>'0422Master'!F31</f>
        <v>SAP Basis consultant</v>
      </c>
      <c r="G23" s="289"/>
      <c r="H23" s="289"/>
      <c r="I23" s="289"/>
      <c r="J23" s="289"/>
      <c r="K23" s="773" t="s">
        <v>383</v>
      </c>
      <c r="L23" s="773" t="s">
        <v>725</v>
      </c>
      <c r="M23" s="773" t="s">
        <v>725</v>
      </c>
      <c r="N23" s="773" t="s">
        <v>383</v>
      </c>
      <c r="O23" s="773" t="s">
        <v>383</v>
      </c>
      <c r="P23" s="773" t="s">
        <v>383</v>
      </c>
      <c r="Q23" s="773" t="s">
        <v>383</v>
      </c>
      <c r="R23" s="773" t="s">
        <v>383</v>
      </c>
      <c r="S23" s="773" t="s">
        <v>725</v>
      </c>
      <c r="T23" s="773" t="s">
        <v>725</v>
      </c>
      <c r="U23" s="773" t="s">
        <v>383</v>
      </c>
      <c r="V23" s="773" t="s">
        <v>383</v>
      </c>
      <c r="W23" s="773" t="s">
        <v>383</v>
      </c>
      <c r="X23" s="773" t="s">
        <v>383</v>
      </c>
      <c r="Y23" s="773" t="s">
        <v>908</v>
      </c>
      <c r="Z23" s="773" t="s">
        <v>725</v>
      </c>
      <c r="AA23" s="773" t="s">
        <v>725</v>
      </c>
      <c r="AB23" s="943" t="s">
        <v>789</v>
      </c>
      <c r="AC23" s="943" t="s">
        <v>893</v>
      </c>
      <c r="AD23" s="773" t="s">
        <v>383</v>
      </c>
      <c r="AE23" s="773" t="s">
        <v>383</v>
      </c>
      <c r="AF23" s="773" t="s">
        <v>383</v>
      </c>
      <c r="AG23" s="773" t="s">
        <v>725</v>
      </c>
      <c r="AH23" s="773" t="s">
        <v>725</v>
      </c>
      <c r="AI23" s="773" t="s">
        <v>383</v>
      </c>
      <c r="AJ23" s="773" t="s">
        <v>383</v>
      </c>
      <c r="AK23" s="773" t="s">
        <v>383</v>
      </c>
      <c r="AL23" s="773" t="s">
        <v>383</v>
      </c>
      <c r="AM23" s="773" t="s">
        <v>383</v>
      </c>
      <c r="AN23" s="773" t="s">
        <v>725</v>
      </c>
      <c r="AO23" s="293">
        <f>'0422Master'!W31</f>
        <v>29</v>
      </c>
    </row>
    <row r="24" spans="1:42" ht="24" customHeight="1">
      <c r="A24" s="513">
        <v>17</v>
      </c>
      <c r="B24" s="622" t="str">
        <f>'0422Master'!B32</f>
        <v>NAGA SAI TEJA NUTHI</v>
      </c>
      <c r="C24" s="308">
        <f>'0422Master'!C32</f>
        <v>33292</v>
      </c>
      <c r="D24" s="309" t="str">
        <f>'0422Master'!D32</f>
        <v>MALE</v>
      </c>
      <c r="E24" s="307">
        <f>'0422Master'!N32</f>
        <v>44602</v>
      </c>
      <c r="F24" s="292" t="str">
        <f>'0422Master'!F32</f>
        <v>SAP Basis consultant</v>
      </c>
      <c r="G24" s="289"/>
      <c r="H24" s="289"/>
      <c r="I24" s="289"/>
      <c r="J24" s="289"/>
      <c r="K24" s="773" t="s">
        <v>383</v>
      </c>
      <c r="L24" s="773" t="s">
        <v>725</v>
      </c>
      <c r="M24" s="773" t="s">
        <v>725</v>
      </c>
      <c r="N24" s="773" t="s">
        <v>383</v>
      </c>
      <c r="O24" s="773" t="s">
        <v>383</v>
      </c>
      <c r="P24" s="773" t="s">
        <v>383</v>
      </c>
      <c r="Q24" s="773" t="s">
        <v>383</v>
      </c>
      <c r="R24" s="773" t="s">
        <v>383</v>
      </c>
      <c r="S24" s="773" t="s">
        <v>725</v>
      </c>
      <c r="T24" s="773" t="s">
        <v>725</v>
      </c>
      <c r="U24" s="773" t="s">
        <v>383</v>
      </c>
      <c r="V24" s="773" t="s">
        <v>383</v>
      </c>
      <c r="W24" s="773" t="s">
        <v>383</v>
      </c>
      <c r="X24" s="773" t="s">
        <v>383</v>
      </c>
      <c r="Y24" s="773" t="s">
        <v>908</v>
      </c>
      <c r="Z24" s="773" t="s">
        <v>725</v>
      </c>
      <c r="AA24" s="773" t="s">
        <v>725</v>
      </c>
      <c r="AB24" s="773" t="s">
        <v>383</v>
      </c>
      <c r="AC24" s="773" t="s">
        <v>383</v>
      </c>
      <c r="AD24" s="773" t="s">
        <v>383</v>
      </c>
      <c r="AE24" s="773" t="s">
        <v>383</v>
      </c>
      <c r="AF24" s="773" t="s">
        <v>383</v>
      </c>
      <c r="AG24" s="773" t="s">
        <v>725</v>
      </c>
      <c r="AH24" s="773" t="s">
        <v>725</v>
      </c>
      <c r="AI24" s="943" t="s">
        <v>789</v>
      </c>
      <c r="AJ24" s="943" t="s">
        <v>893</v>
      </c>
      <c r="AK24" s="943" t="s">
        <v>893</v>
      </c>
      <c r="AL24" s="943" t="s">
        <v>893</v>
      </c>
      <c r="AM24" s="773" t="s">
        <v>383</v>
      </c>
      <c r="AN24" s="773" t="s">
        <v>725</v>
      </c>
      <c r="AO24" s="293">
        <f>'0422Master'!W32</f>
        <v>27</v>
      </c>
    </row>
    <row r="25" spans="1:42" ht="24" customHeight="1">
      <c r="A25" s="513">
        <v>18</v>
      </c>
      <c r="B25" s="622" t="str">
        <f>'0422Master'!B33</f>
        <v>Mani Krishna Nandineedi</v>
      </c>
      <c r="C25" s="308">
        <f>'0422Master'!C33</f>
        <v>35088</v>
      </c>
      <c r="D25" s="309" t="str">
        <f>'0422Master'!D33</f>
        <v>MALE</v>
      </c>
      <c r="E25" s="307">
        <f>'0422Master'!N33</f>
        <v>44602</v>
      </c>
      <c r="F25" s="292" t="str">
        <f>'0422Master'!F33</f>
        <v>SAP Basis consultant</v>
      </c>
      <c r="G25" s="289"/>
      <c r="H25" s="289"/>
      <c r="I25" s="289"/>
      <c r="J25" s="289"/>
      <c r="K25" s="773" t="s">
        <v>383</v>
      </c>
      <c r="L25" s="773" t="s">
        <v>725</v>
      </c>
      <c r="M25" s="773" t="s">
        <v>725</v>
      </c>
      <c r="N25" s="773" t="s">
        <v>383</v>
      </c>
      <c r="O25" s="773" t="s">
        <v>383</v>
      </c>
      <c r="P25" s="773" t="s">
        <v>383</v>
      </c>
      <c r="Q25" s="773" t="s">
        <v>383</v>
      </c>
      <c r="R25" s="773" t="s">
        <v>383</v>
      </c>
      <c r="S25" s="773" t="s">
        <v>725</v>
      </c>
      <c r="T25" s="773" t="s">
        <v>725</v>
      </c>
      <c r="U25" s="773" t="s">
        <v>383</v>
      </c>
      <c r="V25" s="773" t="s">
        <v>383</v>
      </c>
      <c r="W25" s="773" t="s">
        <v>383</v>
      </c>
      <c r="X25" s="773" t="s">
        <v>383</v>
      </c>
      <c r="Y25" s="773" t="s">
        <v>908</v>
      </c>
      <c r="Z25" s="773" t="s">
        <v>725</v>
      </c>
      <c r="AA25" s="773" t="s">
        <v>725</v>
      </c>
      <c r="AB25" s="773" t="s">
        <v>383</v>
      </c>
      <c r="AC25" s="773" t="s">
        <v>383</v>
      </c>
      <c r="AD25" s="773" t="s">
        <v>383</v>
      </c>
      <c r="AE25" s="773" t="s">
        <v>383</v>
      </c>
      <c r="AF25" s="773" t="s">
        <v>383</v>
      </c>
      <c r="AG25" s="773" t="s">
        <v>725</v>
      </c>
      <c r="AH25" s="773" t="s">
        <v>725</v>
      </c>
      <c r="AI25" s="773" t="s">
        <v>383</v>
      </c>
      <c r="AJ25" s="773" t="s">
        <v>383</v>
      </c>
      <c r="AK25" s="773" t="s">
        <v>383</v>
      </c>
      <c r="AL25" s="773" t="s">
        <v>383</v>
      </c>
      <c r="AM25" s="773" t="s">
        <v>383</v>
      </c>
      <c r="AN25" s="773" t="s">
        <v>725</v>
      </c>
      <c r="AO25" s="293">
        <f>'0422Master'!W33</f>
        <v>30</v>
      </c>
    </row>
    <row r="26" spans="1:42" ht="24" customHeight="1">
      <c r="A26" s="513">
        <v>19</v>
      </c>
      <c r="B26" s="622" t="str">
        <f>'0422Master'!B34</f>
        <v>Sushma P</v>
      </c>
      <c r="C26" s="308">
        <f>'0422Master'!C34</f>
        <v>32638</v>
      </c>
      <c r="D26" s="309" t="str">
        <f>'0422Master'!D34</f>
        <v>FEMALE</v>
      </c>
      <c r="E26" s="307">
        <f>'0422Master'!N34</f>
        <v>44602</v>
      </c>
      <c r="F26" s="292" t="str">
        <f>'0422Master'!F34</f>
        <v>SAP Basis consultant</v>
      </c>
      <c r="G26" s="289"/>
      <c r="H26" s="289"/>
      <c r="I26" s="289"/>
      <c r="J26" s="289"/>
      <c r="K26" s="773" t="s">
        <v>383</v>
      </c>
      <c r="L26" s="773" t="s">
        <v>725</v>
      </c>
      <c r="M26" s="773" t="s">
        <v>725</v>
      </c>
      <c r="N26" s="773" t="s">
        <v>383</v>
      </c>
      <c r="O26" s="773" t="s">
        <v>383</v>
      </c>
      <c r="P26" s="773" t="s">
        <v>383</v>
      </c>
      <c r="Q26" s="773" t="s">
        <v>383</v>
      </c>
      <c r="R26" s="773" t="s">
        <v>383</v>
      </c>
      <c r="S26" s="773" t="s">
        <v>725</v>
      </c>
      <c r="T26" s="773" t="s">
        <v>725</v>
      </c>
      <c r="U26" s="773" t="s">
        <v>383</v>
      </c>
      <c r="V26" s="773" t="s">
        <v>383</v>
      </c>
      <c r="W26" s="773" t="s">
        <v>383</v>
      </c>
      <c r="X26" s="773" t="s">
        <v>383</v>
      </c>
      <c r="Y26" s="773" t="s">
        <v>908</v>
      </c>
      <c r="Z26" s="773" t="s">
        <v>725</v>
      </c>
      <c r="AA26" s="773" t="s">
        <v>725</v>
      </c>
      <c r="AB26" s="773" t="s">
        <v>383</v>
      </c>
      <c r="AC26" s="773" t="s">
        <v>383</v>
      </c>
      <c r="AD26" s="773" t="s">
        <v>383</v>
      </c>
      <c r="AE26" s="773" t="s">
        <v>383</v>
      </c>
      <c r="AF26" s="773" t="s">
        <v>383</v>
      </c>
      <c r="AG26" s="773" t="s">
        <v>725</v>
      </c>
      <c r="AH26" s="773" t="s">
        <v>725</v>
      </c>
      <c r="AI26" s="773" t="s">
        <v>383</v>
      </c>
      <c r="AJ26" s="773" t="s">
        <v>383</v>
      </c>
      <c r="AK26" s="773" t="s">
        <v>383</v>
      </c>
      <c r="AL26" s="773" t="s">
        <v>383</v>
      </c>
      <c r="AM26" s="773" t="s">
        <v>383</v>
      </c>
      <c r="AN26" s="773" t="s">
        <v>725</v>
      </c>
      <c r="AO26" s="293">
        <f>'0422Master'!W34</f>
        <v>30</v>
      </c>
    </row>
    <row r="27" spans="1:42" ht="24" customHeight="1">
      <c r="A27" s="513">
        <v>20</v>
      </c>
      <c r="B27" s="622" t="str">
        <f>'0422Master'!B35</f>
        <v>susheelKumar Gandla</v>
      </c>
      <c r="C27" s="308">
        <f>'0422Master'!C35</f>
        <v>30056</v>
      </c>
      <c r="D27" s="309" t="str">
        <f>'0422Master'!D35</f>
        <v>MALE</v>
      </c>
      <c r="E27" s="307">
        <f>'0422Master'!N35</f>
        <v>44652</v>
      </c>
      <c r="F27" s="292" t="str">
        <f>'0422Master'!F35</f>
        <v>Sr.Software Engineer</v>
      </c>
      <c r="G27" s="289"/>
      <c r="H27" s="289"/>
      <c r="I27" s="289"/>
      <c r="J27" s="289"/>
      <c r="K27" s="773" t="s">
        <v>383</v>
      </c>
      <c r="L27" s="773" t="s">
        <v>725</v>
      </c>
      <c r="M27" s="773" t="s">
        <v>725</v>
      </c>
      <c r="N27" s="773" t="s">
        <v>383</v>
      </c>
      <c r="O27" s="773" t="s">
        <v>383</v>
      </c>
      <c r="P27" s="773" t="s">
        <v>383</v>
      </c>
      <c r="Q27" s="773" t="s">
        <v>383</v>
      </c>
      <c r="R27" s="773" t="s">
        <v>383</v>
      </c>
      <c r="S27" s="773" t="s">
        <v>725</v>
      </c>
      <c r="T27" s="773" t="s">
        <v>725</v>
      </c>
      <c r="U27" s="773" t="s">
        <v>383</v>
      </c>
      <c r="V27" s="773" t="s">
        <v>383</v>
      </c>
      <c r="W27" s="773" t="s">
        <v>383</v>
      </c>
      <c r="X27" s="773" t="s">
        <v>383</v>
      </c>
      <c r="Y27" s="773" t="s">
        <v>908</v>
      </c>
      <c r="Z27" s="773" t="s">
        <v>725</v>
      </c>
      <c r="AA27" s="773" t="s">
        <v>725</v>
      </c>
      <c r="AB27" s="773" t="s">
        <v>383</v>
      </c>
      <c r="AC27" s="773" t="s">
        <v>383</v>
      </c>
      <c r="AD27" s="773" t="s">
        <v>383</v>
      </c>
      <c r="AE27" s="773" t="s">
        <v>383</v>
      </c>
      <c r="AF27" s="773" t="s">
        <v>383</v>
      </c>
      <c r="AG27" s="773" t="s">
        <v>725</v>
      </c>
      <c r="AH27" s="773" t="s">
        <v>725</v>
      </c>
      <c r="AI27" s="773" t="s">
        <v>383</v>
      </c>
      <c r="AJ27" s="773" t="s">
        <v>383</v>
      </c>
      <c r="AK27" s="773" t="s">
        <v>383</v>
      </c>
      <c r="AL27" s="773" t="s">
        <v>383</v>
      </c>
      <c r="AM27" s="773" t="s">
        <v>383</v>
      </c>
      <c r="AN27" s="773" t="s">
        <v>725</v>
      </c>
      <c r="AO27" s="293">
        <f>'0422Master'!W35</f>
        <v>30</v>
      </c>
    </row>
    <row r="28" spans="1:42" ht="24" customHeight="1">
      <c r="A28" s="769"/>
      <c r="B28" s="770"/>
      <c r="C28" s="771"/>
      <c r="D28" s="454"/>
      <c r="E28" s="455"/>
      <c r="F28" s="772"/>
      <c r="G28" s="371"/>
      <c r="H28" s="371"/>
      <c r="I28" s="371"/>
      <c r="J28" s="371"/>
      <c r="K28" s="457"/>
      <c r="L28" s="457"/>
      <c r="M28" s="457"/>
      <c r="N28" s="457"/>
      <c r="O28" s="457"/>
      <c r="P28" s="457"/>
      <c r="Q28" s="457"/>
      <c r="R28" s="457"/>
      <c r="S28" s="457"/>
      <c r="T28" s="457"/>
      <c r="U28" s="457"/>
      <c r="V28" s="457"/>
      <c r="W28" s="457"/>
      <c r="X28" s="457"/>
      <c r="Y28" s="457"/>
      <c r="Z28" s="457"/>
      <c r="AA28" s="457"/>
      <c r="AB28" s="457"/>
      <c r="AC28" s="457"/>
      <c r="AD28" s="457"/>
      <c r="AE28" s="457"/>
      <c r="AF28" s="457"/>
      <c r="AG28" s="457"/>
      <c r="AH28" s="457"/>
      <c r="AI28" s="457"/>
      <c r="AJ28" s="457"/>
      <c r="AK28" s="457"/>
      <c r="AL28" s="457"/>
      <c r="AM28" s="457"/>
      <c r="AN28" s="457"/>
      <c r="AO28" s="458">
        <f>SUM(AO8:AO27)</f>
        <v>591</v>
      </c>
    </row>
    <row r="29" spans="1:42" ht="24" customHeight="1">
      <c r="A29" s="769"/>
      <c r="B29" s="770"/>
      <c r="C29" s="771"/>
      <c r="D29" s="454"/>
      <c r="E29" s="455"/>
      <c r="F29" s="772"/>
      <c r="G29" s="371"/>
      <c r="H29" s="371"/>
      <c r="I29" s="371"/>
      <c r="J29" s="371"/>
      <c r="K29" s="457"/>
      <c r="L29" s="457"/>
      <c r="M29" s="457"/>
      <c r="N29" s="457"/>
      <c r="O29" s="457"/>
      <c r="P29" s="457"/>
      <c r="Q29" s="457"/>
      <c r="R29" s="457"/>
      <c r="S29" s="457"/>
      <c r="T29" s="457"/>
      <c r="U29" s="457"/>
      <c r="V29" s="457"/>
      <c r="W29" s="457"/>
      <c r="X29" s="457"/>
      <c r="Y29" s="457"/>
      <c r="Z29" s="457"/>
      <c r="AA29" s="457"/>
      <c r="AB29" s="457"/>
      <c r="AC29" s="457"/>
      <c r="AD29" s="457"/>
      <c r="AE29" s="457"/>
      <c r="AF29" s="457"/>
      <c r="AG29" s="457"/>
      <c r="AH29" s="457"/>
      <c r="AI29" s="457"/>
      <c r="AJ29" s="457"/>
      <c r="AK29" s="457"/>
      <c r="AL29" s="457"/>
      <c r="AM29" s="457"/>
      <c r="AN29" s="457"/>
      <c r="AO29" s="458"/>
    </row>
    <row r="30" spans="1:42" ht="24" customHeight="1">
      <c r="A30" s="769"/>
      <c r="B30" s="770"/>
      <c r="C30" s="771"/>
      <c r="D30" s="454"/>
      <c r="E30" s="455"/>
      <c r="F30" s="772"/>
      <c r="G30" s="371"/>
      <c r="H30" s="371"/>
      <c r="I30" s="371"/>
      <c r="J30" s="371"/>
      <c r="K30" s="457"/>
      <c r="L30" s="457"/>
      <c r="M30" s="457"/>
      <c r="N30" s="457"/>
      <c r="O30" s="457"/>
      <c r="P30" s="457"/>
      <c r="Q30" s="457"/>
      <c r="R30" s="457"/>
      <c r="S30" s="457"/>
      <c r="T30" s="457"/>
      <c r="U30" s="457"/>
      <c r="V30" s="457"/>
      <c r="W30" s="457"/>
      <c r="X30" s="457"/>
      <c r="Y30" s="457"/>
      <c r="Z30" s="457"/>
      <c r="AA30" s="457"/>
      <c r="AB30" s="457"/>
      <c r="AC30" s="457"/>
      <c r="AD30" s="457"/>
      <c r="AE30" s="457"/>
      <c r="AF30" s="457"/>
      <c r="AG30" s="457"/>
      <c r="AH30" s="457"/>
      <c r="AI30" s="457"/>
      <c r="AJ30" s="457"/>
      <c r="AK30" s="457"/>
      <c r="AL30" s="457"/>
      <c r="AM30" s="457"/>
      <c r="AN30" s="457"/>
      <c r="AO30" s="458"/>
    </row>
    <row r="31" spans="1:42" ht="24" customHeight="1">
      <c r="A31" s="769"/>
      <c r="B31" s="770"/>
      <c r="C31" s="771"/>
      <c r="D31" s="454"/>
      <c r="E31" s="455"/>
      <c r="F31" s="772"/>
      <c r="G31" s="371"/>
      <c r="H31" s="371"/>
      <c r="I31" s="371"/>
      <c r="J31" s="371"/>
      <c r="K31" s="457"/>
      <c r="L31" s="457"/>
      <c r="M31" s="457"/>
      <c r="N31" s="457"/>
      <c r="O31" s="457"/>
      <c r="P31" s="457"/>
      <c r="Q31" s="457"/>
      <c r="R31" s="457"/>
      <c r="S31" s="457"/>
      <c r="T31" s="457"/>
      <c r="U31" s="457"/>
      <c r="V31" s="457"/>
      <c r="W31" s="457"/>
      <c r="X31" s="457"/>
      <c r="Y31" s="457"/>
      <c r="Z31" s="457"/>
      <c r="AA31" s="457"/>
      <c r="AB31" s="457"/>
      <c r="AC31" s="457"/>
      <c r="AD31" s="457"/>
      <c r="AE31" s="457"/>
      <c r="AF31" s="457"/>
      <c r="AG31" s="457"/>
      <c r="AH31" s="457"/>
      <c r="AI31" s="457"/>
      <c r="AJ31" s="457"/>
      <c r="AK31" s="457"/>
      <c r="AL31" s="457"/>
      <c r="AM31" s="457"/>
      <c r="AN31" s="457"/>
      <c r="AO31" s="458"/>
    </row>
    <row r="32" spans="1:42" s="371" customFormat="1" ht="15.75">
      <c r="B32" s="776"/>
      <c r="C32" s="453"/>
      <c r="D32" s="454"/>
      <c r="E32" s="455"/>
      <c r="F32" s="456"/>
      <c r="K32" s="457"/>
      <c r="L32" s="457"/>
      <c r="M32" s="457"/>
      <c r="N32" s="457"/>
      <c r="O32" s="457"/>
      <c r="P32" s="457"/>
      <c r="Q32" s="457"/>
      <c r="R32" s="457"/>
      <c r="S32" s="457"/>
      <c r="T32" s="457"/>
      <c r="U32" s="457"/>
      <c r="V32" s="457"/>
      <c r="W32" s="457"/>
      <c r="X32" s="457"/>
      <c r="Y32" s="457"/>
      <c r="Z32" s="457"/>
      <c r="AA32" s="457"/>
      <c r="AB32" s="457"/>
      <c r="AC32" s="457"/>
      <c r="AD32" s="457"/>
      <c r="AE32" s="457"/>
      <c r="AF32" s="457"/>
      <c r="AG32" s="457"/>
      <c r="AH32" s="457"/>
      <c r="AI32" s="457"/>
      <c r="AJ32" s="457"/>
      <c r="AK32" s="457"/>
      <c r="AL32" s="457"/>
      <c r="AM32" s="457"/>
      <c r="AN32" s="457"/>
      <c r="AO32" s="458"/>
    </row>
    <row r="33" spans="2:41" ht="15.75">
      <c r="B33" s="777"/>
      <c r="C33" s="453"/>
      <c r="D33" s="454"/>
      <c r="E33" s="455"/>
      <c r="F33" s="456"/>
      <c r="G33" s="371"/>
      <c r="H33" s="371"/>
      <c r="I33" s="371"/>
      <c r="J33" s="371"/>
      <c r="K33" s="457"/>
      <c r="L33" s="457"/>
      <c r="M33" s="457"/>
      <c r="N33" s="457"/>
      <c r="O33" s="457"/>
      <c r="P33" s="457"/>
      <c r="Q33" s="457"/>
      <c r="R33" s="457"/>
      <c r="S33" s="457"/>
      <c r="T33" s="457"/>
      <c r="U33" s="457"/>
      <c r="V33" s="457"/>
      <c r="W33" s="457"/>
      <c r="X33" s="457"/>
      <c r="Y33" s="457"/>
      <c r="Z33" s="457"/>
      <c r="AA33" s="457"/>
      <c r="AB33" s="457"/>
      <c r="AC33" s="457"/>
      <c r="AD33" s="457"/>
      <c r="AE33" s="457"/>
      <c r="AF33" s="457"/>
      <c r="AG33" s="457"/>
      <c r="AH33" s="457"/>
      <c r="AI33" s="457"/>
      <c r="AJ33" s="457"/>
      <c r="AK33" s="457"/>
      <c r="AL33" s="457"/>
      <c r="AM33" s="457"/>
      <c r="AN33" s="457"/>
      <c r="AO33" s="458"/>
    </row>
    <row r="41" spans="2:41">
      <c r="AG41" s="1016" t="s">
        <v>38</v>
      </c>
      <c r="AH41" s="1016"/>
      <c r="AI41" s="1016"/>
      <c r="AJ41" s="1016"/>
      <c r="AK41" s="1016"/>
      <c r="AL41" s="1016"/>
      <c r="AM41" s="811"/>
      <c r="AN41" s="811"/>
    </row>
  </sheetData>
  <mergeCells count="8">
    <mergeCell ref="AG41:AL41"/>
    <mergeCell ref="A2:AO2"/>
    <mergeCell ref="A3:AO3"/>
    <mergeCell ref="A4:AO4"/>
    <mergeCell ref="G6:H6"/>
    <mergeCell ref="I6:J6"/>
    <mergeCell ref="K6:AL6"/>
    <mergeCell ref="A5:AO5"/>
  </mergeCells>
  <phoneticPr fontId="64" type="noConversion"/>
  <pageMargins left="0.70866141732283472" right="0.70866141732283472" top="0.74803149606299213" bottom="0.74803149606299213" header="0.31496062992125984" footer="0.31496062992125984"/>
  <pageSetup paperSize="8" scale="85"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740"/>
  <sheetViews>
    <sheetView tabSelected="1" view="pageBreakPreview" topLeftCell="A1336" zoomScale="90" zoomScaleNormal="90" zoomScaleSheetLayoutView="90" workbookViewId="0">
      <selection activeCell="A8" sqref="A8"/>
    </sheetView>
  </sheetViews>
  <sheetFormatPr defaultColWidth="8.7109375" defaultRowHeight="15"/>
  <cols>
    <col min="1" max="1" width="11.140625" style="8" customWidth="1"/>
    <col min="2" max="3" width="8.7109375" style="8"/>
    <col min="4" max="4" width="18.85546875" style="8" customWidth="1"/>
    <col min="5" max="5" width="15.7109375" style="8" customWidth="1"/>
    <col min="6" max="6" width="8.7109375" style="8"/>
    <col min="7" max="7" width="11.140625" style="8" customWidth="1"/>
    <col min="8" max="13" width="8.7109375" style="8"/>
    <col min="14" max="14" width="16" style="8" customWidth="1"/>
    <col min="15" max="15" width="20.42578125" style="8" customWidth="1"/>
    <col min="16" max="16384" width="8.7109375" style="8"/>
  </cols>
  <sheetData>
    <row r="1" spans="1:16">
      <c r="A1" s="1030" t="s">
        <v>450</v>
      </c>
      <c r="B1" s="1031"/>
      <c r="C1" s="1031"/>
      <c r="D1" s="1031"/>
      <c r="E1" s="1031"/>
      <c r="F1" s="1031"/>
      <c r="G1" s="1031"/>
      <c r="H1" s="1031"/>
      <c r="I1" s="1031"/>
      <c r="J1" s="1031"/>
      <c r="K1" s="1031"/>
      <c r="L1" s="1031"/>
      <c r="M1" s="1031"/>
      <c r="N1" s="1031"/>
      <c r="O1" s="469"/>
      <c r="P1" s="470"/>
    </row>
    <row r="2" spans="1:16" ht="15.75" thickBot="1">
      <c r="A2" s="1032"/>
      <c r="B2" s="1033"/>
      <c r="C2" s="1033"/>
      <c r="D2" s="1033"/>
      <c r="E2" s="1033"/>
      <c r="F2" s="1033"/>
      <c r="G2" s="1033"/>
      <c r="H2" s="1033"/>
      <c r="I2" s="1033"/>
      <c r="J2" s="1033"/>
      <c r="K2" s="1033"/>
      <c r="L2" s="1033"/>
      <c r="M2" s="1033"/>
      <c r="N2" s="1033"/>
      <c r="O2" s="471"/>
      <c r="P2" s="464"/>
    </row>
    <row r="3" spans="1:16" ht="15.75" thickBot="1">
      <c r="A3" s="1034" t="s">
        <v>451</v>
      </c>
      <c r="B3" s="1035"/>
      <c r="C3" s="1035"/>
      <c r="D3" s="1035"/>
      <c r="E3" s="1035"/>
      <c r="F3" s="1035"/>
      <c r="G3" s="1035"/>
      <c r="H3" s="1035"/>
      <c r="I3" s="1035"/>
      <c r="J3" s="1035"/>
      <c r="K3" s="1035"/>
      <c r="L3" s="1035"/>
      <c r="M3" s="1035"/>
      <c r="N3" s="1035"/>
      <c r="O3" s="471"/>
      <c r="P3" s="464"/>
    </row>
    <row r="4" spans="1:16">
      <c r="A4" s="472" t="s">
        <v>483</v>
      </c>
      <c r="B4" s="405"/>
      <c r="C4" s="405"/>
      <c r="D4" s="406"/>
      <c r="E4" s="1036" t="s">
        <v>484</v>
      </c>
      <c r="F4" s="1037"/>
      <c r="G4" s="1037"/>
      <c r="H4" s="473"/>
      <c r="I4" s="473"/>
      <c r="J4" s="473"/>
      <c r="K4" s="473"/>
      <c r="L4" s="473"/>
      <c r="M4" s="473"/>
      <c r="N4" s="473"/>
      <c r="O4" s="471"/>
      <c r="P4" s="464"/>
    </row>
    <row r="5" spans="1:16">
      <c r="A5" s="474"/>
      <c r="B5" s="399" t="str">
        <f>'0422Master'!F5</f>
        <v>Burgeon IT Services Pvt.Ltd.</v>
      </c>
      <c r="C5" s="399"/>
      <c r="D5" s="408"/>
      <c r="E5" s="475"/>
      <c r="F5" s="476"/>
      <c r="G5" s="1038" t="str">
        <f>'0422Master'!B16</f>
        <v>Shaikh Mohammed Sartaj</v>
      </c>
      <c r="H5" s="1038"/>
      <c r="I5" s="1038"/>
      <c r="J5" s="476"/>
      <c r="K5" s="476"/>
      <c r="L5" s="476"/>
      <c r="M5" s="476"/>
      <c r="N5" s="476"/>
      <c r="O5" s="471"/>
      <c r="P5" s="464"/>
    </row>
    <row r="6" spans="1:16" ht="15.75" thickBot="1">
      <c r="A6" s="410"/>
      <c r="B6" s="411" t="str">
        <f>'0422Master'!F6</f>
        <v>Siri Mansion LIGB 436 Dr.A S Rao Nagar,Hyderabad</v>
      </c>
      <c r="C6" s="411"/>
      <c r="D6" s="412"/>
      <c r="E6" s="475"/>
      <c r="F6" s="476"/>
      <c r="G6" s="476"/>
      <c r="H6" s="476"/>
      <c r="I6" s="476"/>
      <c r="J6" s="476"/>
      <c r="K6" s="476"/>
      <c r="L6" s="476"/>
      <c r="M6" s="476"/>
      <c r="N6" s="476"/>
      <c r="O6" s="471"/>
      <c r="P6" s="464"/>
    </row>
    <row r="7" spans="1:16">
      <c r="A7" s="404" t="s">
        <v>485</v>
      </c>
      <c r="B7" s="405"/>
      <c r="C7" s="405"/>
      <c r="D7" s="406"/>
      <c r="E7" s="404" t="s">
        <v>452</v>
      </c>
      <c r="F7" s="405"/>
      <c r="G7" s="477">
        <f>'0422Master'!N16</f>
        <v>44470</v>
      </c>
      <c r="H7" s="405"/>
      <c r="I7" s="405"/>
      <c r="J7" s="405"/>
      <c r="K7" s="405"/>
      <c r="L7" s="405"/>
      <c r="M7" s="405"/>
      <c r="N7" s="405"/>
      <c r="O7" s="471"/>
      <c r="P7" s="464"/>
    </row>
    <row r="8" spans="1:16">
      <c r="A8" s="474"/>
      <c r="B8" s="399"/>
      <c r="C8" s="399">
        <f>'0422Master'!F488</f>
        <v>0</v>
      </c>
      <c r="D8" s="408"/>
      <c r="E8" s="407"/>
      <c r="F8" s="399"/>
      <c r="G8" s="399"/>
      <c r="H8" s="399"/>
      <c r="I8" s="399"/>
      <c r="J8" s="399"/>
      <c r="K8" s="399"/>
      <c r="L8" s="399"/>
      <c r="M8" s="399"/>
      <c r="N8" s="399"/>
      <c r="O8" s="471"/>
      <c r="P8" s="464"/>
    </row>
    <row r="9" spans="1:16">
      <c r="A9" s="474"/>
      <c r="B9" s="399"/>
      <c r="C9" s="399"/>
      <c r="D9" s="408"/>
      <c r="E9" s="478"/>
      <c r="F9" s="399"/>
      <c r="G9" s="399"/>
      <c r="H9" s="399"/>
      <c r="I9" s="399"/>
      <c r="J9" s="399"/>
      <c r="K9" s="399"/>
      <c r="L9" s="399"/>
      <c r="M9" s="399"/>
      <c r="N9" s="399"/>
      <c r="O9" s="471"/>
      <c r="P9" s="464"/>
    </row>
    <row r="10" spans="1:16" ht="15.75" thickBot="1">
      <c r="A10" s="479"/>
      <c r="B10" s="402"/>
      <c r="C10" s="402"/>
      <c r="D10" s="480"/>
      <c r="E10" s="410"/>
      <c r="F10" s="411"/>
      <c r="G10" s="411"/>
      <c r="H10" s="411"/>
      <c r="I10" s="411"/>
      <c r="J10" s="411"/>
      <c r="K10" s="411"/>
      <c r="L10" s="411"/>
      <c r="M10" s="411"/>
      <c r="N10" s="411"/>
      <c r="O10" s="481"/>
      <c r="P10" s="468"/>
    </row>
    <row r="11" spans="1:16">
      <c r="A11" s="1039" t="s">
        <v>5</v>
      </c>
      <c r="B11" s="1041" t="s">
        <v>453</v>
      </c>
      <c r="C11" s="1042"/>
      <c r="D11" s="1041" t="s">
        <v>454</v>
      </c>
      <c r="E11" s="1044"/>
      <c r="F11" s="989" t="s">
        <v>455</v>
      </c>
      <c r="G11" s="1043" t="s">
        <v>456</v>
      </c>
      <c r="H11" s="1047"/>
      <c r="I11" s="1048" t="s">
        <v>457</v>
      </c>
      <c r="J11" s="1047"/>
      <c r="K11" s="1049"/>
      <c r="L11" s="1048" t="s">
        <v>458</v>
      </c>
      <c r="M11" s="1047"/>
      <c r="N11" s="1047"/>
      <c r="O11" s="1027" t="s">
        <v>459</v>
      </c>
      <c r="P11" s="1027" t="s">
        <v>40</v>
      </c>
    </row>
    <row r="12" spans="1:16" ht="15.75" thickBot="1">
      <c r="A12" s="1040"/>
      <c r="B12" s="1043"/>
      <c r="C12" s="1044"/>
      <c r="D12" s="1043"/>
      <c r="E12" s="1044"/>
      <c r="F12" s="985"/>
      <c r="G12" s="1043"/>
      <c r="H12" s="1047"/>
      <c r="I12" s="1050"/>
      <c r="J12" s="1051"/>
      <c r="K12" s="1052"/>
      <c r="L12" s="1050"/>
      <c r="M12" s="1051"/>
      <c r="N12" s="1051"/>
      <c r="O12" s="1028"/>
      <c r="P12" s="1028"/>
    </row>
    <row r="13" spans="1:16">
      <c r="A13" s="482">
        <v>1</v>
      </c>
      <c r="B13" s="1045"/>
      <c r="C13" s="1046"/>
      <c r="D13" s="1045"/>
      <c r="E13" s="1046"/>
      <c r="F13" s="414">
        <v>6</v>
      </c>
      <c r="G13" s="1045"/>
      <c r="H13" s="1046"/>
      <c r="I13" s="483">
        <v>9</v>
      </c>
      <c r="J13" s="483"/>
      <c r="K13" s="483"/>
      <c r="L13" s="483">
        <v>9</v>
      </c>
      <c r="M13" s="483"/>
      <c r="N13" s="483"/>
      <c r="O13" s="484" t="s">
        <v>460</v>
      </c>
      <c r="P13" s="485"/>
    </row>
    <row r="14" spans="1:16" ht="51">
      <c r="A14" s="459"/>
      <c r="B14" s="394" t="s">
        <v>461</v>
      </c>
      <c r="C14" s="394" t="s">
        <v>462</v>
      </c>
      <c r="D14" s="394" t="s">
        <v>463</v>
      </c>
      <c r="E14" s="394" t="s">
        <v>134</v>
      </c>
      <c r="F14" s="394"/>
      <c r="G14" s="394" t="s">
        <v>464</v>
      </c>
      <c r="H14" s="394" t="s">
        <v>465</v>
      </c>
      <c r="I14" s="394" t="s">
        <v>466</v>
      </c>
      <c r="J14" s="394" t="s">
        <v>467</v>
      </c>
      <c r="K14" s="394" t="s">
        <v>468</v>
      </c>
      <c r="L14" s="394" t="s">
        <v>469</v>
      </c>
      <c r="M14" s="394" t="s">
        <v>470</v>
      </c>
      <c r="N14" s="486" t="s">
        <v>471</v>
      </c>
      <c r="O14" s="487"/>
      <c r="P14" s="488"/>
    </row>
    <row r="15" spans="1:16">
      <c r="A15" s="459"/>
      <c r="B15" s="489"/>
      <c r="C15" s="394"/>
      <c r="D15" s="394"/>
      <c r="E15" s="394"/>
      <c r="F15" s="394"/>
      <c r="G15" s="394"/>
      <c r="H15" s="394"/>
      <c r="I15" s="394"/>
      <c r="J15" s="394"/>
      <c r="K15" s="394"/>
      <c r="L15" s="394"/>
      <c r="M15" s="394"/>
      <c r="N15" s="394"/>
      <c r="O15" s="460"/>
      <c r="P15" s="461"/>
    </row>
    <row r="16" spans="1:16">
      <c r="A16" s="490"/>
      <c r="B16" s="394"/>
      <c r="C16" s="394"/>
      <c r="D16" s="491"/>
      <c r="E16" s="491"/>
      <c r="F16" s="394"/>
      <c r="G16" s="394"/>
      <c r="H16" s="394"/>
      <c r="I16" s="394"/>
      <c r="J16" s="394"/>
      <c r="K16" s="394"/>
      <c r="L16" s="394"/>
      <c r="M16" s="394"/>
      <c r="N16" s="394"/>
      <c r="O16" s="460"/>
      <c r="P16" s="461"/>
    </row>
    <row r="17" spans="1:17">
      <c r="A17" s="1362" t="s">
        <v>822</v>
      </c>
      <c r="B17" s="460">
        <v>1.5</v>
      </c>
      <c r="C17" s="460">
        <v>0</v>
      </c>
      <c r="D17" s="460">
        <v>0</v>
      </c>
      <c r="E17" s="460">
        <v>0</v>
      </c>
      <c r="F17" s="460">
        <v>4</v>
      </c>
      <c r="G17" s="460"/>
      <c r="H17" s="460"/>
      <c r="I17" s="1361" t="s">
        <v>493</v>
      </c>
      <c r="J17" s="1361" t="s">
        <v>493</v>
      </c>
      <c r="K17" s="1361" t="s">
        <v>493</v>
      </c>
      <c r="L17" s="394"/>
      <c r="M17" s="394"/>
      <c r="N17" s="394"/>
      <c r="O17" s="460"/>
      <c r="P17" s="461"/>
    </row>
    <row r="18" spans="1:17">
      <c r="A18" s="490" t="s">
        <v>871</v>
      </c>
      <c r="B18" s="394">
        <v>1.5</v>
      </c>
      <c r="C18" s="394">
        <v>1</v>
      </c>
      <c r="D18" s="491">
        <v>44596</v>
      </c>
      <c r="E18" s="491">
        <v>44596</v>
      </c>
      <c r="F18" s="806">
        <f>F17+B18-C18</f>
        <v>4.5</v>
      </c>
      <c r="G18" s="394"/>
      <c r="H18" s="394"/>
      <c r="I18" s="394" t="s">
        <v>493</v>
      </c>
      <c r="J18" s="394" t="s">
        <v>493</v>
      </c>
      <c r="K18" s="394" t="s">
        <v>493</v>
      </c>
      <c r="L18" s="394"/>
      <c r="M18" s="394"/>
      <c r="N18" s="394"/>
      <c r="O18" s="460"/>
      <c r="P18" s="461"/>
    </row>
    <row r="19" spans="1:17">
      <c r="A19" s="537" t="s">
        <v>894</v>
      </c>
      <c r="B19" s="394">
        <v>1.5</v>
      </c>
      <c r="C19" s="394">
        <v>1</v>
      </c>
      <c r="D19" s="491">
        <v>44648</v>
      </c>
      <c r="E19" s="491">
        <v>44648</v>
      </c>
      <c r="F19" s="852">
        <f>F18+B19-C19</f>
        <v>5</v>
      </c>
      <c r="G19" s="394"/>
      <c r="H19" s="394"/>
      <c r="I19" s="394" t="s">
        <v>493</v>
      </c>
      <c r="J19" s="394" t="s">
        <v>493</v>
      </c>
      <c r="K19" s="394" t="s">
        <v>493</v>
      </c>
      <c r="L19" s="553"/>
      <c r="M19" s="553"/>
      <c r="N19" s="553"/>
      <c r="O19" s="460"/>
      <c r="P19" s="461"/>
    </row>
    <row r="20" spans="1:17">
      <c r="A20" s="1359" t="s">
        <v>901</v>
      </c>
      <c r="B20" s="394">
        <v>1.5</v>
      </c>
      <c r="C20" s="394">
        <v>1</v>
      </c>
      <c r="D20" s="491">
        <v>44659</v>
      </c>
      <c r="E20" s="491">
        <v>44659</v>
      </c>
      <c r="F20" s="856">
        <f>F19+B20-C20</f>
        <v>5.5</v>
      </c>
      <c r="G20" s="394"/>
      <c r="H20" s="394"/>
      <c r="I20" s="394" t="s">
        <v>493</v>
      </c>
      <c r="J20" s="394" t="s">
        <v>493</v>
      </c>
      <c r="K20" s="394" t="s">
        <v>493</v>
      </c>
      <c r="L20" s="394"/>
      <c r="M20" s="394"/>
      <c r="N20" s="394"/>
      <c r="O20" s="460"/>
      <c r="P20" s="461"/>
      <c r="Q20" s="8">
        <v>1</v>
      </c>
    </row>
    <row r="21" spans="1:17">
      <c r="A21" s="492"/>
      <c r="B21" s="394"/>
      <c r="C21" s="394"/>
      <c r="D21" s="394"/>
      <c r="E21" s="394"/>
      <c r="F21" s="394"/>
      <c r="G21" s="394"/>
      <c r="H21" s="394"/>
      <c r="I21" s="394"/>
      <c r="J21" s="394"/>
      <c r="K21" s="394"/>
      <c r="L21" s="394"/>
      <c r="M21" s="394"/>
      <c r="N21" s="394"/>
      <c r="O21" s="460"/>
      <c r="P21" s="461"/>
    </row>
    <row r="22" spans="1:17">
      <c r="A22" s="492"/>
      <c r="B22" s="394"/>
      <c r="C22" s="394"/>
      <c r="D22" s="394"/>
      <c r="E22" s="394"/>
      <c r="F22" s="394"/>
      <c r="G22" s="394"/>
      <c r="H22" s="394"/>
      <c r="I22" s="394"/>
      <c r="J22" s="394"/>
      <c r="K22" s="394"/>
      <c r="L22" s="394"/>
      <c r="M22" s="394"/>
      <c r="N22" s="394"/>
      <c r="O22" s="460"/>
      <c r="P22" s="461"/>
    </row>
    <row r="23" spans="1:17">
      <c r="A23" s="492"/>
      <c r="B23" s="394"/>
      <c r="C23" s="394"/>
      <c r="D23" s="394"/>
      <c r="E23" s="394"/>
      <c r="F23" s="394"/>
      <c r="G23" s="394"/>
      <c r="H23" s="394"/>
      <c r="I23" s="394"/>
      <c r="J23" s="394"/>
      <c r="K23" s="394"/>
      <c r="L23" s="394"/>
      <c r="M23" s="394"/>
      <c r="N23" s="394"/>
      <c r="O23" s="460"/>
      <c r="P23" s="461"/>
    </row>
    <row r="24" spans="1:17">
      <c r="A24" s="492"/>
      <c r="B24" s="394"/>
      <c r="C24" s="394"/>
      <c r="D24" s="394"/>
      <c r="E24" s="394"/>
      <c r="F24" s="394"/>
      <c r="G24" s="394"/>
      <c r="H24" s="394"/>
      <c r="I24" s="394"/>
      <c r="J24" s="394"/>
      <c r="K24" s="394"/>
      <c r="L24" s="394"/>
      <c r="M24" s="394"/>
      <c r="N24" s="394"/>
      <c r="O24" s="460"/>
      <c r="P24" s="461"/>
    </row>
    <row r="25" spans="1:17">
      <c r="A25" s="492"/>
      <c r="B25" s="394"/>
      <c r="C25" s="394"/>
      <c r="D25" s="491"/>
      <c r="E25" s="491"/>
      <c r="F25" s="394"/>
      <c r="G25" s="394"/>
      <c r="H25" s="394"/>
      <c r="I25" s="394"/>
      <c r="J25" s="394"/>
      <c r="K25" s="394"/>
      <c r="L25" s="394"/>
      <c r="M25" s="394"/>
      <c r="N25" s="394"/>
      <c r="O25" s="460"/>
      <c r="P25" s="461"/>
    </row>
    <row r="26" spans="1:17">
      <c r="A26" s="492"/>
      <c r="B26" s="394"/>
      <c r="C26" s="394"/>
      <c r="D26" s="491"/>
      <c r="E26" s="491"/>
      <c r="F26" s="394"/>
      <c r="G26" s="394"/>
      <c r="H26" s="394"/>
      <c r="I26" s="394"/>
      <c r="J26" s="394"/>
      <c r="K26" s="394"/>
      <c r="L26" s="394"/>
      <c r="M26" s="394"/>
      <c r="N26" s="394"/>
      <c r="O26" s="460"/>
      <c r="P26" s="461"/>
    </row>
    <row r="27" spans="1:17">
      <c r="A27" s="492"/>
      <c r="B27" s="394"/>
      <c r="C27" s="394"/>
      <c r="D27" s="491"/>
      <c r="E27" s="491"/>
      <c r="F27" s="394"/>
      <c r="G27" s="394"/>
      <c r="H27" s="394"/>
      <c r="I27" s="394"/>
      <c r="J27" s="394"/>
      <c r="K27" s="394"/>
      <c r="L27" s="394"/>
      <c r="M27" s="394"/>
      <c r="N27" s="394"/>
      <c r="O27" s="460"/>
      <c r="P27" s="461"/>
    </row>
    <row r="28" spans="1:17">
      <c r="A28" s="492"/>
      <c r="B28" s="394"/>
      <c r="C28" s="394"/>
      <c r="D28" s="491"/>
      <c r="E28" s="491"/>
      <c r="F28" s="394"/>
      <c r="G28" s="394"/>
      <c r="H28" s="394"/>
      <c r="I28" s="394"/>
      <c r="J28" s="394"/>
      <c r="K28" s="394"/>
      <c r="L28" s="394"/>
      <c r="M28" s="394"/>
      <c r="N28" s="394"/>
      <c r="O28" s="460"/>
      <c r="P28" s="461"/>
    </row>
    <row r="29" spans="1:17">
      <c r="A29" s="492"/>
      <c r="B29" s="394"/>
      <c r="C29" s="394"/>
      <c r="D29" s="491"/>
      <c r="E29" s="491"/>
      <c r="F29" s="394"/>
      <c r="G29" s="394"/>
      <c r="H29" s="394"/>
      <c r="I29" s="394"/>
      <c r="J29" s="394"/>
      <c r="K29" s="394"/>
      <c r="L29" s="394"/>
      <c r="M29" s="394"/>
      <c r="N29" s="394"/>
      <c r="O29" s="460"/>
      <c r="P29" s="461"/>
    </row>
    <row r="30" spans="1:17">
      <c r="A30" s="492"/>
      <c r="B30" s="394"/>
      <c r="C30" s="394"/>
      <c r="D30" s="491"/>
      <c r="E30" s="491"/>
      <c r="F30" s="394"/>
      <c r="G30" s="394"/>
      <c r="H30" s="394"/>
      <c r="I30" s="394"/>
      <c r="J30" s="394"/>
      <c r="K30" s="394"/>
      <c r="L30" s="394"/>
      <c r="M30" s="394"/>
      <c r="N30" s="394"/>
      <c r="O30" s="460"/>
      <c r="P30" s="461"/>
    </row>
    <row r="31" spans="1:17">
      <c r="A31" s="459"/>
      <c r="B31" s="394"/>
      <c r="C31" s="394"/>
      <c r="D31" s="394"/>
      <c r="E31" s="394"/>
      <c r="F31" s="394"/>
      <c r="G31" s="394"/>
      <c r="H31" s="394"/>
      <c r="I31" s="394"/>
      <c r="J31" s="394"/>
      <c r="K31" s="394"/>
      <c r="L31" s="394"/>
      <c r="M31" s="394"/>
      <c r="N31" s="394"/>
      <c r="O31" s="460"/>
      <c r="P31" s="461"/>
    </row>
    <row r="32" spans="1:17">
      <c r="A32" s="459"/>
      <c r="B32" s="394"/>
      <c r="C32" s="394"/>
      <c r="D32" s="394"/>
      <c r="E32" s="394"/>
      <c r="F32" s="394"/>
      <c r="G32" s="394"/>
      <c r="H32" s="394"/>
      <c r="I32" s="394"/>
      <c r="J32" s="394"/>
      <c r="K32" s="394"/>
      <c r="L32" s="394"/>
      <c r="M32" s="394"/>
      <c r="N32" s="394"/>
      <c r="O32" s="460"/>
      <c r="P32" s="461"/>
    </row>
    <row r="33" spans="1:16">
      <c r="A33" s="459"/>
      <c r="B33" s="394"/>
      <c r="C33" s="394"/>
      <c r="D33" s="394"/>
      <c r="E33" s="394"/>
      <c r="F33" s="394"/>
      <c r="G33" s="394"/>
      <c r="H33" s="394"/>
      <c r="I33" s="394"/>
      <c r="J33" s="394"/>
      <c r="K33" s="394"/>
      <c r="L33" s="394"/>
      <c r="M33" s="394"/>
      <c r="N33" s="394"/>
      <c r="O33" s="460"/>
      <c r="P33" s="461"/>
    </row>
    <row r="34" spans="1:16">
      <c r="A34" s="459"/>
      <c r="B34" s="394"/>
      <c r="C34" s="394"/>
      <c r="D34" s="394"/>
      <c r="E34" s="394"/>
      <c r="F34" s="394"/>
      <c r="G34" s="394"/>
      <c r="H34" s="394"/>
      <c r="I34" s="394"/>
      <c r="J34" s="394"/>
      <c r="K34" s="394"/>
      <c r="L34" s="394"/>
      <c r="M34" s="394"/>
      <c r="N34" s="394"/>
      <c r="O34" s="460"/>
      <c r="P34" s="461"/>
    </row>
    <row r="35" spans="1:16">
      <c r="A35" s="459"/>
      <c r="B35" s="394"/>
      <c r="C35" s="394"/>
      <c r="D35" s="394"/>
      <c r="E35" s="394"/>
      <c r="F35" s="394"/>
      <c r="G35" s="394"/>
      <c r="H35" s="394"/>
      <c r="I35" s="394"/>
      <c r="J35" s="394"/>
      <c r="K35" s="394"/>
      <c r="L35" s="394"/>
      <c r="M35" s="394"/>
      <c r="N35" s="394"/>
      <c r="O35" s="460"/>
      <c r="P35" s="461"/>
    </row>
    <row r="36" spans="1:16">
      <c r="A36" s="474"/>
      <c r="B36" s="399"/>
      <c r="C36" s="399"/>
      <c r="D36" s="399"/>
      <c r="E36" s="399"/>
      <c r="F36" s="399"/>
      <c r="G36" s="399"/>
      <c r="H36" s="399"/>
      <c r="I36" s="399"/>
      <c r="J36" s="399"/>
      <c r="K36" s="399"/>
      <c r="L36" s="399"/>
      <c r="M36" s="399"/>
      <c r="N36" s="399"/>
      <c r="O36" s="494"/>
      <c r="P36" s="495"/>
    </row>
    <row r="37" spans="1:16">
      <c r="A37" s="474"/>
      <c r="B37" s="399"/>
      <c r="C37" s="399"/>
      <c r="D37" s="399"/>
      <c r="E37" s="399"/>
      <c r="F37" s="399"/>
      <c r="G37" s="399"/>
      <c r="H37" s="399"/>
      <c r="I37" s="399"/>
      <c r="J37" s="399"/>
      <c r="K37" s="399"/>
      <c r="L37" s="399"/>
      <c r="M37" s="399"/>
      <c r="N37" s="399"/>
      <c r="O37" s="494"/>
      <c r="P37" s="495"/>
    </row>
    <row r="38" spans="1:16">
      <c r="A38" s="474"/>
      <c r="B38" s="399"/>
      <c r="C38" s="399"/>
      <c r="D38" s="399"/>
      <c r="E38" s="399"/>
      <c r="F38" s="399"/>
      <c r="G38" s="399"/>
      <c r="H38" s="399"/>
      <c r="I38" s="399"/>
      <c r="J38" s="399"/>
      <c r="K38" s="399"/>
      <c r="L38" s="399"/>
      <c r="M38" s="399"/>
      <c r="N38" s="399"/>
      <c r="O38" s="494"/>
      <c r="P38" s="495"/>
    </row>
    <row r="39" spans="1:16">
      <c r="A39" s="463"/>
      <c r="B39" s="462"/>
      <c r="C39" s="462"/>
      <c r="D39" s="462"/>
      <c r="E39" s="462"/>
      <c r="F39" s="462"/>
      <c r="G39" s="462"/>
      <c r="H39" s="462"/>
      <c r="I39" s="462"/>
      <c r="J39" s="462"/>
      <c r="K39" s="462"/>
      <c r="L39" s="462"/>
      <c r="M39" s="462"/>
      <c r="N39" s="462"/>
      <c r="O39" s="371"/>
      <c r="P39" s="464"/>
    </row>
    <row r="40" spans="1:16">
      <c r="A40" s="463"/>
      <c r="B40" s="462"/>
      <c r="C40" s="462"/>
      <c r="D40" s="462"/>
      <c r="E40" s="462"/>
      <c r="F40" s="462"/>
      <c r="G40" s="462"/>
      <c r="H40" s="462"/>
      <c r="I40" s="462"/>
      <c r="J40" s="462"/>
      <c r="K40" s="462"/>
      <c r="L40" s="462"/>
      <c r="M40" s="462"/>
      <c r="N40" s="462"/>
      <c r="O40" s="371"/>
      <c r="P40" s="464"/>
    </row>
    <row r="41" spans="1:16">
      <c r="A41" s="463"/>
      <c r="B41" s="462"/>
      <c r="C41" s="462"/>
      <c r="D41" s="462"/>
      <c r="E41" s="462"/>
      <c r="F41" s="462"/>
      <c r="G41" s="462"/>
      <c r="H41" s="462"/>
      <c r="I41" s="462"/>
      <c r="J41" s="462"/>
      <c r="K41" s="462"/>
      <c r="L41" s="462"/>
      <c r="M41" s="462"/>
      <c r="N41" s="462"/>
      <c r="O41" s="371"/>
      <c r="P41" s="464"/>
    </row>
    <row r="42" spans="1:16" ht="15.75" thickBot="1">
      <c r="A42" s="465"/>
      <c r="B42" s="466"/>
      <c r="C42" s="466"/>
      <c r="D42" s="466"/>
      <c r="E42" s="466"/>
      <c r="F42" s="466"/>
      <c r="G42" s="1029" t="s">
        <v>38</v>
      </c>
      <c r="H42" s="1029"/>
      <c r="I42" s="1029"/>
      <c r="J42" s="1029"/>
      <c r="K42" s="1029"/>
      <c r="L42" s="1029"/>
      <c r="M42" s="1029"/>
      <c r="N42" s="1029"/>
      <c r="O42" s="467"/>
      <c r="P42" s="468"/>
    </row>
    <row r="79" spans="1:16" ht="15.75" thickBot="1"/>
    <row r="80" spans="1:16">
      <c r="A80" s="1030" t="s">
        <v>450</v>
      </c>
      <c r="B80" s="1031"/>
      <c r="C80" s="1031"/>
      <c r="D80" s="1031"/>
      <c r="E80" s="1031"/>
      <c r="F80" s="1031"/>
      <c r="G80" s="1031"/>
      <c r="H80" s="1031"/>
      <c r="I80" s="1031"/>
      <c r="J80" s="1031"/>
      <c r="K80" s="1031"/>
      <c r="L80" s="1031"/>
      <c r="M80" s="1031"/>
      <c r="N80" s="1031"/>
      <c r="O80" s="469"/>
      <c r="P80" s="470"/>
    </row>
    <row r="81" spans="1:16" ht="15.75" thickBot="1">
      <c r="A81" s="1032"/>
      <c r="B81" s="1033"/>
      <c r="C81" s="1033"/>
      <c r="D81" s="1033"/>
      <c r="E81" s="1033"/>
      <c r="F81" s="1033"/>
      <c r="G81" s="1033"/>
      <c r="H81" s="1033"/>
      <c r="I81" s="1033"/>
      <c r="J81" s="1033"/>
      <c r="K81" s="1033"/>
      <c r="L81" s="1033"/>
      <c r="M81" s="1033"/>
      <c r="N81" s="1033"/>
      <c r="O81" s="471"/>
      <c r="P81" s="464"/>
    </row>
    <row r="82" spans="1:16" ht="15.75" thickBot="1">
      <c r="A82" s="1034" t="s">
        <v>451</v>
      </c>
      <c r="B82" s="1035"/>
      <c r="C82" s="1035"/>
      <c r="D82" s="1035"/>
      <c r="E82" s="1035"/>
      <c r="F82" s="1035"/>
      <c r="G82" s="1035"/>
      <c r="H82" s="1035"/>
      <c r="I82" s="1035"/>
      <c r="J82" s="1035"/>
      <c r="K82" s="1035"/>
      <c r="L82" s="1035"/>
      <c r="M82" s="1035"/>
      <c r="N82" s="1035"/>
      <c r="O82" s="471"/>
      <c r="P82" s="464"/>
    </row>
    <row r="83" spans="1:16">
      <c r="A83" s="472" t="s">
        <v>483</v>
      </c>
      <c r="B83" s="405"/>
      <c r="C83" s="405"/>
      <c r="D83" s="406"/>
      <c r="E83" s="1036" t="s">
        <v>484</v>
      </c>
      <c r="F83" s="1037"/>
      <c r="G83" s="1037"/>
      <c r="H83" s="473"/>
      <c r="I83" s="473"/>
      <c r="J83" s="473"/>
      <c r="K83" s="473"/>
      <c r="L83" s="473"/>
      <c r="M83" s="473"/>
      <c r="N83" s="473"/>
      <c r="O83" s="471"/>
      <c r="P83" s="464"/>
    </row>
    <row r="84" spans="1:16">
      <c r="A84" s="474"/>
      <c r="B84" s="399" t="str">
        <f>'0422Master'!F5</f>
        <v>Burgeon IT Services Pvt.Ltd.</v>
      </c>
      <c r="C84" s="399"/>
      <c r="D84" s="408"/>
      <c r="E84" s="475"/>
      <c r="F84" s="476"/>
      <c r="G84" s="1038" t="str">
        <f>'0422Master'!B17</f>
        <v>Moin Ahemad Jahur Ahemad Kumarkiri</v>
      </c>
      <c r="H84" s="1038"/>
      <c r="I84" s="1038"/>
      <c r="J84" s="476"/>
      <c r="K84" s="476"/>
      <c r="L84" s="476"/>
      <c r="M84" s="476"/>
      <c r="N84" s="476"/>
      <c r="O84" s="471"/>
      <c r="P84" s="464"/>
    </row>
    <row r="85" spans="1:16" ht="15.75" thickBot="1">
      <c r="A85" s="410"/>
      <c r="B85" s="411" t="str">
        <f>'0422Master'!F6</f>
        <v>Siri Mansion LIGB 436 Dr.A S Rao Nagar,Hyderabad</v>
      </c>
      <c r="C85" s="411"/>
      <c r="D85" s="412"/>
      <c r="E85" s="475"/>
      <c r="F85" s="476"/>
      <c r="G85" s="476"/>
      <c r="H85" s="476"/>
      <c r="I85" s="476"/>
      <c r="J85" s="476"/>
      <c r="K85" s="476"/>
      <c r="L85" s="476"/>
      <c r="M85" s="476"/>
      <c r="N85" s="476"/>
      <c r="O85" s="471"/>
      <c r="P85" s="464"/>
    </row>
    <row r="86" spans="1:16">
      <c r="A86" s="404" t="s">
        <v>485</v>
      </c>
      <c r="B86" s="405"/>
      <c r="C86" s="405"/>
      <c r="D86" s="406"/>
      <c r="E86" s="404" t="s">
        <v>452</v>
      </c>
      <c r="F86" s="405"/>
      <c r="G86" s="477">
        <f>'0422Master'!N17</f>
        <v>44491</v>
      </c>
      <c r="H86" s="405"/>
      <c r="I86" s="405"/>
      <c r="J86" s="405"/>
      <c r="K86" s="405"/>
      <c r="L86" s="405"/>
      <c r="M86" s="405"/>
      <c r="N86" s="405"/>
      <c r="O86" s="471"/>
      <c r="P86" s="464"/>
    </row>
    <row r="87" spans="1:16">
      <c r="A87" s="474"/>
      <c r="B87" s="399"/>
      <c r="C87" s="399" t="str">
        <f>'0422Master'!F8</f>
        <v>IT SUPPORTIVE SERVICES&amp; PUNE SEZ UNIT-II</v>
      </c>
      <c r="D87" s="408"/>
      <c r="E87" s="407"/>
      <c r="F87" s="399"/>
      <c r="G87" s="399"/>
      <c r="H87" s="399"/>
      <c r="I87" s="399"/>
      <c r="J87" s="399"/>
      <c r="K87" s="399"/>
      <c r="L87" s="399"/>
      <c r="M87" s="399"/>
      <c r="N87" s="399"/>
      <c r="O87" s="471"/>
      <c r="P87" s="464"/>
    </row>
    <row r="88" spans="1:16">
      <c r="A88" s="474"/>
      <c r="B88" s="399"/>
      <c r="C88" s="399"/>
      <c r="D88" s="408"/>
      <c r="E88" s="478"/>
      <c r="F88" s="399"/>
      <c r="G88" s="399"/>
      <c r="H88" s="399"/>
      <c r="I88" s="399"/>
      <c r="J88" s="399"/>
      <c r="K88" s="399"/>
      <c r="L88" s="399"/>
      <c r="M88" s="399"/>
      <c r="N88" s="399"/>
      <c r="O88" s="471"/>
      <c r="P88" s="464"/>
    </row>
    <row r="89" spans="1:16" ht="15.75" thickBot="1">
      <c r="A89" s="479"/>
      <c r="B89" s="402"/>
      <c r="C89" s="402"/>
      <c r="D89" s="480"/>
      <c r="E89" s="410"/>
      <c r="F89" s="411"/>
      <c r="G89" s="411"/>
      <c r="H89" s="411"/>
      <c r="I89" s="411"/>
      <c r="J89" s="411"/>
      <c r="K89" s="411"/>
      <c r="L89" s="411"/>
      <c r="M89" s="411"/>
      <c r="N89" s="411"/>
      <c r="O89" s="481"/>
      <c r="P89" s="468"/>
    </row>
    <row r="90" spans="1:16">
      <c r="A90" s="1039" t="s">
        <v>5</v>
      </c>
      <c r="B90" s="1041" t="s">
        <v>453</v>
      </c>
      <c r="C90" s="1042"/>
      <c r="D90" s="1041" t="s">
        <v>454</v>
      </c>
      <c r="E90" s="1044"/>
      <c r="F90" s="989" t="s">
        <v>455</v>
      </c>
      <c r="G90" s="1043" t="s">
        <v>456</v>
      </c>
      <c r="H90" s="1047"/>
      <c r="I90" s="1048" t="s">
        <v>457</v>
      </c>
      <c r="J90" s="1047"/>
      <c r="K90" s="1049"/>
      <c r="L90" s="1048" t="s">
        <v>458</v>
      </c>
      <c r="M90" s="1047"/>
      <c r="N90" s="1047"/>
      <c r="O90" s="1027" t="s">
        <v>459</v>
      </c>
      <c r="P90" s="1027" t="s">
        <v>40</v>
      </c>
    </row>
    <row r="91" spans="1:16" ht="15.75" thickBot="1">
      <c r="A91" s="1040"/>
      <c r="B91" s="1043"/>
      <c r="C91" s="1044"/>
      <c r="D91" s="1043"/>
      <c r="E91" s="1044"/>
      <c r="F91" s="985"/>
      <c r="G91" s="1043"/>
      <c r="H91" s="1047"/>
      <c r="I91" s="1050"/>
      <c r="J91" s="1051"/>
      <c r="K91" s="1052"/>
      <c r="L91" s="1050"/>
      <c r="M91" s="1051"/>
      <c r="N91" s="1051"/>
      <c r="O91" s="1028"/>
      <c r="P91" s="1028"/>
    </row>
    <row r="92" spans="1:16">
      <c r="A92" s="482">
        <v>1</v>
      </c>
      <c r="B92" s="1045"/>
      <c r="C92" s="1046"/>
      <c r="D92" s="1045"/>
      <c r="E92" s="1046"/>
      <c r="F92" s="414">
        <v>6</v>
      </c>
      <c r="G92" s="1045"/>
      <c r="H92" s="1046"/>
      <c r="I92" s="483">
        <v>9</v>
      </c>
      <c r="J92" s="483"/>
      <c r="K92" s="483"/>
      <c r="L92" s="483">
        <v>9</v>
      </c>
      <c r="M92" s="483"/>
      <c r="N92" s="483"/>
      <c r="O92" s="484" t="s">
        <v>460</v>
      </c>
      <c r="P92" s="485"/>
    </row>
    <row r="93" spans="1:16" ht="51">
      <c r="A93" s="459"/>
      <c r="B93" s="394" t="s">
        <v>461</v>
      </c>
      <c r="C93" s="394" t="s">
        <v>462</v>
      </c>
      <c r="D93" s="394" t="s">
        <v>463</v>
      </c>
      <c r="E93" s="394" t="s">
        <v>134</v>
      </c>
      <c r="F93" s="394"/>
      <c r="G93" s="394" t="s">
        <v>464</v>
      </c>
      <c r="H93" s="394" t="s">
        <v>465</v>
      </c>
      <c r="I93" s="394" t="s">
        <v>466</v>
      </c>
      <c r="J93" s="394" t="s">
        <v>467</v>
      </c>
      <c r="K93" s="394" t="s">
        <v>468</v>
      </c>
      <c r="L93" s="394" t="s">
        <v>469</v>
      </c>
      <c r="M93" s="394" t="s">
        <v>470</v>
      </c>
      <c r="N93" s="486" t="s">
        <v>471</v>
      </c>
      <c r="O93" s="487"/>
      <c r="P93" s="488"/>
    </row>
    <row r="94" spans="1:16">
      <c r="A94" s="459"/>
      <c r="B94" s="489"/>
      <c r="C94" s="394"/>
      <c r="D94" s="394"/>
      <c r="E94" s="394"/>
      <c r="F94" s="394"/>
      <c r="G94" s="394"/>
      <c r="H94" s="394"/>
      <c r="I94" s="394"/>
      <c r="J94" s="394"/>
      <c r="K94" s="394"/>
      <c r="L94" s="394"/>
      <c r="M94" s="394"/>
      <c r="N94" s="394"/>
      <c r="O94" s="460"/>
      <c r="P94" s="461"/>
    </row>
    <row r="95" spans="1:16">
      <c r="A95" s="490"/>
      <c r="B95" s="394"/>
      <c r="C95" s="394"/>
      <c r="D95" s="491"/>
      <c r="E95" s="491"/>
      <c r="F95" s="394"/>
      <c r="G95" s="394"/>
      <c r="H95" s="394"/>
      <c r="I95" s="394"/>
      <c r="J95" s="394"/>
      <c r="K95" s="394"/>
      <c r="L95" s="394"/>
      <c r="M95" s="394"/>
      <c r="N95" s="394"/>
      <c r="O95" s="460"/>
      <c r="P95" s="461"/>
    </row>
    <row r="96" spans="1:16">
      <c r="A96" s="1362" t="s">
        <v>822</v>
      </c>
      <c r="B96" s="460">
        <v>1.5</v>
      </c>
      <c r="C96" s="460">
        <v>1</v>
      </c>
      <c r="D96" s="493">
        <v>44592</v>
      </c>
      <c r="E96" s="493">
        <v>44592</v>
      </c>
      <c r="F96" s="460">
        <v>2.5</v>
      </c>
      <c r="G96" s="460"/>
      <c r="H96" s="460"/>
      <c r="I96" s="460" t="s">
        <v>493</v>
      </c>
      <c r="J96" s="460" t="s">
        <v>493</v>
      </c>
      <c r="K96" s="460" t="s">
        <v>493</v>
      </c>
      <c r="L96" s="394"/>
      <c r="M96" s="394"/>
      <c r="N96" s="394"/>
      <c r="O96" s="460"/>
      <c r="P96" s="461"/>
    </row>
    <row r="97" spans="1:17">
      <c r="A97" s="490" t="s">
        <v>871</v>
      </c>
      <c r="B97" s="806">
        <v>1.5</v>
      </c>
      <c r="C97" s="806">
        <v>1</v>
      </c>
      <c r="D97" s="809">
        <v>44603</v>
      </c>
      <c r="E97" s="809">
        <v>44603</v>
      </c>
      <c r="F97" s="806">
        <f>F96+B97-C97</f>
        <v>3</v>
      </c>
      <c r="G97" s="394"/>
      <c r="H97" s="394"/>
      <c r="I97" s="806" t="s">
        <v>493</v>
      </c>
      <c r="J97" s="806" t="s">
        <v>493</v>
      </c>
      <c r="K97" s="806" t="s">
        <v>493</v>
      </c>
      <c r="L97" s="394"/>
      <c r="M97" s="394"/>
      <c r="N97" s="394"/>
      <c r="O97" s="460"/>
      <c r="P97" s="461"/>
    </row>
    <row r="98" spans="1:17">
      <c r="A98" s="537" t="s">
        <v>894</v>
      </c>
      <c r="B98" s="852">
        <v>1.5</v>
      </c>
      <c r="C98" s="852">
        <v>0</v>
      </c>
      <c r="D98" s="852">
        <v>0</v>
      </c>
      <c r="E98" s="852">
        <v>0</v>
      </c>
      <c r="F98" s="852">
        <f>F97+B98-C98</f>
        <v>4.5</v>
      </c>
      <c r="G98" s="394"/>
      <c r="H98" s="394"/>
      <c r="I98" s="394" t="s">
        <v>493</v>
      </c>
      <c r="J98" s="394" t="s">
        <v>493</v>
      </c>
      <c r="K98" s="394" t="s">
        <v>493</v>
      </c>
      <c r="L98" s="553"/>
      <c r="M98" s="553"/>
      <c r="N98" s="553"/>
      <c r="O98" s="460"/>
      <c r="P98" s="461"/>
    </row>
    <row r="99" spans="1:17">
      <c r="A99" s="1359" t="s">
        <v>901</v>
      </c>
      <c r="B99" s="394">
        <v>1.5</v>
      </c>
      <c r="C99" s="394">
        <v>0</v>
      </c>
      <c r="D99" s="394">
        <v>0</v>
      </c>
      <c r="E99" s="394">
        <v>0</v>
      </c>
      <c r="F99" s="856">
        <f>F98+B99-C99</f>
        <v>6</v>
      </c>
      <c r="G99" s="394"/>
      <c r="H99" s="394"/>
      <c r="I99" s="394" t="s">
        <v>493</v>
      </c>
      <c r="J99" s="394" t="s">
        <v>493</v>
      </c>
      <c r="K99" s="394" t="s">
        <v>493</v>
      </c>
      <c r="L99" s="394"/>
      <c r="M99" s="394"/>
      <c r="N99" s="394"/>
      <c r="O99" s="460"/>
      <c r="P99" s="461"/>
      <c r="Q99" s="8">
        <v>3</v>
      </c>
    </row>
    <row r="100" spans="1:17">
      <c r="A100" s="492"/>
      <c r="B100" s="394"/>
      <c r="C100" s="394"/>
      <c r="D100" s="394"/>
      <c r="E100" s="394"/>
      <c r="F100" s="394"/>
      <c r="G100" s="394"/>
      <c r="H100" s="394"/>
      <c r="I100" s="394"/>
      <c r="J100" s="394"/>
      <c r="K100" s="394"/>
      <c r="L100" s="394"/>
      <c r="M100" s="394"/>
      <c r="N100" s="394"/>
      <c r="O100" s="460"/>
      <c r="P100" s="461"/>
    </row>
    <row r="101" spans="1:17">
      <c r="A101" s="492"/>
      <c r="B101" s="394"/>
      <c r="C101" s="394"/>
      <c r="D101" s="394"/>
      <c r="E101" s="394"/>
      <c r="F101" s="394"/>
      <c r="G101" s="394"/>
      <c r="H101" s="394"/>
      <c r="I101" s="394"/>
      <c r="J101" s="394"/>
      <c r="K101" s="394"/>
      <c r="L101" s="394"/>
      <c r="M101" s="394"/>
      <c r="N101" s="394"/>
      <c r="O101" s="460"/>
      <c r="P101" s="461"/>
    </row>
    <row r="102" spans="1:17">
      <c r="A102" s="492"/>
      <c r="B102" s="394"/>
      <c r="C102" s="394"/>
      <c r="D102" s="394"/>
      <c r="E102" s="394"/>
      <c r="F102" s="394"/>
      <c r="G102" s="394"/>
      <c r="H102" s="394"/>
      <c r="I102" s="394"/>
      <c r="J102" s="394"/>
      <c r="K102" s="394"/>
      <c r="L102" s="394"/>
      <c r="M102" s="394"/>
      <c r="N102" s="394"/>
      <c r="O102" s="460"/>
      <c r="P102" s="461"/>
    </row>
    <row r="103" spans="1:17">
      <c r="A103" s="492"/>
      <c r="B103" s="394"/>
      <c r="C103" s="394"/>
      <c r="D103" s="394"/>
      <c r="E103" s="394"/>
      <c r="F103" s="394"/>
      <c r="G103" s="394"/>
      <c r="H103" s="394"/>
      <c r="I103" s="394"/>
      <c r="J103" s="394"/>
      <c r="K103" s="394"/>
      <c r="L103" s="394"/>
      <c r="M103" s="394"/>
      <c r="N103" s="394"/>
      <c r="O103" s="460"/>
      <c r="P103" s="461"/>
    </row>
    <row r="104" spans="1:17">
      <c r="A104" s="492"/>
      <c r="B104" s="394"/>
      <c r="C104" s="394"/>
      <c r="D104" s="491"/>
      <c r="E104" s="491"/>
      <c r="F104" s="394"/>
      <c r="G104" s="394"/>
      <c r="H104" s="394"/>
      <c r="I104" s="394"/>
      <c r="J104" s="394"/>
      <c r="K104" s="394"/>
      <c r="L104" s="394"/>
      <c r="M104" s="394"/>
      <c r="N104" s="394"/>
      <c r="O104" s="460"/>
      <c r="P104" s="461"/>
    </row>
    <row r="105" spans="1:17">
      <c r="A105" s="492"/>
      <c r="B105" s="394"/>
      <c r="C105" s="394"/>
      <c r="D105" s="491"/>
      <c r="E105" s="491"/>
      <c r="F105" s="394"/>
      <c r="G105" s="394"/>
      <c r="H105" s="394"/>
      <c r="I105" s="394"/>
      <c r="J105" s="394"/>
      <c r="K105" s="394"/>
      <c r="L105" s="394"/>
      <c r="M105" s="394"/>
      <c r="N105" s="394"/>
      <c r="O105" s="460"/>
      <c r="P105" s="461"/>
    </row>
    <row r="106" spans="1:17">
      <c r="A106" s="492"/>
      <c r="B106" s="394"/>
      <c r="C106" s="394"/>
      <c r="D106" s="491"/>
      <c r="E106" s="491"/>
      <c r="F106" s="394"/>
      <c r="G106" s="394"/>
      <c r="H106" s="394"/>
      <c r="I106" s="394"/>
      <c r="J106" s="394"/>
      <c r="K106" s="394"/>
      <c r="L106" s="394"/>
      <c r="M106" s="394"/>
      <c r="N106" s="394"/>
      <c r="O106" s="460"/>
      <c r="P106" s="461"/>
    </row>
    <row r="107" spans="1:17">
      <c r="A107" s="492"/>
      <c r="B107" s="394"/>
      <c r="C107" s="394"/>
      <c r="D107" s="491"/>
      <c r="E107" s="491"/>
      <c r="F107" s="394"/>
      <c r="G107" s="394"/>
      <c r="H107" s="394"/>
      <c r="I107" s="394"/>
      <c r="J107" s="394"/>
      <c r="K107" s="394"/>
      <c r="L107" s="394"/>
      <c r="M107" s="394"/>
      <c r="N107" s="394"/>
      <c r="O107" s="460"/>
      <c r="P107" s="461"/>
    </row>
    <row r="108" spans="1:17">
      <c r="A108" s="492"/>
      <c r="B108" s="394"/>
      <c r="C108" s="394"/>
      <c r="D108" s="491"/>
      <c r="E108" s="491"/>
      <c r="F108" s="394"/>
      <c r="G108" s="394"/>
      <c r="H108" s="394"/>
      <c r="I108" s="394"/>
      <c r="J108" s="394"/>
      <c r="K108" s="394"/>
      <c r="L108" s="394"/>
      <c r="M108" s="394"/>
      <c r="N108" s="394"/>
      <c r="O108" s="460"/>
      <c r="P108" s="461"/>
    </row>
    <row r="109" spans="1:17">
      <c r="A109" s="492"/>
      <c r="B109" s="394"/>
      <c r="C109" s="394"/>
      <c r="D109" s="491"/>
      <c r="E109" s="491"/>
      <c r="F109" s="394"/>
      <c r="G109" s="394"/>
      <c r="H109" s="394"/>
      <c r="I109" s="394"/>
      <c r="J109" s="394"/>
      <c r="K109" s="394"/>
      <c r="L109" s="394"/>
      <c r="M109" s="394"/>
      <c r="N109" s="394"/>
      <c r="O109" s="460"/>
      <c r="P109" s="461"/>
    </row>
    <row r="110" spans="1:17">
      <c r="A110" s="459"/>
      <c r="B110" s="394"/>
      <c r="C110" s="394"/>
      <c r="D110" s="394"/>
      <c r="E110" s="394"/>
      <c r="F110" s="394"/>
      <c r="G110" s="394"/>
      <c r="H110" s="394"/>
      <c r="I110" s="394"/>
      <c r="J110" s="394"/>
      <c r="K110" s="394"/>
      <c r="L110" s="394"/>
      <c r="M110" s="394"/>
      <c r="N110" s="394"/>
      <c r="O110" s="460"/>
      <c r="P110" s="461"/>
    </row>
    <row r="111" spans="1:17">
      <c r="A111" s="459"/>
      <c r="B111" s="394"/>
      <c r="C111" s="394"/>
      <c r="D111" s="394"/>
      <c r="E111" s="394"/>
      <c r="F111" s="394"/>
      <c r="G111" s="394"/>
      <c r="H111" s="394"/>
      <c r="I111" s="394"/>
      <c r="J111" s="394"/>
      <c r="K111" s="394"/>
      <c r="L111" s="394"/>
      <c r="M111" s="394"/>
      <c r="N111" s="394"/>
      <c r="O111" s="460"/>
      <c r="P111" s="461"/>
    </row>
    <row r="112" spans="1:17">
      <c r="A112" s="459"/>
      <c r="B112" s="394"/>
      <c r="C112" s="394"/>
      <c r="D112" s="394"/>
      <c r="E112" s="394"/>
      <c r="F112" s="394"/>
      <c r="G112" s="394"/>
      <c r="H112" s="394"/>
      <c r="I112" s="394"/>
      <c r="J112" s="394"/>
      <c r="K112" s="394"/>
      <c r="L112" s="394"/>
      <c r="M112" s="394"/>
      <c r="N112" s="394"/>
      <c r="O112" s="460"/>
      <c r="P112" s="461"/>
    </row>
    <row r="113" spans="1:16">
      <c r="A113" s="459"/>
      <c r="B113" s="394"/>
      <c r="C113" s="394"/>
      <c r="D113" s="394"/>
      <c r="E113" s="394"/>
      <c r="F113" s="394"/>
      <c r="G113" s="394"/>
      <c r="H113" s="394"/>
      <c r="I113" s="394"/>
      <c r="J113" s="394"/>
      <c r="K113" s="394"/>
      <c r="L113" s="394"/>
      <c r="M113" s="394"/>
      <c r="N113" s="394"/>
      <c r="O113" s="460"/>
      <c r="P113" s="461"/>
    </row>
    <row r="114" spans="1:16">
      <c r="A114" s="459"/>
      <c r="B114" s="394"/>
      <c r="C114" s="394"/>
      <c r="D114" s="394"/>
      <c r="E114" s="394"/>
      <c r="F114" s="394"/>
      <c r="G114" s="394"/>
      <c r="H114" s="394"/>
      <c r="I114" s="394"/>
      <c r="J114" s="394"/>
      <c r="K114" s="394"/>
      <c r="L114" s="394"/>
      <c r="M114" s="394"/>
      <c r="N114" s="394"/>
      <c r="O114" s="460"/>
      <c r="P114" s="461"/>
    </row>
    <row r="115" spans="1:16">
      <c r="A115" s="474"/>
      <c r="B115" s="399"/>
      <c r="C115" s="399"/>
      <c r="D115" s="399"/>
      <c r="E115" s="399"/>
      <c r="F115" s="399"/>
      <c r="G115" s="399"/>
      <c r="H115" s="399"/>
      <c r="I115" s="399"/>
      <c r="J115" s="399"/>
      <c r="K115" s="399"/>
      <c r="L115" s="399"/>
      <c r="M115" s="399"/>
      <c r="N115" s="399"/>
      <c r="O115" s="494"/>
      <c r="P115" s="495"/>
    </row>
    <row r="116" spans="1:16">
      <c r="A116" s="474"/>
      <c r="B116" s="399"/>
      <c r="C116" s="399"/>
      <c r="D116" s="399"/>
      <c r="E116" s="399"/>
      <c r="F116" s="399"/>
      <c r="G116" s="399"/>
      <c r="H116" s="399"/>
      <c r="I116" s="399"/>
      <c r="J116" s="399"/>
      <c r="K116" s="399"/>
      <c r="L116" s="399"/>
      <c r="M116" s="399"/>
      <c r="N116" s="399"/>
      <c r="O116" s="494"/>
      <c r="P116" s="495"/>
    </row>
    <row r="117" spans="1:16">
      <c r="A117" s="474"/>
      <c r="B117" s="399"/>
      <c r="C117" s="399"/>
      <c r="D117" s="399"/>
      <c r="E117" s="399"/>
      <c r="F117" s="399"/>
      <c r="G117" s="399"/>
      <c r="H117" s="399"/>
      <c r="I117" s="399"/>
      <c r="J117" s="399"/>
      <c r="K117" s="399"/>
      <c r="L117" s="399"/>
      <c r="M117" s="399"/>
      <c r="N117" s="399"/>
      <c r="O117" s="494"/>
      <c r="P117" s="495"/>
    </row>
    <row r="118" spans="1:16">
      <c r="A118" s="463"/>
      <c r="B118" s="462"/>
      <c r="C118" s="462"/>
      <c r="D118" s="462"/>
      <c r="E118" s="462"/>
      <c r="F118" s="462"/>
      <c r="G118" s="462"/>
      <c r="H118" s="462"/>
      <c r="I118" s="462"/>
      <c r="J118" s="462"/>
      <c r="K118" s="462"/>
      <c r="L118" s="462"/>
      <c r="M118" s="462"/>
      <c r="N118" s="462"/>
      <c r="O118" s="371"/>
      <c r="P118" s="464"/>
    </row>
    <row r="119" spans="1:16">
      <c r="A119" s="463"/>
      <c r="B119" s="462"/>
      <c r="C119" s="462"/>
      <c r="D119" s="462"/>
      <c r="E119" s="462"/>
      <c r="F119" s="462"/>
      <c r="G119" s="462"/>
      <c r="H119" s="462"/>
      <c r="I119" s="462"/>
      <c r="J119" s="462"/>
      <c r="K119" s="462"/>
      <c r="L119" s="462"/>
      <c r="M119" s="462"/>
      <c r="N119" s="462"/>
      <c r="O119" s="371"/>
      <c r="P119" s="464"/>
    </row>
    <row r="120" spans="1:16">
      <c r="A120" s="463"/>
      <c r="B120" s="462"/>
      <c r="C120" s="462"/>
      <c r="D120" s="462"/>
      <c r="E120" s="462"/>
      <c r="F120" s="462"/>
      <c r="G120" s="462"/>
      <c r="H120" s="462"/>
      <c r="I120" s="462"/>
      <c r="J120" s="462"/>
      <c r="K120" s="462"/>
      <c r="L120" s="462"/>
      <c r="M120" s="462"/>
      <c r="N120" s="462"/>
      <c r="O120" s="371"/>
      <c r="P120" s="464"/>
    </row>
    <row r="121" spans="1:16" ht="15.75" thickBot="1">
      <c r="A121" s="465"/>
      <c r="B121" s="466"/>
      <c r="C121" s="466"/>
      <c r="D121" s="466"/>
      <c r="E121" s="466"/>
      <c r="F121" s="466"/>
      <c r="G121" s="1029" t="s">
        <v>38</v>
      </c>
      <c r="H121" s="1029"/>
      <c r="I121" s="1029"/>
      <c r="J121" s="1029"/>
      <c r="K121" s="1029"/>
      <c r="L121" s="1029"/>
      <c r="M121" s="1029"/>
      <c r="N121" s="1029"/>
      <c r="O121" s="467"/>
      <c r="P121" s="468"/>
    </row>
    <row r="147" spans="1:16" ht="15.75" thickBot="1"/>
    <row r="148" spans="1:16">
      <c r="A148" s="1030" t="s">
        <v>450</v>
      </c>
      <c r="B148" s="1031"/>
      <c r="C148" s="1031"/>
      <c r="D148" s="1031"/>
      <c r="E148" s="1031"/>
      <c r="F148" s="1031"/>
      <c r="G148" s="1031"/>
      <c r="H148" s="1031"/>
      <c r="I148" s="1031"/>
      <c r="J148" s="1031"/>
      <c r="K148" s="1031"/>
      <c r="L148" s="1031"/>
      <c r="M148" s="1031"/>
      <c r="N148" s="1031"/>
      <c r="O148" s="469"/>
      <c r="P148" s="470"/>
    </row>
    <row r="149" spans="1:16" ht="15.75" thickBot="1">
      <c r="A149" s="1032"/>
      <c r="B149" s="1033"/>
      <c r="C149" s="1033"/>
      <c r="D149" s="1033"/>
      <c r="E149" s="1033"/>
      <c r="F149" s="1033"/>
      <c r="G149" s="1033"/>
      <c r="H149" s="1033"/>
      <c r="I149" s="1033"/>
      <c r="J149" s="1033"/>
      <c r="K149" s="1033"/>
      <c r="L149" s="1033"/>
      <c r="M149" s="1033"/>
      <c r="N149" s="1033"/>
      <c r="O149" s="471"/>
      <c r="P149" s="464"/>
    </row>
    <row r="150" spans="1:16" ht="15.75" thickBot="1">
      <c r="A150" s="1034" t="s">
        <v>451</v>
      </c>
      <c r="B150" s="1035"/>
      <c r="C150" s="1035"/>
      <c r="D150" s="1035"/>
      <c r="E150" s="1035"/>
      <c r="F150" s="1035"/>
      <c r="G150" s="1035"/>
      <c r="H150" s="1035"/>
      <c r="I150" s="1035"/>
      <c r="J150" s="1035"/>
      <c r="K150" s="1035"/>
      <c r="L150" s="1035"/>
      <c r="M150" s="1035"/>
      <c r="N150" s="1035"/>
      <c r="O150" s="471"/>
      <c r="P150" s="464"/>
    </row>
    <row r="151" spans="1:16">
      <c r="A151" s="472" t="s">
        <v>483</v>
      </c>
      <c r="B151" s="405"/>
      <c r="C151" s="405"/>
      <c r="D151" s="406"/>
      <c r="E151" s="1036" t="s">
        <v>484</v>
      </c>
      <c r="F151" s="1037"/>
      <c r="G151" s="1037"/>
      <c r="H151" s="473"/>
      <c r="I151" s="473"/>
      <c r="J151" s="473"/>
      <c r="K151" s="473"/>
      <c r="L151" s="473"/>
      <c r="M151" s="473"/>
      <c r="N151" s="473"/>
      <c r="O151" s="471"/>
      <c r="P151" s="464"/>
    </row>
    <row r="152" spans="1:16">
      <c r="A152" s="474"/>
      <c r="B152" s="399" t="str">
        <f>'0422Master'!F5</f>
        <v>Burgeon IT Services Pvt.Ltd.</v>
      </c>
      <c r="C152" s="399"/>
      <c r="D152" s="408"/>
      <c r="E152" s="475"/>
      <c r="F152" s="476"/>
      <c r="G152" s="1038" t="str">
        <f>'0422Master'!B18</f>
        <v>Savana Saritha Dora</v>
      </c>
      <c r="H152" s="1038"/>
      <c r="I152" s="1038"/>
      <c r="J152" s="476"/>
      <c r="K152" s="476"/>
      <c r="L152" s="476"/>
      <c r="M152" s="476"/>
      <c r="N152" s="476"/>
      <c r="O152" s="471"/>
      <c r="P152" s="464"/>
    </row>
    <row r="153" spans="1:16" ht="15.75" thickBot="1">
      <c r="A153" s="410"/>
      <c r="B153" s="411" t="str">
        <f>'0422Master'!F6</f>
        <v>Siri Mansion LIGB 436 Dr.A S Rao Nagar,Hyderabad</v>
      </c>
      <c r="C153" s="411"/>
      <c r="D153" s="412"/>
      <c r="E153" s="475"/>
      <c r="F153" s="476"/>
      <c r="G153" s="476"/>
      <c r="H153" s="476"/>
      <c r="I153" s="476"/>
      <c r="J153" s="476"/>
      <c r="K153" s="476"/>
      <c r="L153" s="476"/>
      <c r="M153" s="476"/>
      <c r="N153" s="476"/>
      <c r="O153" s="471"/>
      <c r="P153" s="464"/>
    </row>
    <row r="154" spans="1:16">
      <c r="A154" s="404" t="s">
        <v>485</v>
      </c>
      <c r="B154" s="405"/>
      <c r="C154" s="405"/>
      <c r="D154" s="406"/>
      <c r="E154" s="404" t="s">
        <v>452</v>
      </c>
      <c r="F154" s="405"/>
      <c r="G154" s="477">
        <f>'0422Master'!N18</f>
        <v>44495</v>
      </c>
      <c r="H154" s="405"/>
      <c r="I154" s="405"/>
      <c r="J154" s="405"/>
      <c r="K154" s="405"/>
      <c r="L154" s="405"/>
      <c r="M154" s="405"/>
      <c r="N154" s="405"/>
      <c r="O154" s="471"/>
      <c r="P154" s="464"/>
    </row>
    <row r="155" spans="1:16">
      <c r="A155" s="474"/>
      <c r="B155" s="399"/>
      <c r="C155" s="399" t="str">
        <f>'0422Master'!F8</f>
        <v>IT SUPPORTIVE SERVICES&amp; PUNE SEZ UNIT-II</v>
      </c>
      <c r="D155" s="408"/>
      <c r="E155" s="407"/>
      <c r="F155" s="399"/>
      <c r="G155" s="399"/>
      <c r="H155" s="399"/>
      <c r="I155" s="399"/>
      <c r="J155" s="399"/>
      <c r="K155" s="399"/>
      <c r="L155" s="399"/>
      <c r="M155" s="399"/>
      <c r="N155" s="399"/>
      <c r="O155" s="471"/>
      <c r="P155" s="464"/>
    </row>
    <row r="156" spans="1:16">
      <c r="A156" s="474"/>
      <c r="B156" s="399"/>
      <c r="C156" s="399"/>
      <c r="D156" s="408"/>
      <c r="E156" s="478"/>
      <c r="F156" s="399"/>
      <c r="G156" s="399"/>
      <c r="H156" s="399"/>
      <c r="I156" s="399"/>
      <c r="J156" s="399"/>
      <c r="K156" s="399"/>
      <c r="L156" s="399"/>
      <c r="M156" s="399"/>
      <c r="N156" s="399"/>
      <c r="O156" s="471"/>
      <c r="P156" s="464"/>
    </row>
    <row r="157" spans="1:16" ht="15.75" thickBot="1">
      <c r="A157" s="479"/>
      <c r="B157" s="402"/>
      <c r="C157" s="402"/>
      <c r="D157" s="480"/>
      <c r="E157" s="410"/>
      <c r="F157" s="411"/>
      <c r="G157" s="411"/>
      <c r="H157" s="411"/>
      <c r="I157" s="411"/>
      <c r="J157" s="411"/>
      <c r="K157" s="411"/>
      <c r="L157" s="411"/>
      <c r="M157" s="411"/>
      <c r="N157" s="411"/>
      <c r="O157" s="481"/>
      <c r="P157" s="468"/>
    </row>
    <row r="158" spans="1:16">
      <c r="A158" s="1039" t="s">
        <v>5</v>
      </c>
      <c r="B158" s="1041" t="s">
        <v>453</v>
      </c>
      <c r="C158" s="1042"/>
      <c r="D158" s="1041" t="s">
        <v>454</v>
      </c>
      <c r="E158" s="1044"/>
      <c r="F158" s="989" t="s">
        <v>455</v>
      </c>
      <c r="G158" s="1043" t="s">
        <v>456</v>
      </c>
      <c r="H158" s="1047"/>
      <c r="I158" s="1048" t="s">
        <v>457</v>
      </c>
      <c r="J158" s="1047"/>
      <c r="K158" s="1049"/>
      <c r="L158" s="1048" t="s">
        <v>458</v>
      </c>
      <c r="M158" s="1047"/>
      <c r="N158" s="1047"/>
      <c r="O158" s="1027" t="s">
        <v>459</v>
      </c>
      <c r="P158" s="1027" t="s">
        <v>40</v>
      </c>
    </row>
    <row r="159" spans="1:16" ht="15.75" thickBot="1">
      <c r="A159" s="1040"/>
      <c r="B159" s="1043"/>
      <c r="C159" s="1044"/>
      <c r="D159" s="1043"/>
      <c r="E159" s="1044"/>
      <c r="F159" s="985"/>
      <c r="G159" s="1043"/>
      <c r="H159" s="1047"/>
      <c r="I159" s="1050"/>
      <c r="J159" s="1051"/>
      <c r="K159" s="1052"/>
      <c r="L159" s="1050"/>
      <c r="M159" s="1051"/>
      <c r="N159" s="1051"/>
      <c r="O159" s="1028"/>
      <c r="P159" s="1028"/>
    </row>
    <row r="160" spans="1:16">
      <c r="A160" s="482">
        <v>1</v>
      </c>
      <c r="B160" s="1045"/>
      <c r="C160" s="1046"/>
      <c r="D160" s="1045"/>
      <c r="E160" s="1046"/>
      <c r="F160" s="414">
        <v>6</v>
      </c>
      <c r="G160" s="1045"/>
      <c r="H160" s="1046"/>
      <c r="I160" s="483">
        <v>9</v>
      </c>
      <c r="J160" s="483"/>
      <c r="K160" s="483"/>
      <c r="L160" s="483">
        <v>9</v>
      </c>
      <c r="M160" s="483"/>
      <c r="N160" s="483"/>
      <c r="O160" s="484" t="s">
        <v>460</v>
      </c>
      <c r="P160" s="485"/>
    </row>
    <row r="161" spans="1:17" ht="51">
      <c r="A161" s="459"/>
      <c r="B161" s="394" t="s">
        <v>461</v>
      </c>
      <c r="C161" s="394" t="s">
        <v>462</v>
      </c>
      <c r="D161" s="394" t="s">
        <v>463</v>
      </c>
      <c r="E161" s="394" t="s">
        <v>134</v>
      </c>
      <c r="F161" s="394"/>
      <c r="G161" s="394" t="s">
        <v>464</v>
      </c>
      <c r="H161" s="394" t="s">
        <v>465</v>
      </c>
      <c r="I161" s="394" t="s">
        <v>466</v>
      </c>
      <c r="J161" s="394" t="s">
        <v>467</v>
      </c>
      <c r="K161" s="394" t="s">
        <v>468</v>
      </c>
      <c r="L161" s="394" t="s">
        <v>469</v>
      </c>
      <c r="M161" s="394" t="s">
        <v>470</v>
      </c>
      <c r="N161" s="486" t="s">
        <v>471</v>
      </c>
      <c r="O161" s="487"/>
      <c r="P161" s="488"/>
    </row>
    <row r="162" spans="1:17">
      <c r="A162" s="459"/>
      <c r="B162" s="489"/>
      <c r="C162" s="394"/>
      <c r="D162" s="394"/>
      <c r="E162" s="394"/>
      <c r="F162" s="394"/>
      <c r="G162" s="394"/>
      <c r="H162" s="394"/>
      <c r="I162" s="394"/>
      <c r="J162" s="394"/>
      <c r="K162" s="394"/>
      <c r="L162" s="394"/>
      <c r="M162" s="394"/>
      <c r="N162" s="394"/>
      <c r="O162" s="460"/>
      <c r="P162" s="461"/>
    </row>
    <row r="163" spans="1:17">
      <c r="A163" s="490"/>
      <c r="B163" s="394"/>
      <c r="C163" s="394"/>
      <c r="D163" s="491"/>
      <c r="E163" s="491"/>
      <c r="F163" s="394"/>
      <c r="G163" s="394"/>
      <c r="H163" s="394"/>
      <c r="I163" s="394"/>
      <c r="J163" s="394"/>
      <c r="K163" s="394"/>
      <c r="L163" s="394"/>
      <c r="M163" s="394"/>
      <c r="N163" s="394"/>
      <c r="O163" s="460"/>
      <c r="P163" s="461"/>
    </row>
    <row r="164" spans="1:17">
      <c r="A164" s="1362" t="s">
        <v>822</v>
      </c>
      <c r="B164" s="460">
        <v>1.5</v>
      </c>
      <c r="C164" s="460">
        <v>1</v>
      </c>
      <c r="D164" s="493">
        <v>44578</v>
      </c>
      <c r="E164" s="493">
        <v>44609</v>
      </c>
      <c r="F164" s="460">
        <v>2.5</v>
      </c>
      <c r="G164" s="460"/>
      <c r="H164" s="460"/>
      <c r="I164" s="394" t="s">
        <v>493</v>
      </c>
      <c r="J164" s="1361" t="s">
        <v>493</v>
      </c>
      <c r="K164" s="1361" t="s">
        <v>493</v>
      </c>
      <c r="L164" s="394"/>
      <c r="M164" s="394"/>
      <c r="N164" s="394"/>
      <c r="O164" s="460"/>
      <c r="P164" s="461"/>
    </row>
    <row r="165" spans="1:17">
      <c r="A165" s="490" t="s">
        <v>871</v>
      </c>
      <c r="B165" s="852">
        <v>1.5</v>
      </c>
      <c r="C165" s="852">
        <v>0</v>
      </c>
      <c r="D165" s="852">
        <v>0</v>
      </c>
      <c r="E165" s="852">
        <v>0</v>
      </c>
      <c r="F165" s="852">
        <f>F164+B165-C165</f>
        <v>4</v>
      </c>
      <c r="G165" s="394"/>
      <c r="H165" s="394"/>
      <c r="I165" s="394" t="s">
        <v>493</v>
      </c>
      <c r="J165" s="394" t="s">
        <v>493</v>
      </c>
      <c r="K165" s="394" t="s">
        <v>493</v>
      </c>
      <c r="L165" s="394"/>
      <c r="M165" s="394"/>
      <c r="N165" s="394"/>
      <c r="O165" s="460"/>
      <c r="P165" s="461"/>
    </row>
    <row r="166" spans="1:17">
      <c r="A166" s="537" t="s">
        <v>894</v>
      </c>
      <c r="B166" s="852">
        <v>1.5</v>
      </c>
      <c r="C166" s="852">
        <v>1</v>
      </c>
      <c r="D166" s="809">
        <v>44624</v>
      </c>
      <c r="E166" s="809">
        <v>44624</v>
      </c>
      <c r="F166" s="852">
        <f>F165+B166-C166</f>
        <v>4.5</v>
      </c>
      <c r="G166" s="394"/>
      <c r="H166" s="394"/>
      <c r="I166" s="394" t="s">
        <v>493</v>
      </c>
      <c r="J166" s="394" t="s">
        <v>493</v>
      </c>
      <c r="K166" s="394" t="s">
        <v>493</v>
      </c>
      <c r="L166" s="553"/>
      <c r="M166" s="553"/>
      <c r="N166" s="553"/>
      <c r="O166" s="460"/>
      <c r="P166" s="461"/>
    </row>
    <row r="167" spans="1:17">
      <c r="A167" s="1359" t="s">
        <v>901</v>
      </c>
      <c r="B167" s="947">
        <v>1.5</v>
      </c>
      <c r="C167" s="947">
        <v>1</v>
      </c>
      <c r="D167" s="809">
        <v>44652</v>
      </c>
      <c r="E167" s="809">
        <v>44652</v>
      </c>
      <c r="F167" s="856">
        <f>F166+B167-C167</f>
        <v>5</v>
      </c>
      <c r="G167" s="394"/>
      <c r="H167" s="394"/>
      <c r="I167" s="394" t="s">
        <v>493</v>
      </c>
      <c r="J167" s="394" t="s">
        <v>493</v>
      </c>
      <c r="K167" s="394" t="s">
        <v>493</v>
      </c>
      <c r="L167" s="394"/>
      <c r="M167" s="394"/>
      <c r="N167" s="394"/>
      <c r="O167" s="460"/>
      <c r="P167" s="461"/>
      <c r="Q167" s="8">
        <v>3</v>
      </c>
    </row>
    <row r="168" spans="1:17">
      <c r="A168" s="492"/>
      <c r="B168" s="394"/>
      <c r="C168" s="394"/>
      <c r="D168" s="394"/>
      <c r="E168" s="394"/>
      <c r="F168" s="394"/>
      <c r="G168" s="394"/>
      <c r="H168" s="394"/>
      <c r="I168" s="394"/>
      <c r="J168" s="394"/>
      <c r="K168" s="394"/>
      <c r="L168" s="394"/>
      <c r="M168" s="394"/>
      <c r="N168" s="394"/>
      <c r="O168" s="460"/>
      <c r="P168" s="461"/>
    </row>
    <row r="169" spans="1:17">
      <c r="A169" s="492"/>
      <c r="B169" s="394"/>
      <c r="C169" s="394"/>
      <c r="D169" s="394"/>
      <c r="E169" s="394"/>
      <c r="F169" s="394"/>
      <c r="G169" s="394"/>
      <c r="H169" s="394"/>
      <c r="I169" s="394"/>
      <c r="J169" s="394"/>
      <c r="K169" s="394"/>
      <c r="L169" s="394"/>
      <c r="M169" s="394"/>
      <c r="N169" s="394"/>
      <c r="O169" s="460"/>
      <c r="P169" s="461"/>
    </row>
    <row r="170" spans="1:17">
      <c r="A170" s="492"/>
      <c r="B170" s="394"/>
      <c r="C170" s="394"/>
      <c r="D170" s="394"/>
      <c r="E170" s="394"/>
      <c r="F170" s="394"/>
      <c r="G170" s="394"/>
      <c r="H170" s="394"/>
      <c r="I170" s="394"/>
      <c r="J170" s="394"/>
      <c r="K170" s="394"/>
      <c r="L170" s="394"/>
      <c r="M170" s="394"/>
      <c r="N170" s="394"/>
      <c r="O170" s="460"/>
      <c r="P170" s="461"/>
    </row>
    <row r="171" spans="1:17">
      <c r="A171" s="492"/>
      <c r="B171" s="394"/>
      <c r="C171" s="394"/>
      <c r="D171" s="394"/>
      <c r="E171" s="394"/>
      <c r="F171" s="394"/>
      <c r="G171" s="394"/>
      <c r="H171" s="394"/>
      <c r="I171" s="394"/>
      <c r="J171" s="394"/>
      <c r="K171" s="394"/>
      <c r="L171" s="394"/>
      <c r="M171" s="394"/>
      <c r="N171" s="394"/>
      <c r="O171" s="460"/>
      <c r="P171" s="461"/>
    </row>
    <row r="172" spans="1:17">
      <c r="A172" s="492"/>
      <c r="B172" s="394"/>
      <c r="C172" s="394"/>
      <c r="D172" s="491"/>
      <c r="E172" s="491"/>
      <c r="F172" s="394"/>
      <c r="G172" s="394"/>
      <c r="H172" s="394"/>
      <c r="I172" s="394"/>
      <c r="J172" s="394"/>
      <c r="K172" s="394"/>
      <c r="L172" s="394"/>
      <c r="M172" s="394"/>
      <c r="N172" s="394"/>
      <c r="O172" s="460"/>
      <c r="P172" s="461"/>
    </row>
    <row r="173" spans="1:17">
      <c r="A173" s="492"/>
      <c r="B173" s="394"/>
      <c r="C173" s="394"/>
      <c r="D173" s="491"/>
      <c r="E173" s="491"/>
      <c r="F173" s="394"/>
      <c r="G173" s="394"/>
      <c r="H173" s="394"/>
      <c r="I173" s="394"/>
      <c r="J173" s="394"/>
      <c r="K173" s="394"/>
      <c r="L173" s="394"/>
      <c r="M173" s="394"/>
      <c r="N173" s="394"/>
      <c r="O173" s="460"/>
      <c r="P173" s="461"/>
    </row>
    <row r="174" spans="1:17">
      <c r="A174" s="492"/>
      <c r="B174" s="394"/>
      <c r="C174" s="394"/>
      <c r="D174" s="491"/>
      <c r="E174" s="491"/>
      <c r="F174" s="394"/>
      <c r="G174" s="394"/>
      <c r="H174" s="394"/>
      <c r="I174" s="394"/>
      <c r="J174" s="394"/>
      <c r="K174" s="394"/>
      <c r="L174" s="394"/>
      <c r="M174" s="394"/>
      <c r="N174" s="394"/>
      <c r="O174" s="460"/>
      <c r="P174" s="461"/>
    </row>
    <row r="175" spans="1:17">
      <c r="A175" s="492"/>
      <c r="B175" s="394"/>
      <c r="C175" s="394"/>
      <c r="D175" s="491"/>
      <c r="E175" s="491"/>
      <c r="F175" s="394"/>
      <c r="G175" s="394"/>
      <c r="H175" s="394"/>
      <c r="I175" s="394"/>
      <c r="J175" s="394"/>
      <c r="K175" s="394"/>
      <c r="L175" s="394"/>
      <c r="M175" s="394"/>
      <c r="N175" s="394"/>
      <c r="O175" s="460"/>
      <c r="P175" s="461"/>
    </row>
    <row r="176" spans="1:17">
      <c r="A176" s="492"/>
      <c r="B176" s="394"/>
      <c r="C176" s="394"/>
      <c r="D176" s="491"/>
      <c r="E176" s="491"/>
      <c r="F176" s="394"/>
      <c r="G176" s="394"/>
      <c r="H176" s="394"/>
      <c r="I176" s="394"/>
      <c r="J176" s="394"/>
      <c r="K176" s="394"/>
      <c r="L176" s="394"/>
      <c r="M176" s="394"/>
      <c r="N176" s="394"/>
      <c r="O176" s="460"/>
      <c r="P176" s="461"/>
    </row>
    <row r="177" spans="1:16">
      <c r="A177" s="492"/>
      <c r="B177" s="394"/>
      <c r="C177" s="394"/>
      <c r="D177" s="491"/>
      <c r="E177" s="491"/>
      <c r="F177" s="394"/>
      <c r="G177" s="394"/>
      <c r="H177" s="394"/>
      <c r="I177" s="394"/>
      <c r="J177" s="394"/>
      <c r="K177" s="394"/>
      <c r="L177" s="394"/>
      <c r="M177" s="394"/>
      <c r="N177" s="394"/>
      <c r="O177" s="460"/>
      <c r="P177" s="461"/>
    </row>
    <row r="178" spans="1:16">
      <c r="A178" s="459"/>
      <c r="B178" s="394"/>
      <c r="C178" s="394"/>
      <c r="D178" s="394"/>
      <c r="E178" s="394"/>
      <c r="F178" s="394"/>
      <c r="G178" s="394"/>
      <c r="H178" s="394"/>
      <c r="I178" s="394"/>
      <c r="J178" s="394"/>
      <c r="K178" s="394"/>
      <c r="L178" s="394"/>
      <c r="M178" s="394"/>
      <c r="N178" s="394"/>
      <c r="O178" s="460"/>
      <c r="P178" s="461"/>
    </row>
    <row r="179" spans="1:16">
      <c r="A179" s="459"/>
      <c r="B179" s="394"/>
      <c r="C179" s="394"/>
      <c r="D179" s="394"/>
      <c r="E179" s="394"/>
      <c r="F179" s="394"/>
      <c r="G179" s="394"/>
      <c r="H179" s="394"/>
      <c r="I179" s="394"/>
      <c r="J179" s="394"/>
      <c r="K179" s="394"/>
      <c r="L179" s="394"/>
      <c r="M179" s="394"/>
      <c r="N179" s="394"/>
      <c r="O179" s="460"/>
      <c r="P179" s="461"/>
    </row>
    <row r="180" spans="1:16">
      <c r="A180" s="459"/>
      <c r="B180" s="394"/>
      <c r="C180" s="394"/>
      <c r="D180" s="394"/>
      <c r="E180" s="394"/>
      <c r="F180" s="394"/>
      <c r="G180" s="394"/>
      <c r="H180" s="394"/>
      <c r="I180" s="394"/>
      <c r="J180" s="394"/>
      <c r="K180" s="394"/>
      <c r="L180" s="394"/>
      <c r="M180" s="394"/>
      <c r="N180" s="394"/>
      <c r="O180" s="460"/>
      <c r="P180" s="461"/>
    </row>
    <row r="181" spans="1:16">
      <c r="A181" s="459"/>
      <c r="B181" s="394"/>
      <c r="C181" s="394"/>
      <c r="D181" s="394"/>
      <c r="E181" s="394"/>
      <c r="F181" s="394"/>
      <c r="G181" s="394"/>
      <c r="H181" s="394"/>
      <c r="I181" s="394"/>
      <c r="J181" s="394"/>
      <c r="K181" s="394"/>
      <c r="L181" s="394"/>
      <c r="M181" s="394"/>
      <c r="N181" s="394"/>
      <c r="O181" s="460"/>
      <c r="P181" s="461"/>
    </row>
    <row r="182" spans="1:16">
      <c r="A182" s="459"/>
      <c r="B182" s="394"/>
      <c r="C182" s="394"/>
      <c r="D182" s="394"/>
      <c r="E182" s="394"/>
      <c r="F182" s="394"/>
      <c r="G182" s="394"/>
      <c r="H182" s="394"/>
      <c r="I182" s="394"/>
      <c r="J182" s="394"/>
      <c r="K182" s="394"/>
      <c r="L182" s="394"/>
      <c r="M182" s="394"/>
      <c r="N182" s="394"/>
      <c r="O182" s="460"/>
      <c r="P182" s="461"/>
    </row>
    <row r="183" spans="1:16">
      <c r="A183" s="474"/>
      <c r="B183" s="399"/>
      <c r="C183" s="399"/>
      <c r="D183" s="399"/>
      <c r="E183" s="399"/>
      <c r="F183" s="399"/>
      <c r="G183" s="399"/>
      <c r="H183" s="399"/>
      <c r="I183" s="399"/>
      <c r="J183" s="399"/>
      <c r="K183" s="399"/>
      <c r="L183" s="399"/>
      <c r="M183" s="399"/>
      <c r="N183" s="399"/>
      <c r="O183" s="494"/>
      <c r="P183" s="495"/>
    </row>
    <row r="184" spans="1:16">
      <c r="A184" s="474"/>
      <c r="B184" s="399"/>
      <c r="C184" s="399"/>
      <c r="D184" s="399"/>
      <c r="E184" s="399"/>
      <c r="F184" s="399"/>
      <c r="G184" s="399"/>
      <c r="H184" s="399"/>
      <c r="I184" s="399"/>
      <c r="J184" s="399"/>
      <c r="K184" s="399"/>
      <c r="L184" s="399"/>
      <c r="M184" s="399"/>
      <c r="N184" s="399"/>
      <c r="O184" s="494"/>
      <c r="P184" s="495"/>
    </row>
    <row r="185" spans="1:16">
      <c r="A185" s="474"/>
      <c r="B185" s="399"/>
      <c r="C185" s="399"/>
      <c r="D185" s="399"/>
      <c r="E185" s="399"/>
      <c r="F185" s="399"/>
      <c r="G185" s="399"/>
      <c r="H185" s="399"/>
      <c r="I185" s="399"/>
      <c r="J185" s="399"/>
      <c r="K185" s="399"/>
      <c r="L185" s="399"/>
      <c r="M185" s="399"/>
      <c r="N185" s="399"/>
      <c r="O185" s="494"/>
      <c r="P185" s="495"/>
    </row>
    <row r="186" spans="1:16">
      <c r="A186" s="463"/>
      <c r="B186" s="462"/>
      <c r="C186" s="462"/>
      <c r="D186" s="462"/>
      <c r="E186" s="462"/>
      <c r="F186" s="462"/>
      <c r="G186" s="462"/>
      <c r="H186" s="462"/>
      <c r="I186" s="462"/>
      <c r="J186" s="462"/>
      <c r="K186" s="462"/>
      <c r="L186" s="462"/>
      <c r="M186" s="462"/>
      <c r="N186" s="462"/>
      <c r="O186" s="371"/>
      <c r="P186" s="464"/>
    </row>
    <row r="187" spans="1:16">
      <c r="A187" s="463"/>
      <c r="B187" s="462"/>
      <c r="C187" s="462"/>
      <c r="D187" s="462"/>
      <c r="E187" s="462"/>
      <c r="F187" s="462"/>
      <c r="G187" s="462"/>
      <c r="H187" s="462"/>
      <c r="I187" s="462"/>
      <c r="J187" s="462"/>
      <c r="K187" s="462"/>
      <c r="L187" s="462"/>
      <c r="M187" s="462"/>
      <c r="N187" s="462"/>
      <c r="O187" s="371"/>
      <c r="P187" s="464"/>
    </row>
    <row r="188" spans="1:16">
      <c r="A188" s="463"/>
      <c r="B188" s="462"/>
      <c r="C188" s="462"/>
      <c r="D188" s="462"/>
      <c r="E188" s="462"/>
      <c r="F188" s="462"/>
      <c r="G188" s="462"/>
      <c r="H188" s="462"/>
      <c r="I188" s="462"/>
      <c r="J188" s="462"/>
      <c r="K188" s="462"/>
      <c r="L188" s="462"/>
      <c r="M188" s="462"/>
      <c r="N188" s="462"/>
      <c r="O188" s="371"/>
      <c r="P188" s="464"/>
    </row>
    <row r="189" spans="1:16" ht="15.75" thickBot="1">
      <c r="A189" s="465"/>
      <c r="B189" s="466"/>
      <c r="C189" s="466"/>
      <c r="D189" s="466"/>
      <c r="E189" s="466"/>
      <c r="F189" s="466"/>
      <c r="G189" s="1029" t="s">
        <v>38</v>
      </c>
      <c r="H189" s="1029"/>
      <c r="I189" s="1029"/>
      <c r="J189" s="1029"/>
      <c r="K189" s="1029"/>
      <c r="L189" s="1029"/>
      <c r="M189" s="1029"/>
      <c r="N189" s="1029"/>
      <c r="O189" s="467"/>
      <c r="P189" s="468"/>
    </row>
    <row r="215" spans="1:16" ht="15.75" thickBot="1"/>
    <row r="216" spans="1:16">
      <c r="A216" s="1030" t="s">
        <v>450</v>
      </c>
      <c r="B216" s="1031"/>
      <c r="C216" s="1031"/>
      <c r="D216" s="1031"/>
      <c r="E216" s="1031"/>
      <c r="F216" s="1031"/>
      <c r="G216" s="1031"/>
      <c r="H216" s="1031"/>
      <c r="I216" s="1031"/>
      <c r="J216" s="1031"/>
      <c r="K216" s="1031"/>
      <c r="L216" s="1031"/>
      <c r="M216" s="1031"/>
      <c r="N216" s="1031"/>
      <c r="O216" s="469"/>
      <c r="P216" s="470"/>
    </row>
    <row r="217" spans="1:16" ht="15.75" thickBot="1">
      <c r="A217" s="1032"/>
      <c r="B217" s="1033"/>
      <c r="C217" s="1033"/>
      <c r="D217" s="1033"/>
      <c r="E217" s="1033"/>
      <c r="F217" s="1033"/>
      <c r="G217" s="1033"/>
      <c r="H217" s="1033"/>
      <c r="I217" s="1033"/>
      <c r="J217" s="1033"/>
      <c r="K217" s="1033"/>
      <c r="L217" s="1033"/>
      <c r="M217" s="1033"/>
      <c r="N217" s="1033"/>
      <c r="O217" s="471"/>
      <c r="P217" s="464"/>
    </row>
    <row r="218" spans="1:16" ht="15.75" thickBot="1">
      <c r="A218" s="1034" t="s">
        <v>451</v>
      </c>
      <c r="B218" s="1035"/>
      <c r="C218" s="1035"/>
      <c r="D218" s="1035"/>
      <c r="E218" s="1035"/>
      <c r="F218" s="1035"/>
      <c r="G218" s="1035"/>
      <c r="H218" s="1035"/>
      <c r="I218" s="1035"/>
      <c r="J218" s="1035"/>
      <c r="K218" s="1035"/>
      <c r="L218" s="1035"/>
      <c r="M218" s="1035"/>
      <c r="N218" s="1035"/>
      <c r="O218" s="471"/>
      <c r="P218" s="464"/>
    </row>
    <row r="219" spans="1:16" ht="25.5" customHeight="1">
      <c r="A219" s="472" t="s">
        <v>483</v>
      </c>
      <c r="B219" s="405"/>
      <c r="C219" s="405"/>
      <c r="D219" s="406"/>
      <c r="E219" s="1036" t="s">
        <v>484</v>
      </c>
      <c r="F219" s="1037"/>
      <c r="G219" s="1037"/>
      <c r="H219" s="1054" t="str">
        <f>'0422Master'!B19</f>
        <v xml:space="preserve">Mandar Shetty </v>
      </c>
      <c r="I219" s="1054"/>
      <c r="J219" s="1054"/>
      <c r="K219" s="473"/>
      <c r="L219" s="473"/>
      <c r="M219" s="473"/>
      <c r="N219" s="473"/>
      <c r="O219" s="471"/>
      <c r="P219" s="464"/>
    </row>
    <row r="220" spans="1:16">
      <c r="A220" s="474"/>
      <c r="B220" s="399" t="s">
        <v>384</v>
      </c>
      <c r="C220" s="399"/>
      <c r="D220" s="408"/>
      <c r="E220" s="475"/>
      <c r="F220" s="476"/>
      <c r="J220" s="476"/>
      <c r="K220" s="476"/>
      <c r="L220" s="476"/>
      <c r="M220" s="476"/>
      <c r="N220" s="476"/>
      <c r="O220" s="471"/>
      <c r="P220" s="464"/>
    </row>
    <row r="221" spans="1:16" ht="15.75" thickBot="1">
      <c r="A221" s="410"/>
      <c r="B221" s="411" t="s">
        <v>385</v>
      </c>
      <c r="C221" s="411"/>
      <c r="D221" s="412"/>
      <c r="E221" s="475"/>
      <c r="F221" s="476"/>
      <c r="G221" s="476"/>
      <c r="H221" s="476"/>
      <c r="I221" s="476"/>
      <c r="J221" s="476"/>
      <c r="K221" s="476"/>
      <c r="L221" s="476"/>
      <c r="M221" s="476"/>
      <c r="N221" s="476"/>
      <c r="O221" s="471"/>
      <c r="P221" s="464"/>
    </row>
    <row r="222" spans="1:16">
      <c r="A222" s="404" t="s">
        <v>485</v>
      </c>
      <c r="B222" s="405"/>
      <c r="C222" s="405"/>
      <c r="D222" s="406"/>
      <c r="E222" s="404" t="s">
        <v>452</v>
      </c>
      <c r="F222" s="405"/>
      <c r="G222" s="1053">
        <v>44509</v>
      </c>
      <c r="H222" s="1038"/>
      <c r="I222" s="1038"/>
      <c r="J222" s="405"/>
      <c r="K222" s="405"/>
      <c r="L222" s="405"/>
      <c r="M222" s="405"/>
      <c r="N222" s="405"/>
      <c r="O222" s="471"/>
      <c r="P222" s="464"/>
    </row>
    <row r="223" spans="1:16">
      <c r="A223" s="474"/>
      <c r="B223" s="399"/>
      <c r="C223" s="399" t="s">
        <v>374</v>
      </c>
      <c r="D223" s="408"/>
      <c r="E223" s="407"/>
      <c r="F223" s="399"/>
      <c r="G223" s="399"/>
      <c r="H223" s="399"/>
      <c r="I223" s="399"/>
      <c r="J223" s="399"/>
      <c r="K223" s="399"/>
      <c r="L223" s="399"/>
      <c r="M223" s="399"/>
      <c r="N223" s="399"/>
      <c r="O223" s="471"/>
      <c r="P223" s="464"/>
    </row>
    <row r="224" spans="1:16">
      <c r="A224" s="474"/>
      <c r="B224" s="399"/>
      <c r="C224" s="399"/>
      <c r="D224" s="408"/>
      <c r="E224" s="478"/>
      <c r="F224" s="399"/>
      <c r="G224" s="399"/>
      <c r="H224" s="399"/>
      <c r="I224" s="399"/>
      <c r="J224" s="399"/>
      <c r="K224" s="399"/>
      <c r="L224" s="399"/>
      <c r="M224" s="399"/>
      <c r="N224" s="399"/>
      <c r="O224" s="471"/>
      <c r="P224" s="464"/>
    </row>
    <row r="225" spans="1:17" ht="15.75" thickBot="1">
      <c r="A225" s="479"/>
      <c r="B225" s="402"/>
      <c r="C225" s="402"/>
      <c r="D225" s="480"/>
      <c r="E225" s="410"/>
      <c r="F225" s="411"/>
      <c r="G225" s="411"/>
      <c r="H225" s="411"/>
      <c r="I225" s="411"/>
      <c r="J225" s="411"/>
      <c r="K225" s="411"/>
      <c r="L225" s="411"/>
      <c r="M225" s="411"/>
      <c r="N225" s="411"/>
      <c r="O225" s="481"/>
      <c r="P225" s="468"/>
    </row>
    <row r="226" spans="1:17">
      <c r="A226" s="1039" t="s">
        <v>5</v>
      </c>
      <c r="B226" s="1041" t="s">
        <v>453</v>
      </c>
      <c r="C226" s="1042"/>
      <c r="D226" s="1041" t="s">
        <v>454</v>
      </c>
      <c r="E226" s="1044"/>
      <c r="F226" s="989" t="s">
        <v>455</v>
      </c>
      <c r="G226" s="1043" t="s">
        <v>456</v>
      </c>
      <c r="H226" s="1047"/>
      <c r="I226" s="1048" t="s">
        <v>457</v>
      </c>
      <c r="J226" s="1047"/>
      <c r="K226" s="1049"/>
      <c r="L226" s="1048" t="s">
        <v>458</v>
      </c>
      <c r="M226" s="1047"/>
      <c r="N226" s="1047"/>
      <c r="O226" s="1027" t="s">
        <v>459</v>
      </c>
      <c r="P226" s="1027" t="s">
        <v>40</v>
      </c>
    </row>
    <row r="227" spans="1:17" ht="15.75" thickBot="1">
      <c r="A227" s="1040"/>
      <c r="B227" s="1043"/>
      <c r="C227" s="1044"/>
      <c r="D227" s="1043"/>
      <c r="E227" s="1044"/>
      <c r="F227" s="985"/>
      <c r="G227" s="1043"/>
      <c r="H227" s="1047"/>
      <c r="I227" s="1050"/>
      <c r="J227" s="1051"/>
      <c r="K227" s="1052"/>
      <c r="L227" s="1050"/>
      <c r="M227" s="1051"/>
      <c r="N227" s="1051"/>
      <c r="O227" s="1028"/>
      <c r="P227" s="1028"/>
    </row>
    <row r="228" spans="1:17">
      <c r="A228" s="482">
        <v>1</v>
      </c>
      <c r="B228" s="1045"/>
      <c r="C228" s="1046"/>
      <c r="D228" s="1045"/>
      <c r="E228" s="1046"/>
      <c r="F228" s="414">
        <v>6</v>
      </c>
      <c r="G228" s="1045"/>
      <c r="H228" s="1046"/>
      <c r="I228" s="483">
        <v>9</v>
      </c>
      <c r="J228" s="483"/>
      <c r="K228" s="483"/>
      <c r="L228" s="483">
        <v>9</v>
      </c>
      <c r="M228" s="483"/>
      <c r="N228" s="483"/>
      <c r="O228" s="484" t="s">
        <v>460</v>
      </c>
      <c r="P228" s="485"/>
    </row>
    <row r="229" spans="1:17" ht="51">
      <c r="A229" s="459"/>
      <c r="B229" s="394" t="s">
        <v>461</v>
      </c>
      <c r="C229" s="394" t="s">
        <v>462</v>
      </c>
      <c r="D229" s="394" t="s">
        <v>463</v>
      </c>
      <c r="E229" s="394" t="s">
        <v>134</v>
      </c>
      <c r="F229" s="394"/>
      <c r="G229" s="394" t="s">
        <v>464</v>
      </c>
      <c r="H229" s="394" t="s">
        <v>465</v>
      </c>
      <c r="I229" s="394" t="s">
        <v>466</v>
      </c>
      <c r="J229" s="394" t="s">
        <v>467</v>
      </c>
      <c r="K229" s="394" t="s">
        <v>468</v>
      </c>
      <c r="L229" s="394" t="s">
        <v>469</v>
      </c>
      <c r="M229" s="394" t="s">
        <v>470</v>
      </c>
      <c r="N229" s="486" t="s">
        <v>471</v>
      </c>
      <c r="O229" s="487"/>
      <c r="P229" s="488"/>
    </row>
    <row r="230" spans="1:17">
      <c r="A230" s="459"/>
      <c r="B230" s="489"/>
      <c r="C230" s="394"/>
      <c r="D230" s="394"/>
      <c r="E230" s="394"/>
      <c r="F230" s="394"/>
      <c r="G230" s="394"/>
      <c r="H230" s="394"/>
      <c r="I230" s="394"/>
      <c r="J230" s="394"/>
      <c r="K230" s="394"/>
      <c r="L230" s="394"/>
      <c r="M230" s="394"/>
      <c r="N230" s="394"/>
      <c r="O230" s="460"/>
      <c r="P230" s="461"/>
    </row>
    <row r="231" spans="1:17">
      <c r="A231" s="490"/>
      <c r="B231" s="394"/>
      <c r="C231" s="394"/>
      <c r="D231" s="491"/>
      <c r="E231" s="491"/>
      <c r="F231" s="394"/>
      <c r="G231" s="394"/>
      <c r="H231" s="394"/>
      <c r="I231" s="394"/>
      <c r="J231" s="394"/>
      <c r="K231" s="394"/>
      <c r="L231" s="394"/>
      <c r="M231" s="394"/>
      <c r="N231" s="394"/>
      <c r="O231" s="460"/>
      <c r="P231" s="461"/>
    </row>
    <row r="232" spans="1:17" s="543" customFormat="1" ht="39.6" customHeight="1">
      <c r="A232" s="1363" t="s">
        <v>822</v>
      </c>
      <c r="B232" s="460">
        <v>1.5</v>
      </c>
      <c r="C232" s="460">
        <v>1</v>
      </c>
      <c r="D232" s="493">
        <v>44564</v>
      </c>
      <c r="E232" s="493">
        <v>44564</v>
      </c>
      <c r="F232" s="460">
        <v>3.5</v>
      </c>
      <c r="G232" s="460"/>
      <c r="H232" s="460"/>
      <c r="I232" s="460" t="s">
        <v>493</v>
      </c>
      <c r="J232" s="460" t="s">
        <v>493</v>
      </c>
      <c r="K232" s="460" t="s">
        <v>493</v>
      </c>
      <c r="L232" s="460"/>
      <c r="M232" s="460"/>
      <c r="N232" s="460"/>
      <c r="O232" s="460"/>
      <c r="P232" s="461"/>
    </row>
    <row r="233" spans="1:17">
      <c r="A233" s="490" t="s">
        <v>871</v>
      </c>
      <c r="B233" s="806">
        <v>1.5</v>
      </c>
      <c r="C233" s="806">
        <v>1</v>
      </c>
      <c r="D233" s="491">
        <v>44606</v>
      </c>
      <c r="E233" s="491">
        <v>44606</v>
      </c>
      <c r="F233" s="947">
        <f>F232+B233-C233</f>
        <v>4</v>
      </c>
      <c r="G233" s="394"/>
      <c r="H233" s="394"/>
      <c r="I233" s="394" t="s">
        <v>493</v>
      </c>
      <c r="J233" s="394" t="s">
        <v>493</v>
      </c>
      <c r="K233" s="394" t="s">
        <v>493</v>
      </c>
      <c r="L233" s="394"/>
      <c r="M233" s="394"/>
      <c r="N233" s="394"/>
      <c r="O233" s="460"/>
      <c r="P233" s="461"/>
    </row>
    <row r="234" spans="1:17">
      <c r="A234" s="537" t="s">
        <v>894</v>
      </c>
      <c r="B234" s="947">
        <v>1.5</v>
      </c>
      <c r="C234" s="947">
        <v>0</v>
      </c>
      <c r="D234" s="394">
        <v>0</v>
      </c>
      <c r="E234" s="394">
        <v>0</v>
      </c>
      <c r="F234" s="947">
        <f>F233+B234-C234</f>
        <v>5.5</v>
      </c>
      <c r="G234" s="394"/>
      <c r="H234" s="394"/>
      <c r="I234" s="394" t="s">
        <v>493</v>
      </c>
      <c r="J234" s="394" t="s">
        <v>493</v>
      </c>
      <c r="K234" s="394" t="s">
        <v>493</v>
      </c>
      <c r="L234" s="553"/>
      <c r="M234" s="553"/>
      <c r="N234" s="553"/>
      <c r="O234" s="460"/>
      <c r="P234" s="461"/>
    </row>
    <row r="235" spans="1:17">
      <c r="A235" s="1359" t="s">
        <v>901</v>
      </c>
      <c r="B235" s="947">
        <v>1.5</v>
      </c>
      <c r="C235" s="947">
        <v>1</v>
      </c>
      <c r="D235" s="491">
        <v>44665</v>
      </c>
      <c r="E235" s="491">
        <v>44665</v>
      </c>
      <c r="F235" s="856">
        <f>F234+B235-C235</f>
        <v>6</v>
      </c>
      <c r="G235" s="394"/>
      <c r="H235" s="394"/>
      <c r="I235" s="394" t="s">
        <v>493</v>
      </c>
      <c r="J235" s="394" t="s">
        <v>493</v>
      </c>
      <c r="K235" s="394" t="s">
        <v>493</v>
      </c>
      <c r="L235" s="394"/>
      <c r="M235" s="394"/>
      <c r="N235" s="394"/>
      <c r="O235" s="460"/>
      <c r="P235" s="461"/>
      <c r="Q235" s="8">
        <v>4</v>
      </c>
    </row>
    <row r="236" spans="1:17">
      <c r="A236" s="492"/>
      <c r="B236" s="394"/>
      <c r="C236" s="394"/>
      <c r="D236" s="394"/>
      <c r="E236" s="394"/>
      <c r="F236" s="394"/>
      <c r="G236" s="394"/>
      <c r="H236" s="394"/>
      <c r="I236" s="394"/>
      <c r="J236" s="394"/>
      <c r="K236" s="394"/>
      <c r="L236" s="394"/>
      <c r="M236" s="394"/>
      <c r="N236" s="394"/>
      <c r="O236" s="460"/>
      <c r="P236" s="461"/>
    </row>
    <row r="237" spans="1:17">
      <c r="A237" s="492"/>
      <c r="B237" s="394"/>
      <c r="C237" s="394"/>
      <c r="D237" s="394"/>
      <c r="E237" s="394"/>
      <c r="F237" s="394"/>
      <c r="G237" s="394"/>
      <c r="H237" s="394"/>
      <c r="I237" s="394"/>
      <c r="J237" s="394"/>
      <c r="K237" s="394"/>
      <c r="L237" s="394"/>
      <c r="M237" s="394"/>
      <c r="N237" s="394"/>
      <c r="O237" s="460"/>
      <c r="P237" s="461"/>
    </row>
    <row r="238" spans="1:17">
      <c r="A238" s="492"/>
      <c r="B238" s="394"/>
      <c r="C238" s="394"/>
      <c r="D238" s="394"/>
      <c r="E238" s="394"/>
      <c r="F238" s="394"/>
      <c r="G238" s="394"/>
      <c r="H238" s="394"/>
      <c r="I238" s="394"/>
      <c r="J238" s="394"/>
      <c r="K238" s="394"/>
      <c r="L238" s="394"/>
      <c r="M238" s="394"/>
      <c r="N238" s="394"/>
      <c r="O238" s="460"/>
      <c r="P238" s="461"/>
    </row>
    <row r="239" spans="1:17">
      <c r="A239" s="492"/>
      <c r="B239" s="394"/>
      <c r="C239" s="394"/>
      <c r="D239" s="394"/>
      <c r="E239" s="394"/>
      <c r="F239" s="394"/>
      <c r="G239" s="394"/>
      <c r="H239" s="394"/>
      <c r="I239" s="394"/>
      <c r="J239" s="394"/>
      <c r="K239" s="394"/>
      <c r="L239" s="394"/>
      <c r="M239" s="394"/>
      <c r="N239" s="394"/>
      <c r="O239" s="460"/>
      <c r="P239" s="461"/>
    </row>
    <row r="240" spans="1:17">
      <c r="A240" s="492"/>
      <c r="B240" s="394"/>
      <c r="C240" s="394"/>
      <c r="D240" s="491"/>
      <c r="E240" s="491"/>
      <c r="F240" s="394"/>
      <c r="G240" s="394"/>
      <c r="H240" s="394"/>
      <c r="I240" s="394"/>
      <c r="J240" s="394"/>
      <c r="K240" s="394"/>
      <c r="L240" s="394"/>
      <c r="M240" s="394"/>
      <c r="N240" s="394"/>
      <c r="O240" s="460"/>
      <c r="P240" s="461"/>
    </row>
    <row r="241" spans="1:16">
      <c r="A241" s="492"/>
      <c r="B241" s="394"/>
      <c r="C241" s="394"/>
      <c r="D241" s="491"/>
      <c r="E241" s="491"/>
      <c r="F241" s="394"/>
      <c r="G241" s="394"/>
      <c r="H241" s="394"/>
      <c r="I241" s="394"/>
      <c r="J241" s="394"/>
      <c r="K241" s="394"/>
      <c r="L241" s="394"/>
      <c r="M241" s="394"/>
      <c r="N241" s="394"/>
      <c r="O241" s="460"/>
      <c r="P241" s="461"/>
    </row>
    <row r="242" spans="1:16">
      <c r="A242" s="492"/>
      <c r="B242" s="394"/>
      <c r="C242" s="394"/>
      <c r="D242" s="491"/>
      <c r="E242" s="491"/>
      <c r="F242" s="394"/>
      <c r="G242" s="394"/>
      <c r="H242" s="394"/>
      <c r="I242" s="394"/>
      <c r="J242" s="394"/>
      <c r="K242" s="394"/>
      <c r="L242" s="394"/>
      <c r="M242" s="394"/>
      <c r="N242" s="394"/>
      <c r="O242" s="460"/>
      <c r="P242" s="461"/>
    </row>
    <row r="243" spans="1:16">
      <c r="A243" s="492"/>
      <c r="B243" s="394"/>
      <c r="C243" s="394"/>
      <c r="D243" s="491"/>
      <c r="E243" s="491"/>
      <c r="F243" s="394"/>
      <c r="G243" s="394"/>
      <c r="H243" s="394"/>
      <c r="I243" s="394"/>
      <c r="J243" s="394"/>
      <c r="K243" s="394"/>
      <c r="L243" s="394"/>
      <c r="M243" s="394"/>
      <c r="N243" s="394"/>
      <c r="O243" s="460"/>
      <c r="P243" s="461"/>
    </row>
    <row r="244" spans="1:16">
      <c r="A244" s="492"/>
      <c r="B244" s="394"/>
      <c r="C244" s="394"/>
      <c r="D244" s="491"/>
      <c r="E244" s="491"/>
      <c r="F244" s="394"/>
      <c r="G244" s="394"/>
      <c r="H244" s="394"/>
      <c r="I244" s="394"/>
      <c r="J244" s="394"/>
      <c r="K244" s="394"/>
      <c r="L244" s="394"/>
      <c r="M244" s="394"/>
      <c r="N244" s="394"/>
      <c r="O244" s="460"/>
      <c r="P244" s="461"/>
    </row>
    <row r="245" spans="1:16">
      <c r="A245" s="492"/>
      <c r="B245" s="394"/>
      <c r="C245" s="394"/>
      <c r="D245" s="491"/>
      <c r="E245" s="491"/>
      <c r="F245" s="394"/>
      <c r="G245" s="394"/>
      <c r="H245" s="394"/>
      <c r="I245" s="394"/>
      <c r="J245" s="394"/>
      <c r="K245" s="394"/>
      <c r="L245" s="394"/>
      <c r="M245" s="394"/>
      <c r="N245" s="394"/>
      <c r="O245" s="460"/>
      <c r="P245" s="461"/>
    </row>
    <row r="246" spans="1:16">
      <c r="A246" s="459"/>
      <c r="B246" s="394"/>
      <c r="C246" s="394"/>
      <c r="D246" s="394"/>
      <c r="E246" s="394"/>
      <c r="F246" s="394"/>
      <c r="G246" s="394"/>
      <c r="H246" s="394"/>
      <c r="I246" s="394"/>
      <c r="J246" s="394"/>
      <c r="K246" s="394"/>
      <c r="L246" s="394"/>
      <c r="M246" s="394"/>
      <c r="N246" s="394"/>
      <c r="O246" s="460"/>
      <c r="P246" s="461"/>
    </row>
    <row r="247" spans="1:16">
      <c r="A247" s="459"/>
      <c r="B247" s="394"/>
      <c r="C247" s="394"/>
      <c r="D247" s="394"/>
      <c r="E247" s="394"/>
      <c r="F247" s="394"/>
      <c r="G247" s="394"/>
      <c r="H247" s="394"/>
      <c r="I247" s="394"/>
      <c r="J247" s="394"/>
      <c r="K247" s="394"/>
      <c r="L247" s="394"/>
      <c r="M247" s="394"/>
      <c r="N247" s="394"/>
      <c r="O247" s="460"/>
      <c r="P247" s="461"/>
    </row>
    <row r="248" spans="1:16">
      <c r="A248" s="459"/>
      <c r="B248" s="394"/>
      <c r="C248" s="394"/>
      <c r="D248" s="394"/>
      <c r="E248" s="394"/>
      <c r="F248" s="394"/>
      <c r="G248" s="394"/>
      <c r="H248" s="394"/>
      <c r="I248" s="394"/>
      <c r="J248" s="394"/>
      <c r="K248" s="394"/>
      <c r="L248" s="394"/>
      <c r="M248" s="394"/>
      <c r="N248" s="394"/>
      <c r="O248" s="460"/>
      <c r="P248" s="461"/>
    </row>
    <row r="249" spans="1:16">
      <c r="A249" s="459"/>
      <c r="B249" s="394"/>
      <c r="C249" s="394"/>
      <c r="D249" s="394"/>
      <c r="E249" s="394"/>
      <c r="F249" s="394"/>
      <c r="G249" s="394"/>
      <c r="H249" s="394"/>
      <c r="I249" s="394"/>
      <c r="J249" s="394"/>
      <c r="K249" s="394"/>
      <c r="L249" s="394"/>
      <c r="M249" s="394"/>
      <c r="N249" s="394"/>
      <c r="O249" s="460"/>
      <c r="P249" s="461"/>
    </row>
    <row r="250" spans="1:16">
      <c r="A250" s="459"/>
      <c r="B250" s="394"/>
      <c r="C250" s="394"/>
      <c r="D250" s="394"/>
      <c r="E250" s="394"/>
      <c r="F250" s="394"/>
      <c r="G250" s="394"/>
      <c r="H250" s="394"/>
      <c r="I250" s="394"/>
      <c r="J250" s="394"/>
      <c r="K250" s="394"/>
      <c r="L250" s="394"/>
      <c r="M250" s="394"/>
      <c r="N250" s="394"/>
      <c r="O250" s="460"/>
      <c r="P250" s="461"/>
    </row>
    <row r="251" spans="1:16">
      <c r="A251" s="474"/>
      <c r="B251" s="399"/>
      <c r="C251" s="399"/>
      <c r="D251" s="399"/>
      <c r="E251" s="399"/>
      <c r="F251" s="399"/>
      <c r="G251" s="399"/>
      <c r="H251" s="399"/>
      <c r="I251" s="399"/>
      <c r="J251" s="399"/>
      <c r="K251" s="399"/>
      <c r="L251" s="399"/>
      <c r="M251" s="399"/>
      <c r="N251" s="399"/>
      <c r="O251" s="494"/>
      <c r="P251" s="495"/>
    </row>
    <row r="252" spans="1:16">
      <c r="A252" s="474"/>
      <c r="B252" s="399"/>
      <c r="C252" s="399"/>
      <c r="D252" s="399"/>
      <c r="E252" s="399"/>
      <c r="F252" s="399"/>
      <c r="G252" s="399"/>
      <c r="H252" s="399"/>
      <c r="I252" s="399"/>
      <c r="J252" s="399"/>
      <c r="K252" s="399"/>
      <c r="L252" s="399"/>
      <c r="M252" s="399"/>
      <c r="N252" s="399"/>
      <c r="O252" s="494"/>
      <c r="P252" s="495"/>
    </row>
    <row r="253" spans="1:16">
      <c r="A253" s="474"/>
      <c r="B253" s="399"/>
      <c r="C253" s="399"/>
      <c r="D253" s="399"/>
      <c r="E253" s="399"/>
      <c r="F253" s="399"/>
      <c r="G253" s="399"/>
      <c r="H253" s="399"/>
      <c r="I253" s="399"/>
      <c r="J253" s="399"/>
      <c r="K253" s="399"/>
      <c r="L253" s="399"/>
      <c r="M253" s="399"/>
      <c r="N253" s="399"/>
      <c r="O253" s="494"/>
      <c r="P253" s="495"/>
    </row>
    <row r="254" spans="1:16">
      <c r="A254" s="463"/>
      <c r="B254" s="462"/>
      <c r="C254" s="462"/>
      <c r="D254" s="462"/>
      <c r="E254" s="462"/>
      <c r="F254" s="462"/>
      <c r="G254" s="462"/>
      <c r="H254" s="462"/>
      <c r="I254" s="462"/>
      <c r="J254" s="462"/>
      <c r="K254" s="462"/>
      <c r="L254" s="462"/>
      <c r="M254" s="462"/>
      <c r="N254" s="462"/>
      <c r="O254" s="371"/>
      <c r="P254" s="464"/>
    </row>
    <row r="255" spans="1:16">
      <c r="A255" s="463"/>
      <c r="B255" s="462"/>
      <c r="C255" s="462"/>
      <c r="D255" s="462"/>
      <c r="E255" s="462"/>
      <c r="F255" s="462"/>
      <c r="G255" s="462"/>
      <c r="H255" s="462"/>
      <c r="I255" s="462"/>
      <c r="J255" s="462"/>
      <c r="K255" s="462"/>
      <c r="L255" s="462"/>
      <c r="M255" s="462"/>
      <c r="N255" s="462"/>
      <c r="O255" s="371"/>
      <c r="P255" s="464"/>
    </row>
    <row r="256" spans="1:16">
      <c r="A256" s="463"/>
      <c r="B256" s="462"/>
      <c r="C256" s="462"/>
      <c r="D256" s="462"/>
      <c r="E256" s="462"/>
      <c r="F256" s="462"/>
      <c r="G256" s="462"/>
      <c r="H256" s="462"/>
      <c r="I256" s="462"/>
      <c r="J256" s="462"/>
      <c r="K256" s="462"/>
      <c r="L256" s="462"/>
      <c r="M256" s="462"/>
      <c r="N256" s="462"/>
      <c r="O256" s="371"/>
      <c r="P256" s="464"/>
    </row>
    <row r="257" spans="1:16" ht="15.75" thickBot="1">
      <c r="A257" s="465"/>
      <c r="B257" s="466"/>
      <c r="C257" s="466"/>
      <c r="D257" s="466"/>
      <c r="E257" s="466"/>
      <c r="F257" s="466"/>
      <c r="G257" s="1029" t="s">
        <v>38</v>
      </c>
      <c r="H257" s="1029"/>
      <c r="I257" s="1029"/>
      <c r="J257" s="1029"/>
      <c r="K257" s="1029"/>
      <c r="L257" s="1029"/>
      <c r="M257" s="1029"/>
      <c r="N257" s="1029"/>
      <c r="O257" s="467"/>
      <c r="P257" s="468"/>
    </row>
    <row r="283" spans="1:16" ht="15.75" thickBot="1"/>
    <row r="284" spans="1:16">
      <c r="A284" s="1030" t="s">
        <v>450</v>
      </c>
      <c r="B284" s="1031"/>
      <c r="C284" s="1031"/>
      <c r="D284" s="1031"/>
      <c r="E284" s="1031"/>
      <c r="F284" s="1031"/>
      <c r="G284" s="1031"/>
      <c r="H284" s="1031"/>
      <c r="I284" s="1031"/>
      <c r="J284" s="1031"/>
      <c r="K284" s="1031"/>
      <c r="L284" s="1031"/>
      <c r="M284" s="1031"/>
      <c r="N284" s="1031"/>
      <c r="O284" s="469"/>
      <c r="P284" s="470"/>
    </row>
    <row r="285" spans="1:16" ht="15.75" thickBot="1">
      <c r="A285" s="1032"/>
      <c r="B285" s="1033"/>
      <c r="C285" s="1033"/>
      <c r="D285" s="1033"/>
      <c r="E285" s="1033"/>
      <c r="F285" s="1033"/>
      <c r="G285" s="1033"/>
      <c r="H285" s="1033"/>
      <c r="I285" s="1033"/>
      <c r="J285" s="1033"/>
      <c r="K285" s="1033"/>
      <c r="L285" s="1033"/>
      <c r="M285" s="1033"/>
      <c r="N285" s="1033"/>
      <c r="O285" s="471"/>
      <c r="P285" s="464"/>
    </row>
    <row r="286" spans="1:16" ht="15.75" thickBot="1">
      <c r="A286" s="1034" t="s">
        <v>451</v>
      </c>
      <c r="B286" s="1035"/>
      <c r="C286" s="1035"/>
      <c r="D286" s="1035"/>
      <c r="E286" s="1035"/>
      <c r="F286" s="1035"/>
      <c r="G286" s="1035"/>
      <c r="H286" s="1035"/>
      <c r="I286" s="1035"/>
      <c r="J286" s="1035"/>
      <c r="K286" s="1035"/>
      <c r="L286" s="1035"/>
      <c r="M286" s="1035"/>
      <c r="N286" s="1035"/>
      <c r="O286" s="471"/>
      <c r="P286" s="464"/>
    </row>
    <row r="287" spans="1:16">
      <c r="A287" s="472" t="s">
        <v>483</v>
      </c>
      <c r="B287" s="405"/>
      <c r="C287" s="405"/>
      <c r="D287" s="406"/>
      <c r="E287" s="1036" t="s">
        <v>484</v>
      </c>
      <c r="F287" s="1037"/>
      <c r="G287" s="1037"/>
      <c r="H287" s="473"/>
      <c r="I287" s="473"/>
      <c r="J287" s="473"/>
      <c r="K287" s="473"/>
      <c r="L287" s="473"/>
      <c r="M287" s="473"/>
      <c r="N287" s="473"/>
      <c r="O287" s="471"/>
      <c r="P287" s="464"/>
    </row>
    <row r="288" spans="1:16">
      <c r="A288" s="474"/>
      <c r="B288" s="399" t="s">
        <v>384</v>
      </c>
      <c r="C288" s="399"/>
      <c r="D288" s="408"/>
      <c r="E288" s="475"/>
      <c r="F288" s="476"/>
      <c r="G288" s="1038" t="str">
        <f>'0422Master'!B20</f>
        <v xml:space="preserve">Vivek Dongre </v>
      </c>
      <c r="H288" s="1038"/>
      <c r="I288" s="1038"/>
      <c r="J288" s="476"/>
      <c r="K288" s="476"/>
      <c r="L288" s="476"/>
      <c r="M288" s="476"/>
      <c r="N288" s="476"/>
      <c r="O288" s="471"/>
      <c r="P288" s="464"/>
    </row>
    <row r="289" spans="1:17" ht="15.75" thickBot="1">
      <c r="A289" s="410"/>
      <c r="B289" s="411" t="s">
        <v>385</v>
      </c>
      <c r="C289" s="411"/>
      <c r="D289" s="412"/>
      <c r="E289" s="475"/>
      <c r="F289" s="476"/>
      <c r="G289" s="476"/>
      <c r="H289" s="476"/>
      <c r="I289" s="476"/>
      <c r="J289" s="476"/>
      <c r="K289" s="476"/>
      <c r="L289" s="476"/>
      <c r="M289" s="476"/>
      <c r="N289" s="476"/>
      <c r="O289" s="471"/>
      <c r="P289" s="464"/>
    </row>
    <row r="290" spans="1:17">
      <c r="A290" s="404" t="s">
        <v>485</v>
      </c>
      <c r="B290" s="405"/>
      <c r="C290" s="405"/>
      <c r="D290" s="406"/>
      <c r="E290" s="404" t="s">
        <v>452</v>
      </c>
      <c r="F290" s="405"/>
      <c r="G290" s="477">
        <v>44515</v>
      </c>
      <c r="H290" s="405"/>
      <c r="I290" s="405"/>
      <c r="J290" s="405"/>
      <c r="K290" s="405"/>
      <c r="L290" s="405"/>
      <c r="M290" s="405"/>
      <c r="N290" s="405"/>
      <c r="O290" s="471"/>
      <c r="P290" s="464"/>
    </row>
    <row r="291" spans="1:17">
      <c r="A291" s="474"/>
      <c r="B291" s="399"/>
      <c r="C291" s="399" t="s">
        <v>374</v>
      </c>
      <c r="D291" s="408"/>
      <c r="E291" s="407"/>
      <c r="F291" s="399"/>
      <c r="G291" s="399"/>
      <c r="H291" s="399"/>
      <c r="I291" s="399"/>
      <c r="J291" s="399"/>
      <c r="K291" s="399"/>
      <c r="L291" s="399"/>
      <c r="M291" s="399"/>
      <c r="N291" s="399"/>
      <c r="O291" s="471"/>
      <c r="P291" s="464"/>
    </row>
    <row r="292" spans="1:17">
      <c r="A292" s="474"/>
      <c r="B292" s="399"/>
      <c r="C292" s="399"/>
      <c r="D292" s="408"/>
      <c r="E292" s="478"/>
      <c r="F292" s="399"/>
      <c r="G292" s="399"/>
      <c r="H292" s="399"/>
      <c r="I292" s="399"/>
      <c r="J292" s="399"/>
      <c r="K292" s="399"/>
      <c r="L292" s="399"/>
      <c r="M292" s="399"/>
      <c r="N292" s="399"/>
      <c r="O292" s="471"/>
      <c r="P292" s="464"/>
    </row>
    <row r="293" spans="1:17" ht="15.75" thickBot="1">
      <c r="A293" s="479"/>
      <c r="B293" s="402"/>
      <c r="C293" s="402"/>
      <c r="D293" s="480"/>
      <c r="E293" s="410"/>
      <c r="F293" s="411"/>
      <c r="G293" s="411"/>
      <c r="H293" s="411"/>
      <c r="I293" s="411"/>
      <c r="J293" s="411"/>
      <c r="K293" s="411"/>
      <c r="L293" s="411"/>
      <c r="M293" s="411"/>
      <c r="N293" s="411"/>
      <c r="O293" s="481"/>
      <c r="P293" s="468"/>
    </row>
    <row r="294" spans="1:17">
      <c r="A294" s="1039" t="s">
        <v>5</v>
      </c>
      <c r="B294" s="1041" t="s">
        <v>453</v>
      </c>
      <c r="C294" s="1042"/>
      <c r="D294" s="1041" t="s">
        <v>454</v>
      </c>
      <c r="E294" s="1044"/>
      <c r="F294" s="989" t="s">
        <v>455</v>
      </c>
      <c r="G294" s="1043" t="s">
        <v>456</v>
      </c>
      <c r="H294" s="1047"/>
      <c r="I294" s="1048" t="s">
        <v>457</v>
      </c>
      <c r="J294" s="1047"/>
      <c r="K294" s="1049"/>
      <c r="L294" s="1048" t="s">
        <v>458</v>
      </c>
      <c r="M294" s="1047"/>
      <c r="N294" s="1047"/>
      <c r="O294" s="1027" t="s">
        <v>459</v>
      </c>
      <c r="P294" s="1027" t="s">
        <v>40</v>
      </c>
    </row>
    <row r="295" spans="1:17" ht="15.75" thickBot="1">
      <c r="A295" s="1040"/>
      <c r="B295" s="1043"/>
      <c r="C295" s="1044"/>
      <c r="D295" s="1043"/>
      <c r="E295" s="1044"/>
      <c r="F295" s="985"/>
      <c r="G295" s="1043"/>
      <c r="H295" s="1047"/>
      <c r="I295" s="1050"/>
      <c r="J295" s="1051"/>
      <c r="K295" s="1052"/>
      <c r="L295" s="1050"/>
      <c r="M295" s="1051"/>
      <c r="N295" s="1051"/>
      <c r="O295" s="1028"/>
      <c r="P295" s="1028"/>
    </row>
    <row r="296" spans="1:17">
      <c r="A296" s="482">
        <v>1</v>
      </c>
      <c r="B296" s="1045"/>
      <c r="C296" s="1046"/>
      <c r="D296" s="1045"/>
      <c r="E296" s="1046"/>
      <c r="F296" s="414">
        <v>6</v>
      </c>
      <c r="G296" s="1045"/>
      <c r="H296" s="1046"/>
      <c r="I296" s="483">
        <v>9</v>
      </c>
      <c r="J296" s="483"/>
      <c r="K296" s="483"/>
      <c r="L296" s="483">
        <v>9</v>
      </c>
      <c r="M296" s="483"/>
      <c r="N296" s="483"/>
      <c r="O296" s="484" t="s">
        <v>460</v>
      </c>
      <c r="P296" s="485"/>
    </row>
    <row r="297" spans="1:17" ht="51">
      <c r="A297" s="459"/>
      <c r="B297" s="394" t="s">
        <v>461</v>
      </c>
      <c r="C297" s="394" t="s">
        <v>462</v>
      </c>
      <c r="D297" s="394" t="s">
        <v>463</v>
      </c>
      <c r="E297" s="394" t="s">
        <v>134</v>
      </c>
      <c r="F297" s="394"/>
      <c r="G297" s="394" t="s">
        <v>464</v>
      </c>
      <c r="H297" s="394" t="s">
        <v>465</v>
      </c>
      <c r="I297" s="394" t="s">
        <v>466</v>
      </c>
      <c r="J297" s="394" t="s">
        <v>467</v>
      </c>
      <c r="K297" s="394" t="s">
        <v>468</v>
      </c>
      <c r="L297" s="394" t="s">
        <v>469</v>
      </c>
      <c r="M297" s="394" t="s">
        <v>470</v>
      </c>
      <c r="N297" s="486" t="s">
        <v>471</v>
      </c>
      <c r="O297" s="487"/>
      <c r="P297" s="488"/>
    </row>
    <row r="298" spans="1:17">
      <c r="A298" s="459"/>
      <c r="B298" s="489"/>
      <c r="C298" s="394"/>
      <c r="D298" s="394"/>
      <c r="E298" s="394"/>
      <c r="F298" s="394"/>
      <c r="G298" s="394"/>
      <c r="H298" s="394"/>
      <c r="I298" s="394"/>
      <c r="J298" s="394"/>
      <c r="K298" s="394"/>
      <c r="L298" s="394"/>
      <c r="M298" s="394"/>
      <c r="N298" s="394"/>
      <c r="O298" s="460"/>
      <c r="P298" s="461"/>
    </row>
    <row r="299" spans="1:17">
      <c r="A299" s="490"/>
      <c r="B299" s="394"/>
      <c r="C299" s="394"/>
      <c r="D299" s="491"/>
      <c r="E299" s="491"/>
      <c r="F299" s="394"/>
      <c r="G299" s="394"/>
      <c r="H299" s="394"/>
      <c r="I299" s="394"/>
      <c r="J299" s="394"/>
      <c r="K299" s="394"/>
      <c r="L299" s="394"/>
      <c r="M299" s="394"/>
      <c r="N299" s="394"/>
      <c r="O299" s="460"/>
      <c r="P299" s="461"/>
    </row>
    <row r="300" spans="1:17" s="543" customFormat="1" ht="39.6" customHeight="1">
      <c r="A300" s="1363" t="s">
        <v>822</v>
      </c>
      <c r="B300" s="460">
        <v>1.5</v>
      </c>
      <c r="C300" s="460">
        <v>1</v>
      </c>
      <c r="D300" s="493">
        <v>44578</v>
      </c>
      <c r="E300" s="493">
        <v>44578</v>
      </c>
      <c r="F300" s="460">
        <v>2</v>
      </c>
      <c r="G300" s="460"/>
      <c r="H300" s="460"/>
      <c r="I300" s="460" t="s">
        <v>493</v>
      </c>
      <c r="J300" s="460" t="s">
        <v>493</v>
      </c>
      <c r="K300" s="460" t="s">
        <v>493</v>
      </c>
      <c r="L300" s="460"/>
      <c r="M300" s="460"/>
      <c r="N300" s="460"/>
      <c r="O300" s="460"/>
      <c r="P300" s="461"/>
    </row>
    <row r="301" spans="1:17">
      <c r="A301" s="490" t="s">
        <v>871</v>
      </c>
      <c r="B301" s="394">
        <v>1.5</v>
      </c>
      <c r="C301" s="394">
        <v>1</v>
      </c>
      <c r="D301" s="491">
        <v>44620</v>
      </c>
      <c r="E301" s="491">
        <v>44620</v>
      </c>
      <c r="F301" s="394">
        <f>F300+B301-C301</f>
        <v>2.5</v>
      </c>
      <c r="G301" s="394"/>
      <c r="H301" s="394"/>
      <c r="I301" s="394" t="s">
        <v>493</v>
      </c>
      <c r="J301" s="394" t="s">
        <v>493</v>
      </c>
      <c r="K301" s="394" t="s">
        <v>493</v>
      </c>
      <c r="L301" s="394"/>
      <c r="M301" s="394"/>
      <c r="N301" s="394"/>
      <c r="O301" s="460"/>
      <c r="P301" s="461"/>
    </row>
    <row r="302" spans="1:17">
      <c r="A302" s="537" t="s">
        <v>894</v>
      </c>
      <c r="B302" s="394">
        <v>1.5</v>
      </c>
      <c r="C302" s="394">
        <v>1</v>
      </c>
      <c r="D302" s="491">
        <v>44631</v>
      </c>
      <c r="E302" s="491">
        <v>44631</v>
      </c>
      <c r="F302" s="394">
        <f>F301+B302-C302</f>
        <v>3</v>
      </c>
      <c r="G302" s="394"/>
      <c r="H302" s="394"/>
      <c r="I302" s="394" t="s">
        <v>493</v>
      </c>
      <c r="J302" s="394" t="s">
        <v>493</v>
      </c>
      <c r="K302" s="394" t="s">
        <v>493</v>
      </c>
      <c r="L302" s="553"/>
      <c r="M302" s="553"/>
      <c r="N302" s="553"/>
      <c r="O302" s="460"/>
      <c r="P302" s="461"/>
    </row>
    <row r="303" spans="1:17">
      <c r="A303" s="1359" t="s">
        <v>901</v>
      </c>
      <c r="B303" s="394">
        <v>1.5</v>
      </c>
      <c r="C303" s="394">
        <v>0</v>
      </c>
      <c r="D303" s="394">
        <v>0</v>
      </c>
      <c r="E303" s="394">
        <v>0</v>
      </c>
      <c r="F303" s="1364">
        <f>F302+B303-C303</f>
        <v>4.5</v>
      </c>
      <c r="G303" s="394"/>
      <c r="H303" s="394"/>
      <c r="I303" s="394" t="s">
        <v>493</v>
      </c>
      <c r="J303" s="394" t="s">
        <v>493</v>
      </c>
      <c r="K303" s="394" t="s">
        <v>493</v>
      </c>
      <c r="L303" s="394"/>
      <c r="M303" s="394"/>
      <c r="N303" s="394"/>
      <c r="O303" s="460"/>
      <c r="P303" s="461"/>
      <c r="Q303" s="8">
        <v>5</v>
      </c>
    </row>
    <row r="304" spans="1:17">
      <c r="A304" s="492"/>
      <c r="B304" s="394"/>
      <c r="C304" s="394"/>
      <c r="D304" s="394"/>
      <c r="E304" s="394"/>
      <c r="F304" s="394"/>
      <c r="G304" s="394"/>
      <c r="H304" s="394"/>
      <c r="I304" s="394"/>
      <c r="J304" s="394"/>
      <c r="K304" s="394"/>
      <c r="L304" s="394"/>
      <c r="M304" s="394"/>
      <c r="N304" s="394"/>
      <c r="O304" s="460"/>
      <c r="P304" s="461"/>
    </row>
    <row r="305" spans="1:16">
      <c r="A305" s="492"/>
      <c r="B305" s="394"/>
      <c r="C305" s="394"/>
      <c r="D305" s="394"/>
      <c r="E305" s="394"/>
      <c r="F305" s="394"/>
      <c r="G305" s="394"/>
      <c r="H305" s="394"/>
      <c r="I305" s="394"/>
      <c r="J305" s="394"/>
      <c r="K305" s="394"/>
      <c r="L305" s="394"/>
      <c r="M305" s="394"/>
      <c r="N305" s="394"/>
      <c r="O305" s="460"/>
      <c r="P305" s="461"/>
    </row>
    <row r="306" spans="1:16">
      <c r="A306" s="492"/>
      <c r="B306" s="394"/>
      <c r="C306" s="394"/>
      <c r="D306" s="394"/>
      <c r="E306" s="394"/>
      <c r="F306" s="394"/>
      <c r="G306" s="394"/>
      <c r="H306" s="394"/>
      <c r="I306" s="394"/>
      <c r="J306" s="394"/>
      <c r="K306" s="394"/>
      <c r="L306" s="394"/>
      <c r="M306" s="394"/>
      <c r="N306" s="394"/>
      <c r="O306" s="460"/>
      <c r="P306" s="461"/>
    </row>
    <row r="307" spans="1:16">
      <c r="A307" s="492"/>
      <c r="B307" s="394"/>
      <c r="C307" s="394"/>
      <c r="D307" s="394"/>
      <c r="E307" s="394"/>
      <c r="F307" s="394"/>
      <c r="G307" s="394"/>
      <c r="H307" s="394"/>
      <c r="I307" s="394"/>
      <c r="J307" s="394"/>
      <c r="K307" s="394"/>
      <c r="L307" s="394"/>
      <c r="M307" s="394"/>
      <c r="N307" s="394"/>
      <c r="O307" s="460"/>
      <c r="P307" s="461"/>
    </row>
    <row r="308" spans="1:16">
      <c r="A308" s="492"/>
      <c r="B308" s="394"/>
      <c r="C308" s="394"/>
      <c r="D308" s="491"/>
      <c r="E308" s="491"/>
      <c r="F308" s="394"/>
      <c r="G308" s="394"/>
      <c r="H308" s="394"/>
      <c r="I308" s="394"/>
      <c r="J308" s="394"/>
      <c r="K308" s="394"/>
      <c r="L308" s="394"/>
      <c r="M308" s="394"/>
      <c r="N308" s="394"/>
      <c r="O308" s="460"/>
      <c r="P308" s="461"/>
    </row>
    <row r="309" spans="1:16">
      <c r="A309" s="492"/>
      <c r="B309" s="394"/>
      <c r="C309" s="394"/>
      <c r="D309" s="491"/>
      <c r="E309" s="491"/>
      <c r="F309" s="394"/>
      <c r="G309" s="394"/>
      <c r="H309" s="394"/>
      <c r="I309" s="394"/>
      <c r="J309" s="394"/>
      <c r="K309" s="394"/>
      <c r="L309" s="394"/>
      <c r="M309" s="394"/>
      <c r="N309" s="394"/>
      <c r="O309" s="460"/>
      <c r="P309" s="461"/>
    </row>
    <row r="310" spans="1:16">
      <c r="A310" s="492"/>
      <c r="B310" s="394"/>
      <c r="C310" s="394"/>
      <c r="D310" s="491"/>
      <c r="E310" s="491"/>
      <c r="F310" s="394"/>
      <c r="G310" s="394"/>
      <c r="H310" s="394"/>
      <c r="I310" s="394"/>
      <c r="J310" s="394"/>
      <c r="K310" s="394"/>
      <c r="L310" s="394"/>
      <c r="M310" s="394"/>
      <c r="N310" s="394"/>
      <c r="O310" s="460"/>
      <c r="P310" s="461"/>
    </row>
    <row r="311" spans="1:16">
      <c r="A311" s="492"/>
      <c r="B311" s="394"/>
      <c r="C311" s="394"/>
      <c r="D311" s="491"/>
      <c r="E311" s="491"/>
      <c r="F311" s="394"/>
      <c r="G311" s="394"/>
      <c r="H311" s="394"/>
      <c r="I311" s="394"/>
      <c r="J311" s="394"/>
      <c r="K311" s="394"/>
      <c r="L311" s="394"/>
      <c r="M311" s="394"/>
      <c r="N311" s="394"/>
      <c r="O311" s="460"/>
      <c r="P311" s="461"/>
    </row>
    <row r="312" spans="1:16">
      <c r="A312" s="492"/>
      <c r="B312" s="394"/>
      <c r="C312" s="394"/>
      <c r="D312" s="491"/>
      <c r="E312" s="491"/>
      <c r="F312" s="394"/>
      <c r="G312" s="394"/>
      <c r="H312" s="394"/>
      <c r="I312" s="394"/>
      <c r="J312" s="394"/>
      <c r="K312" s="394"/>
      <c r="L312" s="394"/>
      <c r="M312" s="394"/>
      <c r="N312" s="394"/>
      <c r="O312" s="460"/>
      <c r="P312" s="461"/>
    </row>
    <row r="313" spans="1:16">
      <c r="A313" s="492"/>
      <c r="B313" s="394"/>
      <c r="C313" s="394"/>
      <c r="D313" s="491"/>
      <c r="E313" s="491"/>
      <c r="F313" s="394"/>
      <c r="G313" s="394"/>
      <c r="H313" s="394"/>
      <c r="I313" s="394"/>
      <c r="J313" s="394"/>
      <c r="K313" s="394"/>
      <c r="L313" s="394"/>
      <c r="M313" s="394"/>
      <c r="N313" s="394"/>
      <c r="O313" s="460"/>
      <c r="P313" s="461"/>
    </row>
    <row r="314" spans="1:16">
      <c r="A314" s="459"/>
      <c r="B314" s="394"/>
      <c r="C314" s="394"/>
      <c r="D314" s="394"/>
      <c r="E314" s="394"/>
      <c r="F314" s="394"/>
      <c r="G314" s="394"/>
      <c r="H314" s="394"/>
      <c r="I314" s="394"/>
      <c r="J314" s="394"/>
      <c r="K314" s="394"/>
      <c r="L314" s="394"/>
      <c r="M314" s="394"/>
      <c r="N314" s="394"/>
      <c r="O314" s="460"/>
      <c r="P314" s="461"/>
    </row>
    <row r="315" spans="1:16">
      <c r="A315" s="459"/>
      <c r="B315" s="394"/>
      <c r="C315" s="394"/>
      <c r="D315" s="394"/>
      <c r="E315" s="394"/>
      <c r="F315" s="394"/>
      <c r="G315" s="394"/>
      <c r="H315" s="394"/>
      <c r="I315" s="394"/>
      <c r="J315" s="394"/>
      <c r="K315" s="394"/>
      <c r="L315" s="394"/>
      <c r="M315" s="394"/>
      <c r="N315" s="394"/>
      <c r="O315" s="460"/>
      <c r="P315" s="461"/>
    </row>
    <row r="316" spans="1:16">
      <c r="A316" s="459"/>
      <c r="B316" s="394"/>
      <c r="C316" s="394"/>
      <c r="D316" s="394"/>
      <c r="E316" s="394"/>
      <c r="F316" s="394"/>
      <c r="G316" s="394"/>
      <c r="H316" s="394"/>
      <c r="I316" s="394"/>
      <c r="J316" s="394"/>
      <c r="K316" s="394"/>
      <c r="L316" s="394"/>
      <c r="M316" s="394"/>
      <c r="N316" s="394"/>
      <c r="O316" s="460"/>
      <c r="P316" s="461"/>
    </row>
    <row r="317" spans="1:16">
      <c r="A317" s="459"/>
      <c r="B317" s="394"/>
      <c r="C317" s="394"/>
      <c r="D317" s="394"/>
      <c r="E317" s="394"/>
      <c r="F317" s="394"/>
      <c r="G317" s="394"/>
      <c r="H317" s="394"/>
      <c r="I317" s="394"/>
      <c r="J317" s="394"/>
      <c r="K317" s="394"/>
      <c r="L317" s="394"/>
      <c r="M317" s="394"/>
      <c r="N317" s="394"/>
      <c r="O317" s="460"/>
      <c r="P317" s="461"/>
    </row>
    <row r="318" spans="1:16">
      <c r="A318" s="459"/>
      <c r="B318" s="394"/>
      <c r="C318" s="394"/>
      <c r="D318" s="394"/>
      <c r="E318" s="394"/>
      <c r="F318" s="394"/>
      <c r="G318" s="394"/>
      <c r="H318" s="394"/>
      <c r="I318" s="394"/>
      <c r="J318" s="394"/>
      <c r="K318" s="394"/>
      <c r="L318" s="394"/>
      <c r="M318" s="394"/>
      <c r="N318" s="394"/>
      <c r="O318" s="460"/>
      <c r="P318" s="461"/>
    </row>
    <row r="319" spans="1:16">
      <c r="A319" s="474"/>
      <c r="B319" s="399"/>
      <c r="C319" s="399"/>
      <c r="D319" s="399"/>
      <c r="E319" s="399"/>
      <c r="F319" s="399"/>
      <c r="G319" s="399"/>
      <c r="H319" s="399"/>
      <c r="I319" s="399"/>
      <c r="J319" s="399"/>
      <c r="K319" s="399"/>
      <c r="L319" s="399"/>
      <c r="M319" s="399"/>
      <c r="N319" s="399"/>
      <c r="O319" s="494"/>
      <c r="P319" s="495"/>
    </row>
    <row r="320" spans="1:16">
      <c r="A320" s="474"/>
      <c r="B320" s="399"/>
      <c r="C320" s="399"/>
      <c r="D320" s="399"/>
      <c r="E320" s="399"/>
      <c r="F320" s="399"/>
      <c r="G320" s="399"/>
      <c r="H320" s="399"/>
      <c r="I320" s="399"/>
      <c r="J320" s="399"/>
      <c r="K320" s="399"/>
      <c r="L320" s="399"/>
      <c r="M320" s="399"/>
      <c r="N320" s="399"/>
      <c r="O320" s="494"/>
      <c r="P320" s="495"/>
    </row>
    <row r="321" spans="1:16">
      <c r="A321" s="474"/>
      <c r="B321" s="399"/>
      <c r="C321" s="399"/>
      <c r="D321" s="399"/>
      <c r="E321" s="399"/>
      <c r="F321" s="399"/>
      <c r="G321" s="399"/>
      <c r="H321" s="399"/>
      <c r="I321" s="399"/>
      <c r="J321" s="399"/>
      <c r="K321" s="399"/>
      <c r="L321" s="399"/>
      <c r="M321" s="399"/>
      <c r="N321" s="399"/>
      <c r="O321" s="494"/>
      <c r="P321" s="495"/>
    </row>
    <row r="322" spans="1:16">
      <c r="A322" s="463"/>
      <c r="B322" s="462"/>
      <c r="C322" s="462"/>
      <c r="D322" s="462"/>
      <c r="E322" s="462"/>
      <c r="F322" s="462"/>
      <c r="G322" s="462"/>
      <c r="H322" s="462"/>
      <c r="I322" s="462"/>
      <c r="J322" s="462"/>
      <c r="K322" s="462"/>
      <c r="L322" s="462"/>
      <c r="M322" s="462"/>
      <c r="N322" s="462"/>
      <c r="O322" s="371"/>
      <c r="P322" s="464"/>
    </row>
    <row r="323" spans="1:16">
      <c r="A323" s="463"/>
      <c r="B323" s="462"/>
      <c r="C323" s="462"/>
      <c r="D323" s="462"/>
      <c r="E323" s="462"/>
      <c r="F323" s="462"/>
      <c r="G323" s="462"/>
      <c r="H323" s="462"/>
      <c r="I323" s="462"/>
      <c r="J323" s="462"/>
      <c r="K323" s="462"/>
      <c r="L323" s="462"/>
      <c r="M323" s="462"/>
      <c r="N323" s="462"/>
      <c r="O323" s="371"/>
      <c r="P323" s="464"/>
    </row>
    <row r="324" spans="1:16">
      <c r="A324" s="463"/>
      <c r="B324" s="462"/>
      <c r="C324" s="462"/>
      <c r="D324" s="462"/>
      <c r="E324" s="462"/>
      <c r="F324" s="462"/>
      <c r="G324" s="462"/>
      <c r="H324" s="462"/>
      <c r="I324" s="462"/>
      <c r="J324" s="462"/>
      <c r="K324" s="462"/>
      <c r="L324" s="462"/>
      <c r="M324" s="462"/>
      <c r="N324" s="462"/>
      <c r="O324" s="371"/>
      <c r="P324" s="464"/>
    </row>
    <row r="325" spans="1:16" ht="15.75" thickBot="1">
      <c r="A325" s="465"/>
      <c r="B325" s="466"/>
      <c r="C325" s="466"/>
      <c r="D325" s="466"/>
      <c r="E325" s="466"/>
      <c r="F325" s="466"/>
      <c r="G325" s="1029" t="s">
        <v>38</v>
      </c>
      <c r="H325" s="1029"/>
      <c r="I325" s="1029"/>
      <c r="J325" s="1029"/>
      <c r="K325" s="1029"/>
      <c r="L325" s="1029"/>
      <c r="M325" s="1029"/>
      <c r="N325" s="1029"/>
      <c r="O325" s="467"/>
      <c r="P325" s="468"/>
    </row>
    <row r="351" spans="1:16" ht="15.75" thickBot="1"/>
    <row r="352" spans="1:16">
      <c r="A352" s="1030" t="s">
        <v>450</v>
      </c>
      <c r="B352" s="1031"/>
      <c r="C352" s="1031"/>
      <c r="D352" s="1031"/>
      <c r="E352" s="1031"/>
      <c r="F352" s="1031"/>
      <c r="G352" s="1031"/>
      <c r="H352" s="1031"/>
      <c r="I352" s="1031"/>
      <c r="J352" s="1031"/>
      <c r="K352" s="1031"/>
      <c r="L352" s="1031"/>
      <c r="M352" s="1031"/>
      <c r="N352" s="1031"/>
      <c r="O352" s="469"/>
      <c r="P352" s="470"/>
    </row>
    <row r="353" spans="1:16" ht="15.75" thickBot="1">
      <c r="A353" s="1032"/>
      <c r="B353" s="1033"/>
      <c r="C353" s="1033"/>
      <c r="D353" s="1033"/>
      <c r="E353" s="1033"/>
      <c r="F353" s="1033"/>
      <c r="G353" s="1033"/>
      <c r="H353" s="1033"/>
      <c r="I353" s="1033"/>
      <c r="J353" s="1033"/>
      <c r="K353" s="1033"/>
      <c r="L353" s="1033"/>
      <c r="M353" s="1033"/>
      <c r="N353" s="1033"/>
      <c r="O353" s="471"/>
      <c r="P353" s="464"/>
    </row>
    <row r="354" spans="1:16" ht="15.75" thickBot="1">
      <c r="A354" s="1034" t="s">
        <v>451</v>
      </c>
      <c r="B354" s="1035"/>
      <c r="C354" s="1035"/>
      <c r="D354" s="1035"/>
      <c r="E354" s="1035"/>
      <c r="F354" s="1035"/>
      <c r="G354" s="1035"/>
      <c r="H354" s="1035"/>
      <c r="I354" s="1035"/>
      <c r="J354" s="1035"/>
      <c r="K354" s="1035"/>
      <c r="L354" s="1035"/>
      <c r="M354" s="1035"/>
      <c r="N354" s="1035"/>
      <c r="O354" s="471"/>
      <c r="P354" s="464"/>
    </row>
    <row r="355" spans="1:16">
      <c r="A355" s="472" t="s">
        <v>483</v>
      </c>
      <c r="B355" s="405"/>
      <c r="C355" s="405"/>
      <c r="D355" s="406"/>
      <c r="E355" s="1036" t="s">
        <v>484</v>
      </c>
      <c r="F355" s="1037"/>
      <c r="G355" s="1037"/>
      <c r="H355" s="473"/>
      <c r="I355" s="473"/>
      <c r="J355" s="473"/>
      <c r="K355" s="473"/>
      <c r="L355" s="473"/>
      <c r="M355" s="473"/>
      <c r="N355" s="473"/>
      <c r="O355" s="471"/>
      <c r="P355" s="464"/>
    </row>
    <row r="356" spans="1:16">
      <c r="A356" s="474"/>
      <c r="B356" s="399" t="s">
        <v>384</v>
      </c>
      <c r="C356" s="399"/>
      <c r="D356" s="408"/>
      <c r="E356" s="475"/>
      <c r="F356" s="476"/>
      <c r="G356" s="1038" t="str">
        <f>'0422Master'!B21</f>
        <v>Amit Chawadi</v>
      </c>
      <c r="H356" s="1038"/>
      <c r="I356" s="1038"/>
      <c r="J356" s="476"/>
      <c r="K356" s="476"/>
      <c r="L356" s="476"/>
      <c r="M356" s="476"/>
      <c r="N356" s="476"/>
      <c r="O356" s="471"/>
      <c r="P356" s="464"/>
    </row>
    <row r="357" spans="1:16" ht="15.75" thickBot="1">
      <c r="A357" s="410"/>
      <c r="B357" s="411" t="s">
        <v>385</v>
      </c>
      <c r="C357" s="411"/>
      <c r="D357" s="412"/>
      <c r="E357" s="475"/>
      <c r="F357" s="476"/>
      <c r="G357" s="476"/>
      <c r="H357" s="476"/>
      <c r="I357" s="476"/>
      <c r="J357" s="476"/>
      <c r="K357" s="476"/>
      <c r="L357" s="476"/>
      <c r="M357" s="476"/>
      <c r="N357" s="476"/>
      <c r="O357" s="471"/>
      <c r="P357" s="464"/>
    </row>
    <row r="358" spans="1:16">
      <c r="A358" s="404" t="s">
        <v>485</v>
      </c>
      <c r="B358" s="405"/>
      <c r="C358" s="405"/>
      <c r="D358" s="406"/>
      <c r="E358" s="404" t="s">
        <v>452</v>
      </c>
      <c r="F358" s="405"/>
      <c r="G358" s="477">
        <v>44522</v>
      </c>
      <c r="H358" s="405"/>
      <c r="I358" s="405"/>
      <c r="J358" s="405"/>
      <c r="K358" s="405"/>
      <c r="L358" s="405"/>
      <c r="M358" s="405"/>
      <c r="N358" s="405"/>
      <c r="O358" s="471"/>
      <c r="P358" s="464"/>
    </row>
    <row r="359" spans="1:16">
      <c r="A359" s="474"/>
      <c r="B359" s="399"/>
      <c r="C359" s="399" t="s">
        <v>374</v>
      </c>
      <c r="D359" s="408"/>
      <c r="E359" s="407"/>
      <c r="F359" s="399"/>
      <c r="G359" s="399"/>
      <c r="H359" s="399"/>
      <c r="I359" s="399"/>
      <c r="J359" s="399"/>
      <c r="K359" s="399"/>
      <c r="L359" s="399"/>
      <c r="M359" s="399"/>
      <c r="N359" s="399"/>
      <c r="O359" s="471"/>
      <c r="P359" s="464"/>
    </row>
    <row r="360" spans="1:16">
      <c r="A360" s="474"/>
      <c r="B360" s="399"/>
      <c r="C360" s="399"/>
      <c r="D360" s="408"/>
      <c r="E360" s="478"/>
      <c r="F360" s="399"/>
      <c r="G360" s="399"/>
      <c r="H360" s="399"/>
      <c r="I360" s="399"/>
      <c r="J360" s="399"/>
      <c r="K360" s="399"/>
      <c r="L360" s="399"/>
      <c r="M360" s="399"/>
      <c r="N360" s="399"/>
      <c r="O360" s="471"/>
      <c r="P360" s="464"/>
    </row>
    <row r="361" spans="1:16" ht="15.75" thickBot="1">
      <c r="A361" s="479"/>
      <c r="B361" s="402"/>
      <c r="C361" s="402"/>
      <c r="D361" s="480"/>
      <c r="E361" s="410"/>
      <c r="F361" s="411"/>
      <c r="G361" s="411"/>
      <c r="H361" s="411"/>
      <c r="I361" s="411"/>
      <c r="J361" s="411"/>
      <c r="K361" s="411"/>
      <c r="L361" s="411"/>
      <c r="M361" s="411"/>
      <c r="N361" s="411"/>
      <c r="O361" s="481"/>
      <c r="P361" s="468"/>
    </row>
    <row r="362" spans="1:16">
      <c r="A362" s="1039" t="s">
        <v>5</v>
      </c>
      <c r="B362" s="1041" t="s">
        <v>453</v>
      </c>
      <c r="C362" s="1042"/>
      <c r="D362" s="1041" t="s">
        <v>454</v>
      </c>
      <c r="E362" s="1044"/>
      <c r="F362" s="989" t="s">
        <v>455</v>
      </c>
      <c r="G362" s="1043" t="s">
        <v>456</v>
      </c>
      <c r="H362" s="1047"/>
      <c r="I362" s="1048" t="s">
        <v>457</v>
      </c>
      <c r="J362" s="1047"/>
      <c r="K362" s="1049"/>
      <c r="L362" s="1048" t="s">
        <v>458</v>
      </c>
      <c r="M362" s="1047"/>
      <c r="N362" s="1047"/>
      <c r="O362" s="1027" t="s">
        <v>459</v>
      </c>
      <c r="P362" s="1027" t="s">
        <v>40</v>
      </c>
    </row>
    <row r="363" spans="1:16" ht="15.75" thickBot="1">
      <c r="A363" s="1040"/>
      <c r="B363" s="1043"/>
      <c r="C363" s="1044"/>
      <c r="D363" s="1043"/>
      <c r="E363" s="1044"/>
      <c r="F363" s="985"/>
      <c r="G363" s="1043"/>
      <c r="H363" s="1047"/>
      <c r="I363" s="1050"/>
      <c r="J363" s="1051"/>
      <c r="K363" s="1052"/>
      <c r="L363" s="1050"/>
      <c r="M363" s="1051"/>
      <c r="N363" s="1051"/>
      <c r="O363" s="1028"/>
      <c r="P363" s="1028"/>
    </row>
    <row r="364" spans="1:16">
      <c r="A364" s="482">
        <v>1</v>
      </c>
      <c r="B364" s="1045"/>
      <c r="C364" s="1046"/>
      <c r="D364" s="1045"/>
      <c r="E364" s="1046"/>
      <c r="F364" s="414">
        <v>6</v>
      </c>
      <c r="G364" s="1045"/>
      <c r="H364" s="1046"/>
      <c r="I364" s="483">
        <v>9</v>
      </c>
      <c r="J364" s="483"/>
      <c r="K364" s="483"/>
      <c r="L364" s="483">
        <v>9</v>
      </c>
      <c r="M364" s="483"/>
      <c r="N364" s="483"/>
      <c r="O364" s="484" t="s">
        <v>460</v>
      </c>
      <c r="P364" s="485"/>
    </row>
    <row r="365" spans="1:16" ht="51">
      <c r="A365" s="459"/>
      <c r="B365" s="394" t="s">
        <v>461</v>
      </c>
      <c r="C365" s="394" t="s">
        <v>462</v>
      </c>
      <c r="D365" s="394" t="s">
        <v>463</v>
      </c>
      <c r="E365" s="394" t="s">
        <v>134</v>
      </c>
      <c r="F365" s="394"/>
      <c r="G365" s="394" t="s">
        <v>464</v>
      </c>
      <c r="H365" s="394" t="s">
        <v>465</v>
      </c>
      <c r="I365" s="394" t="s">
        <v>466</v>
      </c>
      <c r="J365" s="394" t="s">
        <v>467</v>
      </c>
      <c r="K365" s="394" t="s">
        <v>468</v>
      </c>
      <c r="L365" s="394" t="s">
        <v>469</v>
      </c>
      <c r="M365" s="394" t="s">
        <v>470</v>
      </c>
      <c r="N365" s="486" t="s">
        <v>471</v>
      </c>
      <c r="O365" s="487"/>
      <c r="P365" s="488"/>
    </row>
    <row r="366" spans="1:16">
      <c r="A366" s="459"/>
      <c r="B366" s="489"/>
      <c r="C366" s="394"/>
      <c r="D366" s="394"/>
      <c r="E366" s="394"/>
      <c r="F366" s="394"/>
      <c r="G366" s="394"/>
      <c r="H366" s="394"/>
      <c r="I366" s="394"/>
      <c r="J366" s="394"/>
      <c r="K366" s="394"/>
      <c r="L366" s="394"/>
      <c r="M366" s="394"/>
      <c r="N366" s="394"/>
      <c r="O366" s="460"/>
      <c r="P366" s="461"/>
    </row>
    <row r="367" spans="1:16">
      <c r="A367" s="490"/>
      <c r="B367" s="394"/>
      <c r="C367" s="394"/>
      <c r="D367" s="491"/>
      <c r="E367" s="491"/>
      <c r="F367" s="394"/>
      <c r="G367" s="394"/>
      <c r="H367" s="394"/>
      <c r="I367" s="394"/>
      <c r="J367" s="394"/>
      <c r="K367" s="394"/>
      <c r="L367" s="394"/>
      <c r="M367" s="394"/>
      <c r="N367" s="394"/>
      <c r="O367" s="460"/>
      <c r="P367" s="461"/>
    </row>
    <row r="368" spans="1:16" s="543" customFormat="1" ht="39.6" customHeight="1">
      <c r="A368" s="1363" t="s">
        <v>822</v>
      </c>
      <c r="B368" s="460">
        <v>1.5</v>
      </c>
      <c r="C368" s="460">
        <v>0</v>
      </c>
      <c r="D368" s="460">
        <v>0</v>
      </c>
      <c r="E368" s="460">
        <v>0</v>
      </c>
      <c r="F368" s="460">
        <v>3</v>
      </c>
      <c r="G368" s="460"/>
      <c r="H368" s="460"/>
      <c r="I368" s="460" t="s">
        <v>493</v>
      </c>
      <c r="J368" s="460" t="s">
        <v>493</v>
      </c>
      <c r="K368" s="460" t="s">
        <v>493</v>
      </c>
      <c r="L368" s="460"/>
      <c r="M368" s="460"/>
      <c r="N368" s="460"/>
      <c r="O368" s="460"/>
      <c r="P368" s="461"/>
    </row>
    <row r="369" spans="1:17">
      <c r="A369" s="490" t="s">
        <v>871</v>
      </c>
      <c r="B369" s="394">
        <v>1.5</v>
      </c>
      <c r="C369" s="394">
        <v>0</v>
      </c>
      <c r="D369" s="394">
        <v>0</v>
      </c>
      <c r="E369" s="394">
        <v>0</v>
      </c>
      <c r="F369" s="394">
        <f>F368+B369-C369</f>
        <v>4.5</v>
      </c>
      <c r="G369" s="394"/>
      <c r="H369" s="394"/>
      <c r="I369" s="394" t="s">
        <v>493</v>
      </c>
      <c r="J369" s="394" t="s">
        <v>493</v>
      </c>
      <c r="K369" s="394" t="s">
        <v>493</v>
      </c>
      <c r="L369" s="394"/>
      <c r="M369" s="394"/>
      <c r="N369" s="394"/>
      <c r="O369" s="460"/>
      <c r="P369" s="461"/>
    </row>
    <row r="370" spans="1:17">
      <c r="A370" s="537" t="s">
        <v>894</v>
      </c>
      <c r="B370" s="394">
        <v>1.5</v>
      </c>
      <c r="C370" s="394">
        <v>0</v>
      </c>
      <c r="D370" s="394">
        <v>0</v>
      </c>
      <c r="E370" s="394">
        <v>0</v>
      </c>
      <c r="F370" s="394">
        <f>F369+B370-C370</f>
        <v>6</v>
      </c>
      <c r="G370" s="394"/>
      <c r="H370" s="394"/>
      <c r="I370" s="394" t="s">
        <v>493</v>
      </c>
      <c r="J370" s="394" t="s">
        <v>493</v>
      </c>
      <c r="K370" s="394" t="s">
        <v>493</v>
      </c>
      <c r="L370" s="553"/>
      <c r="M370" s="553"/>
      <c r="N370" s="553"/>
      <c r="O370" s="460"/>
      <c r="P370" s="461"/>
    </row>
    <row r="371" spans="1:17">
      <c r="A371" s="1359" t="s">
        <v>901</v>
      </c>
      <c r="B371" s="394">
        <v>1.5</v>
      </c>
      <c r="C371" s="394">
        <v>0</v>
      </c>
      <c r="D371" s="394">
        <v>0</v>
      </c>
      <c r="E371" s="394">
        <v>0</v>
      </c>
      <c r="F371" s="1364">
        <f>F370+B371-C371</f>
        <v>7.5</v>
      </c>
      <c r="G371" s="394"/>
      <c r="H371" s="394"/>
      <c r="I371" s="394" t="s">
        <v>493</v>
      </c>
      <c r="J371" s="394" t="s">
        <v>493</v>
      </c>
      <c r="K371" s="394" t="s">
        <v>493</v>
      </c>
      <c r="L371" s="394"/>
      <c r="M371" s="394"/>
      <c r="N371" s="394"/>
      <c r="O371" s="460"/>
      <c r="P371" s="461"/>
      <c r="Q371" s="8">
        <v>6</v>
      </c>
    </row>
    <row r="372" spans="1:17">
      <c r="A372" s="492"/>
      <c r="B372" s="394"/>
      <c r="C372" s="394"/>
      <c r="D372" s="394"/>
      <c r="E372" s="394"/>
      <c r="F372" s="394"/>
      <c r="G372" s="394"/>
      <c r="H372" s="394"/>
      <c r="I372" s="394"/>
      <c r="J372" s="394"/>
      <c r="K372" s="394"/>
      <c r="L372" s="394"/>
      <c r="M372" s="394"/>
      <c r="N372" s="394"/>
      <c r="O372" s="460"/>
      <c r="P372" s="461"/>
    </row>
    <row r="373" spans="1:17">
      <c r="A373" s="492"/>
      <c r="B373" s="394"/>
      <c r="C373" s="394"/>
      <c r="D373" s="394"/>
      <c r="E373" s="394"/>
      <c r="F373" s="394"/>
      <c r="G373" s="394"/>
      <c r="H373" s="394"/>
      <c r="I373" s="394"/>
      <c r="J373" s="394"/>
      <c r="K373" s="394"/>
      <c r="L373" s="394"/>
      <c r="M373" s="394"/>
      <c r="N373" s="394"/>
      <c r="O373" s="460"/>
      <c r="P373" s="461"/>
    </row>
    <row r="374" spans="1:17">
      <c r="A374" s="492"/>
      <c r="B374" s="394"/>
      <c r="C374" s="394"/>
      <c r="D374" s="394"/>
      <c r="E374" s="394"/>
      <c r="F374" s="394"/>
      <c r="G374" s="394"/>
      <c r="H374" s="394"/>
      <c r="I374" s="394"/>
      <c r="J374" s="394"/>
      <c r="K374" s="394"/>
      <c r="L374" s="394"/>
      <c r="M374" s="394"/>
      <c r="N374" s="394"/>
      <c r="O374" s="460"/>
      <c r="P374" s="461"/>
    </row>
    <row r="375" spans="1:17">
      <c r="A375" s="492"/>
      <c r="B375" s="394"/>
      <c r="C375" s="394"/>
      <c r="D375" s="394"/>
      <c r="E375" s="394"/>
      <c r="F375" s="394"/>
      <c r="G375" s="394"/>
      <c r="H375" s="394"/>
      <c r="I375" s="394"/>
      <c r="J375" s="394"/>
      <c r="K375" s="394"/>
      <c r="L375" s="394"/>
      <c r="M375" s="394"/>
      <c r="N375" s="394"/>
      <c r="O375" s="460"/>
      <c r="P375" s="461"/>
    </row>
    <row r="376" spans="1:17">
      <c r="A376" s="492"/>
      <c r="B376" s="394"/>
      <c r="C376" s="394"/>
      <c r="D376" s="491"/>
      <c r="E376" s="491"/>
      <c r="F376" s="394"/>
      <c r="G376" s="394"/>
      <c r="H376" s="394"/>
      <c r="I376" s="394"/>
      <c r="J376" s="394"/>
      <c r="K376" s="394"/>
      <c r="L376" s="394"/>
      <c r="M376" s="394"/>
      <c r="N376" s="394"/>
      <c r="O376" s="460"/>
      <c r="P376" s="461"/>
    </row>
    <row r="377" spans="1:17">
      <c r="A377" s="492"/>
      <c r="B377" s="394"/>
      <c r="C377" s="394"/>
      <c r="D377" s="491"/>
      <c r="E377" s="491"/>
      <c r="F377" s="394"/>
      <c r="G377" s="394"/>
      <c r="H377" s="394"/>
      <c r="I377" s="394"/>
      <c r="J377" s="394"/>
      <c r="K377" s="394"/>
      <c r="L377" s="394"/>
      <c r="M377" s="394"/>
      <c r="N377" s="394"/>
      <c r="O377" s="460"/>
      <c r="P377" s="461"/>
    </row>
    <row r="378" spans="1:17">
      <c r="A378" s="492"/>
      <c r="B378" s="394"/>
      <c r="C378" s="394"/>
      <c r="D378" s="491"/>
      <c r="E378" s="491"/>
      <c r="F378" s="394"/>
      <c r="G378" s="394"/>
      <c r="H378" s="394"/>
      <c r="I378" s="394"/>
      <c r="J378" s="394"/>
      <c r="K378" s="394"/>
      <c r="L378" s="394"/>
      <c r="M378" s="394"/>
      <c r="N378" s="394"/>
      <c r="O378" s="460"/>
      <c r="P378" s="461"/>
    </row>
    <row r="379" spans="1:17">
      <c r="A379" s="492"/>
      <c r="B379" s="394"/>
      <c r="C379" s="394"/>
      <c r="D379" s="491"/>
      <c r="E379" s="491"/>
      <c r="F379" s="394"/>
      <c r="G379" s="394"/>
      <c r="H379" s="394"/>
      <c r="I379" s="394"/>
      <c r="J379" s="394"/>
      <c r="K379" s="394"/>
      <c r="L379" s="394"/>
      <c r="M379" s="394"/>
      <c r="N379" s="394"/>
      <c r="O379" s="460"/>
      <c r="P379" s="461"/>
    </row>
    <row r="380" spans="1:17">
      <c r="A380" s="492"/>
      <c r="B380" s="394"/>
      <c r="C380" s="394"/>
      <c r="D380" s="491"/>
      <c r="E380" s="491"/>
      <c r="F380" s="394"/>
      <c r="G380" s="394"/>
      <c r="H380" s="394"/>
      <c r="I380" s="394"/>
      <c r="J380" s="394"/>
      <c r="K380" s="394"/>
      <c r="L380" s="394"/>
      <c r="M380" s="394"/>
      <c r="N380" s="394"/>
      <c r="O380" s="460"/>
      <c r="P380" s="461"/>
    </row>
    <row r="381" spans="1:17">
      <c r="A381" s="492"/>
      <c r="B381" s="394"/>
      <c r="C381" s="394"/>
      <c r="D381" s="491"/>
      <c r="E381" s="491"/>
      <c r="F381" s="394"/>
      <c r="G381" s="394"/>
      <c r="H381" s="394"/>
      <c r="I381" s="394"/>
      <c r="J381" s="394"/>
      <c r="K381" s="394"/>
      <c r="L381" s="394"/>
      <c r="M381" s="394"/>
      <c r="N381" s="394"/>
      <c r="O381" s="460"/>
      <c r="P381" s="461"/>
    </row>
    <row r="382" spans="1:17">
      <c r="A382" s="459"/>
      <c r="B382" s="394"/>
      <c r="C382" s="394"/>
      <c r="D382" s="394"/>
      <c r="E382" s="394"/>
      <c r="F382" s="394"/>
      <c r="G382" s="394"/>
      <c r="H382" s="394"/>
      <c r="I382" s="394"/>
      <c r="J382" s="394"/>
      <c r="K382" s="394"/>
      <c r="L382" s="394"/>
      <c r="M382" s="394"/>
      <c r="N382" s="394"/>
      <c r="O382" s="460"/>
      <c r="P382" s="461"/>
    </row>
    <row r="383" spans="1:17">
      <c r="A383" s="459"/>
      <c r="B383" s="394"/>
      <c r="C383" s="394"/>
      <c r="D383" s="394"/>
      <c r="E383" s="394"/>
      <c r="F383" s="394"/>
      <c r="G383" s="394"/>
      <c r="H383" s="394"/>
      <c r="I383" s="394"/>
      <c r="J383" s="394"/>
      <c r="K383" s="394"/>
      <c r="L383" s="394"/>
      <c r="M383" s="394"/>
      <c r="N383" s="394"/>
      <c r="O383" s="460"/>
      <c r="P383" s="461"/>
    </row>
    <row r="384" spans="1:17">
      <c r="A384" s="459"/>
      <c r="B384" s="394"/>
      <c r="C384" s="394"/>
      <c r="D384" s="394"/>
      <c r="E384" s="394"/>
      <c r="F384" s="394"/>
      <c r="G384" s="394"/>
      <c r="H384" s="394"/>
      <c r="I384" s="394"/>
      <c r="J384" s="394"/>
      <c r="K384" s="394"/>
      <c r="L384" s="394"/>
      <c r="M384" s="394"/>
      <c r="N384" s="394"/>
      <c r="O384" s="460"/>
      <c r="P384" s="461"/>
    </row>
    <row r="385" spans="1:16">
      <c r="A385" s="459"/>
      <c r="B385" s="394"/>
      <c r="C385" s="394"/>
      <c r="D385" s="394"/>
      <c r="E385" s="394"/>
      <c r="F385" s="394"/>
      <c r="G385" s="394"/>
      <c r="H385" s="394"/>
      <c r="I385" s="394"/>
      <c r="J385" s="394"/>
      <c r="K385" s="394"/>
      <c r="L385" s="394"/>
      <c r="M385" s="394"/>
      <c r="N385" s="394"/>
      <c r="O385" s="460"/>
      <c r="P385" s="461"/>
    </row>
    <row r="386" spans="1:16">
      <c r="A386" s="459"/>
      <c r="B386" s="394"/>
      <c r="C386" s="394"/>
      <c r="D386" s="394"/>
      <c r="E386" s="394"/>
      <c r="F386" s="394"/>
      <c r="G386" s="394"/>
      <c r="H386" s="394"/>
      <c r="I386" s="394"/>
      <c r="J386" s="394"/>
      <c r="K386" s="394"/>
      <c r="L386" s="394"/>
      <c r="M386" s="394"/>
      <c r="N386" s="394"/>
      <c r="O386" s="460"/>
      <c r="P386" s="461"/>
    </row>
    <row r="387" spans="1:16">
      <c r="A387" s="474"/>
      <c r="B387" s="399"/>
      <c r="C387" s="399"/>
      <c r="D387" s="399"/>
      <c r="E387" s="399"/>
      <c r="F387" s="399"/>
      <c r="G387" s="399"/>
      <c r="H387" s="399"/>
      <c r="I387" s="399"/>
      <c r="J387" s="399"/>
      <c r="K387" s="399"/>
      <c r="L387" s="399"/>
      <c r="M387" s="399"/>
      <c r="N387" s="399"/>
      <c r="O387" s="494"/>
      <c r="P387" s="495"/>
    </row>
    <row r="388" spans="1:16">
      <c r="A388" s="474"/>
      <c r="B388" s="399"/>
      <c r="C388" s="399"/>
      <c r="D388" s="399"/>
      <c r="E388" s="399"/>
      <c r="F388" s="399"/>
      <c r="G388" s="399"/>
      <c r="H388" s="399"/>
      <c r="I388" s="399"/>
      <c r="J388" s="399"/>
      <c r="K388" s="399"/>
      <c r="L388" s="399"/>
      <c r="M388" s="399"/>
      <c r="N388" s="399"/>
      <c r="O388" s="494"/>
      <c r="P388" s="495"/>
    </row>
    <row r="389" spans="1:16">
      <c r="A389" s="474"/>
      <c r="B389" s="399"/>
      <c r="C389" s="399"/>
      <c r="D389" s="399"/>
      <c r="E389" s="399"/>
      <c r="F389" s="399"/>
      <c r="G389" s="399"/>
      <c r="H389" s="399"/>
      <c r="I389" s="399"/>
      <c r="J389" s="399"/>
      <c r="K389" s="399"/>
      <c r="L389" s="399"/>
      <c r="M389" s="399"/>
      <c r="N389" s="399"/>
      <c r="O389" s="494"/>
      <c r="P389" s="495"/>
    </row>
    <row r="390" spans="1:16">
      <c r="A390" s="463"/>
      <c r="B390" s="462"/>
      <c r="C390" s="462"/>
      <c r="D390" s="462"/>
      <c r="E390" s="462"/>
      <c r="F390" s="462"/>
      <c r="G390" s="462"/>
      <c r="H390" s="462"/>
      <c r="I390" s="462"/>
      <c r="J390" s="462"/>
      <c r="K390" s="462"/>
      <c r="L390" s="462"/>
      <c r="M390" s="462"/>
      <c r="N390" s="462"/>
      <c r="O390" s="371"/>
      <c r="P390" s="464"/>
    </row>
    <row r="391" spans="1:16">
      <c r="A391" s="463"/>
      <c r="B391" s="462"/>
      <c r="C391" s="462"/>
      <c r="D391" s="462"/>
      <c r="E391" s="462"/>
      <c r="F391" s="462"/>
      <c r="G391" s="462"/>
      <c r="H391" s="462"/>
      <c r="I391" s="462"/>
      <c r="J391" s="462"/>
      <c r="K391" s="462"/>
      <c r="L391" s="462"/>
      <c r="M391" s="462"/>
      <c r="N391" s="462"/>
      <c r="O391" s="371"/>
      <c r="P391" s="464"/>
    </row>
    <row r="392" spans="1:16">
      <c r="A392" s="463"/>
      <c r="B392" s="462"/>
      <c r="C392" s="462"/>
      <c r="D392" s="462"/>
      <c r="E392" s="462"/>
      <c r="F392" s="462"/>
      <c r="G392" s="462"/>
      <c r="H392" s="462"/>
      <c r="I392" s="462"/>
      <c r="J392" s="462"/>
      <c r="K392" s="462"/>
      <c r="L392" s="462"/>
      <c r="M392" s="462"/>
      <c r="N392" s="462"/>
      <c r="O392" s="371"/>
      <c r="P392" s="464"/>
    </row>
    <row r="393" spans="1:16" ht="15.75" thickBot="1">
      <c r="A393" s="465"/>
      <c r="B393" s="466"/>
      <c r="C393" s="466"/>
      <c r="D393" s="466"/>
      <c r="E393" s="466"/>
      <c r="F393" s="466"/>
      <c r="G393" s="1029" t="s">
        <v>38</v>
      </c>
      <c r="H393" s="1029"/>
      <c r="I393" s="1029"/>
      <c r="J393" s="1029"/>
      <c r="K393" s="1029"/>
      <c r="L393" s="1029"/>
      <c r="M393" s="1029"/>
      <c r="N393" s="1029"/>
      <c r="O393" s="467"/>
      <c r="P393" s="468"/>
    </row>
    <row r="419" spans="1:16" ht="15.75" thickBot="1"/>
    <row r="420" spans="1:16">
      <c r="A420" s="1030" t="s">
        <v>450</v>
      </c>
      <c r="B420" s="1031"/>
      <c r="C420" s="1031"/>
      <c r="D420" s="1031"/>
      <c r="E420" s="1031"/>
      <c r="F420" s="1031"/>
      <c r="G420" s="1031"/>
      <c r="H420" s="1031"/>
      <c r="I420" s="1031"/>
      <c r="J420" s="1031"/>
      <c r="K420" s="1031"/>
      <c r="L420" s="1031"/>
      <c r="M420" s="1031"/>
      <c r="N420" s="1031"/>
      <c r="O420" s="469"/>
      <c r="P420" s="470"/>
    </row>
    <row r="421" spans="1:16" ht="15.75" thickBot="1">
      <c r="A421" s="1032"/>
      <c r="B421" s="1033"/>
      <c r="C421" s="1033"/>
      <c r="D421" s="1033"/>
      <c r="E421" s="1033"/>
      <c r="F421" s="1033"/>
      <c r="G421" s="1033"/>
      <c r="H421" s="1033"/>
      <c r="I421" s="1033"/>
      <c r="J421" s="1033"/>
      <c r="K421" s="1033"/>
      <c r="L421" s="1033"/>
      <c r="M421" s="1033"/>
      <c r="N421" s="1033"/>
      <c r="O421" s="471"/>
      <c r="P421" s="464"/>
    </row>
    <row r="422" spans="1:16" ht="15.75" thickBot="1">
      <c r="A422" s="1034" t="s">
        <v>451</v>
      </c>
      <c r="B422" s="1035"/>
      <c r="C422" s="1035"/>
      <c r="D422" s="1035"/>
      <c r="E422" s="1035"/>
      <c r="F422" s="1035"/>
      <c r="G422" s="1035"/>
      <c r="H422" s="1035"/>
      <c r="I422" s="1035"/>
      <c r="J422" s="1035"/>
      <c r="K422" s="1035"/>
      <c r="L422" s="1035"/>
      <c r="M422" s="1035"/>
      <c r="N422" s="1035"/>
      <c r="O422" s="471"/>
      <c r="P422" s="464"/>
    </row>
    <row r="423" spans="1:16">
      <c r="A423" s="472" t="s">
        <v>483</v>
      </c>
      <c r="B423" s="405"/>
      <c r="C423" s="405"/>
      <c r="D423" s="406"/>
      <c r="E423" s="1036" t="s">
        <v>484</v>
      </c>
      <c r="F423" s="1037"/>
      <c r="G423" s="1037"/>
      <c r="H423" s="473"/>
      <c r="I423" s="473"/>
      <c r="J423" s="473"/>
      <c r="K423" s="473"/>
      <c r="L423" s="473"/>
      <c r="M423" s="473"/>
      <c r="N423" s="473"/>
      <c r="O423" s="471"/>
      <c r="P423" s="464"/>
    </row>
    <row r="424" spans="1:16">
      <c r="A424" s="474"/>
      <c r="B424" s="399" t="s">
        <v>384</v>
      </c>
      <c r="C424" s="399"/>
      <c r="D424" s="408"/>
      <c r="E424" s="475"/>
      <c r="F424" s="476"/>
      <c r="G424" s="1038" t="str">
        <f>'0422Master'!B22</f>
        <v>Ashwini Nanaware</v>
      </c>
      <c r="H424" s="1038"/>
      <c r="I424" s="1038"/>
      <c r="J424" s="476"/>
      <c r="K424" s="476"/>
      <c r="L424" s="476"/>
      <c r="M424" s="476"/>
      <c r="N424" s="476"/>
      <c r="O424" s="471"/>
      <c r="P424" s="464"/>
    </row>
    <row r="425" spans="1:16" ht="15.75" thickBot="1">
      <c r="A425" s="410"/>
      <c r="B425" s="411" t="s">
        <v>385</v>
      </c>
      <c r="C425" s="411"/>
      <c r="D425" s="412"/>
      <c r="E425" s="475"/>
      <c r="F425" s="476"/>
      <c r="G425" s="476"/>
      <c r="H425" s="476"/>
      <c r="I425" s="476"/>
      <c r="J425" s="476"/>
      <c r="K425" s="476"/>
      <c r="L425" s="476"/>
      <c r="M425" s="476"/>
      <c r="N425" s="476"/>
      <c r="O425" s="471"/>
      <c r="P425" s="464"/>
    </row>
    <row r="426" spans="1:16">
      <c r="A426" s="404" t="s">
        <v>485</v>
      </c>
      <c r="B426" s="405"/>
      <c r="C426" s="405"/>
      <c r="D426" s="406"/>
      <c r="E426" s="404" t="s">
        <v>452</v>
      </c>
      <c r="F426" s="405"/>
      <c r="G426" s="477">
        <f>'0422Master'!N22</f>
        <v>44536</v>
      </c>
      <c r="H426" s="405"/>
      <c r="I426" s="405"/>
      <c r="J426" s="405"/>
      <c r="K426" s="405"/>
      <c r="L426" s="405"/>
      <c r="M426" s="405"/>
      <c r="N426" s="405"/>
      <c r="O426" s="471"/>
      <c r="P426" s="464"/>
    </row>
    <row r="427" spans="1:16">
      <c r="A427" s="474"/>
      <c r="B427" s="399"/>
      <c r="C427" s="399" t="s">
        <v>374</v>
      </c>
      <c r="D427" s="408"/>
      <c r="E427" s="407"/>
      <c r="F427" s="399"/>
      <c r="G427" s="399"/>
      <c r="H427" s="399"/>
      <c r="I427" s="399"/>
      <c r="J427" s="399"/>
      <c r="K427" s="399"/>
      <c r="L427" s="399"/>
      <c r="M427" s="399"/>
      <c r="N427" s="399"/>
      <c r="O427" s="471"/>
      <c r="P427" s="464"/>
    </row>
    <row r="428" spans="1:16">
      <c r="A428" s="474"/>
      <c r="B428" s="399"/>
      <c r="C428" s="399"/>
      <c r="D428" s="408"/>
      <c r="E428" s="478"/>
      <c r="F428" s="399"/>
      <c r="G428" s="399"/>
      <c r="H428" s="399"/>
      <c r="I428" s="399"/>
      <c r="J428" s="399"/>
      <c r="K428" s="399"/>
      <c r="L428" s="399"/>
      <c r="M428" s="399"/>
      <c r="N428" s="399"/>
      <c r="O428" s="471"/>
      <c r="P428" s="464"/>
    </row>
    <row r="429" spans="1:16" ht="15.75" thickBot="1">
      <c r="A429" s="479"/>
      <c r="B429" s="402"/>
      <c r="C429" s="402"/>
      <c r="D429" s="480"/>
      <c r="E429" s="410"/>
      <c r="F429" s="411"/>
      <c r="G429" s="411"/>
      <c r="H429" s="411"/>
      <c r="I429" s="411"/>
      <c r="J429" s="411"/>
      <c r="K429" s="411"/>
      <c r="L429" s="411"/>
      <c r="M429" s="411"/>
      <c r="N429" s="411"/>
      <c r="O429" s="481"/>
      <c r="P429" s="468"/>
    </row>
    <row r="430" spans="1:16">
      <c r="A430" s="1039" t="s">
        <v>5</v>
      </c>
      <c r="B430" s="1041" t="s">
        <v>453</v>
      </c>
      <c r="C430" s="1042"/>
      <c r="D430" s="1041" t="s">
        <v>454</v>
      </c>
      <c r="E430" s="1044"/>
      <c r="F430" s="989" t="s">
        <v>455</v>
      </c>
      <c r="G430" s="1043" t="s">
        <v>456</v>
      </c>
      <c r="H430" s="1047"/>
      <c r="I430" s="1048" t="s">
        <v>457</v>
      </c>
      <c r="J430" s="1047"/>
      <c r="K430" s="1049"/>
      <c r="L430" s="1048" t="s">
        <v>458</v>
      </c>
      <c r="M430" s="1047"/>
      <c r="N430" s="1047"/>
      <c r="O430" s="1027" t="s">
        <v>459</v>
      </c>
      <c r="P430" s="1027" t="s">
        <v>40</v>
      </c>
    </row>
    <row r="431" spans="1:16" ht="15.75" thickBot="1">
      <c r="A431" s="1040"/>
      <c r="B431" s="1043"/>
      <c r="C431" s="1044"/>
      <c r="D431" s="1043"/>
      <c r="E431" s="1044"/>
      <c r="F431" s="985"/>
      <c r="G431" s="1043"/>
      <c r="H431" s="1047"/>
      <c r="I431" s="1050"/>
      <c r="J431" s="1051"/>
      <c r="K431" s="1052"/>
      <c r="L431" s="1050"/>
      <c r="M431" s="1051"/>
      <c r="N431" s="1051"/>
      <c r="O431" s="1028"/>
      <c r="P431" s="1028"/>
    </row>
    <row r="432" spans="1:16">
      <c r="A432" s="482">
        <v>1</v>
      </c>
      <c r="B432" s="1045"/>
      <c r="C432" s="1046"/>
      <c r="D432" s="1045"/>
      <c r="E432" s="1046"/>
      <c r="F432" s="414">
        <v>6</v>
      </c>
      <c r="G432" s="1045"/>
      <c r="H432" s="1046"/>
      <c r="I432" s="483">
        <v>9</v>
      </c>
      <c r="J432" s="483"/>
      <c r="K432" s="483"/>
      <c r="L432" s="483">
        <v>9</v>
      </c>
      <c r="M432" s="483"/>
      <c r="N432" s="483"/>
      <c r="O432" s="484" t="s">
        <v>460</v>
      </c>
      <c r="P432" s="485"/>
    </row>
    <row r="433" spans="1:17" ht="51">
      <c r="A433" s="459"/>
      <c r="B433" s="394" t="s">
        <v>461</v>
      </c>
      <c r="C433" s="394" t="s">
        <v>462</v>
      </c>
      <c r="D433" s="394" t="s">
        <v>463</v>
      </c>
      <c r="E433" s="394" t="s">
        <v>134</v>
      </c>
      <c r="F433" s="394"/>
      <c r="G433" s="394" t="s">
        <v>464</v>
      </c>
      <c r="H433" s="394" t="s">
        <v>465</v>
      </c>
      <c r="I433" s="394" t="s">
        <v>466</v>
      </c>
      <c r="J433" s="394" t="s">
        <v>467</v>
      </c>
      <c r="K433" s="394" t="s">
        <v>468</v>
      </c>
      <c r="L433" s="394" t="s">
        <v>469</v>
      </c>
      <c r="M433" s="394" t="s">
        <v>470</v>
      </c>
      <c r="N433" s="486" t="s">
        <v>471</v>
      </c>
      <c r="O433" s="487"/>
      <c r="P433" s="488"/>
    </row>
    <row r="434" spans="1:17">
      <c r="A434" s="459"/>
      <c r="B434" s="489"/>
      <c r="C434" s="394"/>
      <c r="D434" s="394"/>
      <c r="E434" s="394"/>
      <c r="F434" s="394"/>
      <c r="G434" s="394"/>
      <c r="H434" s="394"/>
      <c r="I434" s="394"/>
      <c r="J434" s="394"/>
      <c r="K434" s="394"/>
      <c r="L434" s="394"/>
      <c r="M434" s="394"/>
      <c r="N434" s="394"/>
      <c r="O434" s="460"/>
      <c r="P434" s="461"/>
    </row>
    <row r="435" spans="1:17" ht="39.6" customHeight="1">
      <c r="A435" s="1363" t="s">
        <v>822</v>
      </c>
      <c r="B435" s="460">
        <v>1.5</v>
      </c>
      <c r="C435" s="460">
        <v>0</v>
      </c>
      <c r="D435" s="460">
        <v>0</v>
      </c>
      <c r="E435" s="460">
        <v>0</v>
      </c>
      <c r="F435" s="1365">
        <v>3</v>
      </c>
      <c r="G435" s="460"/>
      <c r="H435" s="460"/>
      <c r="I435" s="460" t="s">
        <v>493</v>
      </c>
      <c r="J435" s="460" t="s">
        <v>493</v>
      </c>
      <c r="K435" s="460" t="s">
        <v>493</v>
      </c>
      <c r="L435" s="394"/>
      <c r="M435" s="394"/>
      <c r="N435" s="394"/>
      <c r="O435" s="460"/>
      <c r="P435" s="461"/>
    </row>
    <row r="436" spans="1:17">
      <c r="A436" s="490" t="s">
        <v>871</v>
      </c>
      <c r="B436" s="394">
        <v>1.5</v>
      </c>
      <c r="C436" s="394">
        <v>1</v>
      </c>
      <c r="D436" s="491">
        <v>44610</v>
      </c>
      <c r="E436" s="491">
        <v>44610</v>
      </c>
      <c r="F436" s="394">
        <f>F435+B436-C436</f>
        <v>3.5</v>
      </c>
      <c r="G436" s="394"/>
      <c r="H436" s="394"/>
      <c r="I436" s="394" t="s">
        <v>493</v>
      </c>
      <c r="J436" s="394" t="s">
        <v>493</v>
      </c>
      <c r="K436" s="394" t="s">
        <v>493</v>
      </c>
      <c r="L436" s="394"/>
      <c r="M436" s="394"/>
      <c r="N436" s="394"/>
      <c r="O436" s="460"/>
      <c r="P436" s="461"/>
    </row>
    <row r="437" spans="1:17">
      <c r="A437" s="537" t="s">
        <v>894</v>
      </c>
      <c r="B437" s="394">
        <v>1.5</v>
      </c>
      <c r="C437" s="394">
        <v>0</v>
      </c>
      <c r="D437" s="394">
        <v>0</v>
      </c>
      <c r="E437" s="394">
        <v>0</v>
      </c>
      <c r="F437" s="394">
        <f>F436+B437-C437</f>
        <v>5</v>
      </c>
      <c r="G437" s="394"/>
      <c r="H437" s="394"/>
      <c r="I437" s="394" t="s">
        <v>493</v>
      </c>
      <c r="J437" s="394" t="s">
        <v>493</v>
      </c>
      <c r="K437" s="394" t="s">
        <v>493</v>
      </c>
      <c r="L437" s="553"/>
      <c r="M437" s="553"/>
      <c r="N437" s="553"/>
      <c r="O437" s="460"/>
      <c r="P437" s="461"/>
    </row>
    <row r="438" spans="1:17">
      <c r="A438" s="1359" t="s">
        <v>901</v>
      </c>
      <c r="B438" s="394">
        <v>1.5</v>
      </c>
      <c r="C438" s="394">
        <v>1</v>
      </c>
      <c r="D438" s="491">
        <v>44680</v>
      </c>
      <c r="E438" s="491">
        <v>44680</v>
      </c>
      <c r="F438" s="1364">
        <f>F437+B438-C438</f>
        <v>5.5</v>
      </c>
      <c r="G438" s="394"/>
      <c r="H438" s="394"/>
      <c r="I438" s="394" t="s">
        <v>493</v>
      </c>
      <c r="J438" s="394" t="s">
        <v>493</v>
      </c>
      <c r="K438" s="394" t="s">
        <v>493</v>
      </c>
      <c r="L438" s="394"/>
      <c r="M438" s="394"/>
      <c r="N438" s="394"/>
      <c r="O438" s="460"/>
      <c r="P438" s="461"/>
      <c r="Q438" s="8">
        <v>7</v>
      </c>
    </row>
    <row r="439" spans="1:17">
      <c r="A439" s="492"/>
      <c r="B439" s="394"/>
      <c r="C439" s="394"/>
      <c r="D439" s="394"/>
      <c r="E439" s="394"/>
      <c r="F439" s="394"/>
      <c r="G439" s="394"/>
      <c r="H439" s="394"/>
      <c r="I439" s="394"/>
      <c r="J439" s="394"/>
      <c r="K439" s="394"/>
      <c r="L439" s="394"/>
      <c r="M439" s="394"/>
      <c r="N439" s="394"/>
      <c r="O439" s="460"/>
      <c r="P439" s="461"/>
    </row>
    <row r="440" spans="1:17">
      <c r="A440" s="492"/>
      <c r="B440" s="394"/>
      <c r="C440" s="394"/>
      <c r="D440" s="394"/>
      <c r="E440" s="394"/>
      <c r="F440" s="394"/>
      <c r="G440" s="394"/>
      <c r="H440" s="394"/>
      <c r="I440" s="394"/>
      <c r="J440" s="394"/>
      <c r="K440" s="394"/>
      <c r="L440" s="394"/>
      <c r="M440" s="394"/>
      <c r="N440" s="394"/>
      <c r="O440" s="460"/>
      <c r="P440" s="461"/>
    </row>
    <row r="441" spans="1:17">
      <c r="A441" s="492"/>
      <c r="B441" s="394"/>
      <c r="C441" s="394"/>
      <c r="D441" s="394"/>
      <c r="E441" s="394"/>
      <c r="F441" s="394"/>
      <c r="G441" s="394"/>
      <c r="H441" s="394"/>
      <c r="I441" s="394"/>
      <c r="J441" s="394"/>
      <c r="K441" s="394"/>
      <c r="L441" s="394"/>
      <c r="M441" s="394"/>
      <c r="N441" s="394"/>
      <c r="O441" s="460"/>
      <c r="P441" s="461"/>
    </row>
    <row r="442" spans="1:17">
      <c r="A442" s="492"/>
      <c r="B442" s="394"/>
      <c r="C442" s="394"/>
      <c r="D442" s="394"/>
      <c r="E442" s="394"/>
      <c r="F442" s="394"/>
      <c r="G442" s="394"/>
      <c r="H442" s="394"/>
      <c r="I442" s="394"/>
      <c r="J442" s="394"/>
      <c r="K442" s="394"/>
      <c r="L442" s="394"/>
      <c r="M442" s="394"/>
      <c r="N442" s="394"/>
      <c r="O442" s="460"/>
      <c r="P442" s="461"/>
    </row>
    <row r="443" spans="1:17">
      <c r="A443" s="492"/>
      <c r="B443" s="394"/>
      <c r="C443" s="394"/>
      <c r="D443" s="394"/>
      <c r="E443" s="394"/>
      <c r="F443" s="394"/>
      <c r="G443" s="394"/>
      <c r="H443" s="394"/>
      <c r="I443" s="394"/>
      <c r="J443" s="394"/>
      <c r="K443" s="394"/>
      <c r="L443" s="394"/>
      <c r="M443" s="394"/>
      <c r="N443" s="394"/>
      <c r="O443" s="460"/>
      <c r="P443" s="461"/>
    </row>
    <row r="444" spans="1:17">
      <c r="A444" s="492"/>
      <c r="B444" s="394"/>
      <c r="C444" s="394"/>
      <c r="D444" s="491"/>
      <c r="E444" s="491"/>
      <c r="F444" s="394"/>
      <c r="G444" s="394"/>
      <c r="H444" s="394"/>
      <c r="I444" s="394"/>
      <c r="J444" s="394"/>
      <c r="K444" s="394"/>
      <c r="L444" s="394"/>
      <c r="M444" s="394"/>
      <c r="N444" s="394"/>
      <c r="O444" s="460"/>
      <c r="P444" s="461"/>
    </row>
    <row r="445" spans="1:17">
      <c r="A445" s="492"/>
      <c r="B445" s="394"/>
      <c r="C445" s="394"/>
      <c r="D445" s="491"/>
      <c r="E445" s="491"/>
      <c r="F445" s="394"/>
      <c r="G445" s="394"/>
      <c r="H445" s="394"/>
      <c r="I445" s="394"/>
      <c r="J445" s="394"/>
      <c r="K445" s="394"/>
      <c r="L445" s="394"/>
      <c r="M445" s="394"/>
      <c r="N445" s="394"/>
      <c r="O445" s="460"/>
      <c r="P445" s="461"/>
    </row>
    <row r="446" spans="1:17">
      <c r="A446" s="492"/>
      <c r="B446" s="394"/>
      <c r="C446" s="394"/>
      <c r="D446" s="491"/>
      <c r="E446" s="491"/>
      <c r="F446" s="394"/>
      <c r="G446" s="394"/>
      <c r="H446" s="394"/>
      <c r="I446" s="394"/>
      <c r="J446" s="394"/>
      <c r="K446" s="394"/>
      <c r="L446" s="394"/>
      <c r="M446" s="394"/>
      <c r="N446" s="394"/>
      <c r="O446" s="460"/>
      <c r="P446" s="461"/>
    </row>
    <row r="447" spans="1:17">
      <c r="A447" s="492"/>
      <c r="B447" s="394"/>
      <c r="C447" s="394"/>
      <c r="D447" s="491"/>
      <c r="E447" s="491"/>
      <c r="F447" s="394"/>
      <c r="G447" s="394"/>
      <c r="H447" s="394"/>
      <c r="I447" s="394"/>
      <c r="J447" s="394"/>
      <c r="K447" s="394"/>
      <c r="L447" s="394"/>
      <c r="M447" s="394"/>
      <c r="N447" s="394"/>
      <c r="O447" s="460"/>
      <c r="P447" s="461"/>
    </row>
    <row r="448" spans="1:17">
      <c r="A448" s="492"/>
      <c r="B448" s="394"/>
      <c r="C448" s="394"/>
      <c r="D448" s="491"/>
      <c r="E448" s="491"/>
      <c r="F448" s="394"/>
      <c r="G448" s="394"/>
      <c r="H448" s="394"/>
      <c r="I448" s="394"/>
      <c r="J448" s="394"/>
      <c r="K448" s="394"/>
      <c r="L448" s="394"/>
      <c r="M448" s="394"/>
      <c r="N448" s="394"/>
      <c r="O448" s="460"/>
      <c r="P448" s="461"/>
    </row>
    <row r="449" spans="1:16">
      <c r="A449" s="492"/>
      <c r="B449" s="394"/>
      <c r="C449" s="394"/>
      <c r="D449" s="491"/>
      <c r="E449" s="491"/>
      <c r="F449" s="394"/>
      <c r="G449" s="394"/>
      <c r="H449" s="394"/>
      <c r="I449" s="394"/>
      <c r="J449" s="394"/>
      <c r="K449" s="394"/>
      <c r="L449" s="394"/>
      <c r="M449" s="394"/>
      <c r="N449" s="394"/>
      <c r="O449" s="460"/>
      <c r="P449" s="461"/>
    </row>
    <row r="450" spans="1:16">
      <c r="A450" s="459"/>
      <c r="B450" s="394"/>
      <c r="C450" s="394"/>
      <c r="D450" s="394"/>
      <c r="E450" s="394"/>
      <c r="F450" s="394"/>
      <c r="G450" s="394"/>
      <c r="H450" s="394"/>
      <c r="I450" s="394"/>
      <c r="J450" s="394"/>
      <c r="K450" s="394"/>
      <c r="L450" s="394"/>
      <c r="M450" s="394"/>
      <c r="N450" s="394"/>
      <c r="O450" s="460"/>
      <c r="P450" s="461"/>
    </row>
    <row r="451" spans="1:16">
      <c r="A451" s="459"/>
      <c r="B451" s="394"/>
      <c r="C451" s="394"/>
      <c r="D451" s="394"/>
      <c r="E451" s="394"/>
      <c r="F451" s="394"/>
      <c r="G451" s="394"/>
      <c r="H451" s="394"/>
      <c r="I451" s="394"/>
      <c r="J451" s="394"/>
      <c r="K451" s="394"/>
      <c r="L451" s="394"/>
      <c r="M451" s="394"/>
      <c r="N451" s="394"/>
      <c r="O451" s="460"/>
      <c r="P451" s="461"/>
    </row>
    <row r="452" spans="1:16">
      <c r="A452" s="459"/>
      <c r="B452" s="394"/>
      <c r="C452" s="394"/>
      <c r="D452" s="394"/>
      <c r="E452" s="394"/>
      <c r="F452" s="394"/>
      <c r="G452" s="394"/>
      <c r="H452" s="394"/>
      <c r="I452" s="394"/>
      <c r="J452" s="394"/>
      <c r="K452" s="394"/>
      <c r="L452" s="394"/>
      <c r="M452" s="394"/>
      <c r="N452" s="394"/>
      <c r="O452" s="460"/>
      <c r="P452" s="461"/>
    </row>
    <row r="453" spans="1:16">
      <c r="A453" s="459"/>
      <c r="B453" s="394"/>
      <c r="C453" s="394"/>
      <c r="D453" s="394"/>
      <c r="E453" s="394"/>
      <c r="F453" s="394"/>
      <c r="G453" s="394"/>
      <c r="H453" s="394"/>
      <c r="I453" s="394"/>
      <c r="J453" s="394"/>
      <c r="K453" s="394"/>
      <c r="L453" s="394"/>
      <c r="M453" s="394"/>
      <c r="N453" s="394"/>
      <c r="O453" s="460"/>
      <c r="P453" s="461"/>
    </row>
    <row r="454" spans="1:16">
      <c r="A454" s="459"/>
      <c r="B454" s="394"/>
      <c r="C454" s="394"/>
      <c r="D454" s="394"/>
      <c r="E454" s="394"/>
      <c r="F454" s="394"/>
      <c r="G454" s="394"/>
      <c r="H454" s="394"/>
      <c r="I454" s="394"/>
      <c r="J454" s="394"/>
      <c r="K454" s="394"/>
      <c r="L454" s="394"/>
      <c r="M454" s="394"/>
      <c r="N454" s="394"/>
      <c r="O454" s="460"/>
      <c r="P454" s="461"/>
    </row>
    <row r="455" spans="1:16">
      <c r="A455" s="474"/>
      <c r="B455" s="399"/>
      <c r="C455" s="399"/>
      <c r="D455" s="399"/>
      <c r="E455" s="399"/>
      <c r="F455" s="399"/>
      <c r="G455" s="399"/>
      <c r="H455" s="399"/>
      <c r="I455" s="399"/>
      <c r="J455" s="399"/>
      <c r="K455" s="399"/>
      <c r="L455" s="399"/>
      <c r="M455" s="399"/>
      <c r="N455" s="399"/>
      <c r="O455" s="494"/>
      <c r="P455" s="495"/>
    </row>
    <row r="456" spans="1:16">
      <c r="A456" s="474"/>
      <c r="B456" s="399"/>
      <c r="C456" s="399"/>
      <c r="D456" s="399"/>
      <c r="E456" s="399"/>
      <c r="F456" s="399"/>
      <c r="G456" s="399"/>
      <c r="H456" s="399"/>
      <c r="I456" s="399"/>
      <c r="J456" s="399"/>
      <c r="K456" s="399"/>
      <c r="L456" s="399"/>
      <c r="M456" s="399"/>
      <c r="N456" s="399"/>
      <c r="O456" s="494"/>
      <c r="P456" s="495"/>
    </row>
    <row r="457" spans="1:16">
      <c r="A457" s="474"/>
      <c r="B457" s="399"/>
      <c r="C457" s="399"/>
      <c r="D457" s="399"/>
      <c r="E457" s="399"/>
      <c r="F457" s="399"/>
      <c r="G457" s="399"/>
      <c r="H457" s="399"/>
      <c r="I457" s="399"/>
      <c r="J457" s="399"/>
      <c r="K457" s="399"/>
      <c r="L457" s="399"/>
      <c r="M457" s="399"/>
      <c r="N457" s="399"/>
      <c r="O457" s="494"/>
      <c r="P457" s="495"/>
    </row>
    <row r="458" spans="1:16">
      <c r="A458" s="463"/>
      <c r="B458" s="462"/>
      <c r="C458" s="462"/>
      <c r="D458" s="462"/>
      <c r="E458" s="462"/>
      <c r="F458" s="462"/>
      <c r="G458" s="462"/>
      <c r="H458" s="462"/>
      <c r="I458" s="462"/>
      <c r="J458" s="462"/>
      <c r="K458" s="462"/>
      <c r="L458" s="462"/>
      <c r="M458" s="462"/>
      <c r="N458" s="462"/>
      <c r="O458" s="371"/>
      <c r="P458" s="464"/>
    </row>
    <row r="459" spans="1:16">
      <c r="A459" s="463"/>
      <c r="B459" s="462"/>
      <c r="C459" s="462"/>
      <c r="D459" s="462"/>
      <c r="E459" s="462"/>
      <c r="F459" s="462"/>
      <c r="G459" s="462"/>
      <c r="H459" s="462"/>
      <c r="I459" s="462"/>
      <c r="J459" s="462"/>
      <c r="K459" s="462"/>
      <c r="L459" s="462"/>
      <c r="M459" s="462"/>
      <c r="N459" s="462"/>
      <c r="O459" s="371"/>
      <c r="P459" s="464"/>
    </row>
    <row r="460" spans="1:16">
      <c r="A460" s="463"/>
      <c r="B460" s="462"/>
      <c r="C460" s="462"/>
      <c r="D460" s="462"/>
      <c r="E460" s="462"/>
      <c r="F460" s="462"/>
      <c r="G460" s="462"/>
      <c r="H460" s="462"/>
      <c r="I460" s="462"/>
      <c r="J460" s="462"/>
      <c r="K460" s="462"/>
      <c r="L460" s="462"/>
      <c r="M460" s="462"/>
      <c r="N460" s="462"/>
      <c r="O460" s="371"/>
      <c r="P460" s="464"/>
    </row>
    <row r="461" spans="1:16" ht="15.75" thickBot="1">
      <c r="A461" s="465"/>
      <c r="B461" s="466"/>
      <c r="C461" s="466"/>
      <c r="D461" s="466"/>
      <c r="E461" s="466"/>
      <c r="F461" s="466"/>
      <c r="G461" s="1029" t="s">
        <v>38</v>
      </c>
      <c r="H461" s="1029"/>
      <c r="I461" s="1029"/>
      <c r="J461" s="1029"/>
      <c r="K461" s="1029"/>
      <c r="L461" s="1029"/>
      <c r="M461" s="1029"/>
      <c r="N461" s="1029"/>
      <c r="O461" s="467"/>
      <c r="P461" s="468"/>
    </row>
    <row r="489" spans="1:16" ht="15.75" thickBot="1"/>
    <row r="490" spans="1:16">
      <c r="A490" s="1030" t="s">
        <v>450</v>
      </c>
      <c r="B490" s="1031"/>
      <c r="C490" s="1031"/>
      <c r="D490" s="1031"/>
      <c r="E490" s="1031"/>
      <c r="F490" s="1031"/>
      <c r="G490" s="1031"/>
      <c r="H490" s="1031"/>
      <c r="I490" s="1031"/>
      <c r="J490" s="1031"/>
      <c r="K490" s="1031"/>
      <c r="L490" s="1031"/>
      <c r="M490" s="1031"/>
      <c r="N490" s="1031"/>
      <c r="O490" s="469"/>
      <c r="P490" s="470"/>
    </row>
    <row r="491" spans="1:16" ht="15.75" thickBot="1">
      <c r="A491" s="1032"/>
      <c r="B491" s="1033"/>
      <c r="C491" s="1033"/>
      <c r="D491" s="1033"/>
      <c r="E491" s="1033"/>
      <c r="F491" s="1033"/>
      <c r="G491" s="1033"/>
      <c r="H491" s="1033"/>
      <c r="I491" s="1033"/>
      <c r="J491" s="1033"/>
      <c r="K491" s="1033"/>
      <c r="L491" s="1033"/>
      <c r="M491" s="1033"/>
      <c r="N491" s="1033"/>
      <c r="O491" s="471"/>
      <c r="P491" s="464"/>
    </row>
    <row r="492" spans="1:16" ht="15.75" thickBot="1">
      <c r="A492" s="1034" t="s">
        <v>451</v>
      </c>
      <c r="B492" s="1035"/>
      <c r="C492" s="1035"/>
      <c r="D492" s="1035"/>
      <c r="E492" s="1035"/>
      <c r="F492" s="1035"/>
      <c r="G492" s="1035"/>
      <c r="H492" s="1035"/>
      <c r="I492" s="1035"/>
      <c r="J492" s="1035"/>
      <c r="K492" s="1035"/>
      <c r="L492" s="1035"/>
      <c r="M492" s="1035"/>
      <c r="N492" s="1035"/>
      <c r="O492" s="471"/>
      <c r="P492" s="464"/>
    </row>
    <row r="493" spans="1:16">
      <c r="A493" s="472" t="s">
        <v>483</v>
      </c>
      <c r="B493" s="405"/>
      <c r="C493" s="405"/>
      <c r="D493" s="406"/>
      <c r="E493" s="1036" t="s">
        <v>484</v>
      </c>
      <c r="F493" s="1037"/>
      <c r="G493" s="1037"/>
      <c r="H493" s="473"/>
      <c r="I493" s="473"/>
      <c r="J493" s="473"/>
      <c r="K493" s="473"/>
      <c r="L493" s="473"/>
      <c r="M493" s="473"/>
      <c r="N493" s="473"/>
      <c r="O493" s="471"/>
      <c r="P493" s="464"/>
    </row>
    <row r="494" spans="1:16">
      <c r="A494" s="474"/>
      <c r="B494" s="399" t="s">
        <v>384</v>
      </c>
      <c r="C494" s="399"/>
      <c r="D494" s="408"/>
      <c r="E494" s="475"/>
      <c r="F494" s="476"/>
      <c r="G494" s="1038" t="str">
        <f>'0422Master'!B23</f>
        <v>Kaushal Sushil Sharma</v>
      </c>
      <c r="H494" s="1038"/>
      <c r="I494" s="1038"/>
      <c r="J494" s="476"/>
      <c r="K494" s="476"/>
      <c r="L494" s="476"/>
      <c r="M494" s="476"/>
      <c r="N494" s="476"/>
      <c r="O494" s="471"/>
      <c r="P494" s="464"/>
    </row>
    <row r="495" spans="1:16" ht="15.75" thickBot="1">
      <c r="A495" s="410"/>
      <c r="B495" s="411" t="s">
        <v>385</v>
      </c>
      <c r="C495" s="411"/>
      <c r="D495" s="412"/>
      <c r="E495" s="475"/>
      <c r="F495" s="476"/>
      <c r="G495" s="476"/>
      <c r="H495" s="476"/>
      <c r="I495" s="476"/>
      <c r="J495" s="476"/>
      <c r="K495" s="476"/>
      <c r="L495" s="476"/>
      <c r="M495" s="476"/>
      <c r="N495" s="476"/>
      <c r="O495" s="471"/>
      <c r="P495" s="464"/>
    </row>
    <row r="496" spans="1:16">
      <c r="A496" s="404" t="s">
        <v>485</v>
      </c>
      <c r="B496" s="405"/>
      <c r="C496" s="405"/>
      <c r="D496" s="406"/>
      <c r="E496" s="404" t="s">
        <v>452</v>
      </c>
      <c r="F496" s="405"/>
      <c r="G496" s="477">
        <f>'0422Master'!N23</f>
        <v>44536</v>
      </c>
      <c r="H496" s="405"/>
      <c r="I496" s="405"/>
      <c r="J496" s="405"/>
      <c r="K496" s="405"/>
      <c r="L496" s="405"/>
      <c r="M496" s="405"/>
      <c r="N496" s="405"/>
      <c r="O496" s="471"/>
      <c r="P496" s="464"/>
    </row>
    <row r="497" spans="1:17">
      <c r="A497" s="474"/>
      <c r="B497" s="399"/>
      <c r="C497" s="399" t="s">
        <v>374</v>
      </c>
      <c r="D497" s="408"/>
      <c r="E497" s="407"/>
      <c r="F497" s="399"/>
      <c r="G497" s="399"/>
      <c r="H497" s="399"/>
      <c r="I497" s="399"/>
      <c r="J497" s="399"/>
      <c r="K497" s="399"/>
      <c r="L497" s="399"/>
      <c r="M497" s="399"/>
      <c r="N497" s="399"/>
      <c r="O497" s="471"/>
      <c r="P497" s="464"/>
    </row>
    <row r="498" spans="1:17">
      <c r="A498" s="474"/>
      <c r="B498" s="399"/>
      <c r="C498" s="399"/>
      <c r="D498" s="408"/>
      <c r="E498" s="478"/>
      <c r="F498" s="399"/>
      <c r="G498" s="399"/>
      <c r="H498" s="399"/>
      <c r="I498" s="399"/>
      <c r="J498" s="399"/>
      <c r="K498" s="399"/>
      <c r="L498" s="399"/>
      <c r="M498" s="399"/>
      <c r="N498" s="399"/>
      <c r="O498" s="471"/>
      <c r="P498" s="464"/>
    </row>
    <row r="499" spans="1:17" ht="15.75" thickBot="1">
      <c r="A499" s="479"/>
      <c r="B499" s="402"/>
      <c r="C499" s="402"/>
      <c r="D499" s="480"/>
      <c r="E499" s="410"/>
      <c r="F499" s="411"/>
      <c r="G499" s="411"/>
      <c r="H499" s="411"/>
      <c r="I499" s="411"/>
      <c r="J499" s="411"/>
      <c r="K499" s="411"/>
      <c r="L499" s="411"/>
      <c r="M499" s="411"/>
      <c r="N499" s="411"/>
      <c r="O499" s="481"/>
      <c r="P499" s="468"/>
    </row>
    <row r="500" spans="1:17">
      <c r="A500" s="1039" t="s">
        <v>5</v>
      </c>
      <c r="B500" s="1041" t="s">
        <v>453</v>
      </c>
      <c r="C500" s="1042"/>
      <c r="D500" s="1041" t="s">
        <v>454</v>
      </c>
      <c r="E500" s="1044"/>
      <c r="F500" s="989" t="s">
        <v>455</v>
      </c>
      <c r="G500" s="1043" t="s">
        <v>456</v>
      </c>
      <c r="H500" s="1047"/>
      <c r="I500" s="1048" t="s">
        <v>457</v>
      </c>
      <c r="J500" s="1047"/>
      <c r="K500" s="1049"/>
      <c r="L500" s="1048" t="s">
        <v>458</v>
      </c>
      <c r="M500" s="1047"/>
      <c r="N500" s="1047"/>
      <c r="O500" s="1027" t="s">
        <v>459</v>
      </c>
      <c r="P500" s="1027" t="s">
        <v>40</v>
      </c>
    </row>
    <row r="501" spans="1:17" ht="15.75" thickBot="1">
      <c r="A501" s="1040"/>
      <c r="B501" s="1043"/>
      <c r="C501" s="1044"/>
      <c r="D501" s="1043"/>
      <c r="E501" s="1044"/>
      <c r="F501" s="985"/>
      <c r="G501" s="1043"/>
      <c r="H501" s="1047"/>
      <c r="I501" s="1050"/>
      <c r="J501" s="1051"/>
      <c r="K501" s="1052"/>
      <c r="L501" s="1050"/>
      <c r="M501" s="1051"/>
      <c r="N501" s="1051"/>
      <c r="O501" s="1028"/>
      <c r="P501" s="1028"/>
    </row>
    <row r="502" spans="1:17">
      <c r="A502" s="482">
        <v>1</v>
      </c>
      <c r="B502" s="1045"/>
      <c r="C502" s="1046"/>
      <c r="D502" s="1045"/>
      <c r="E502" s="1046"/>
      <c r="F502" s="414">
        <v>6</v>
      </c>
      <c r="G502" s="1045"/>
      <c r="H502" s="1046"/>
      <c r="I502" s="483">
        <v>9</v>
      </c>
      <c r="J502" s="483"/>
      <c r="K502" s="483"/>
      <c r="L502" s="483">
        <v>9</v>
      </c>
      <c r="M502" s="483"/>
      <c r="N502" s="483"/>
      <c r="O502" s="484" t="s">
        <v>460</v>
      </c>
      <c r="P502" s="485"/>
    </row>
    <row r="503" spans="1:17" ht="51">
      <c r="A503" s="459"/>
      <c r="B503" s="394" t="s">
        <v>461</v>
      </c>
      <c r="C503" s="394" t="s">
        <v>462</v>
      </c>
      <c r="D503" s="394" t="s">
        <v>463</v>
      </c>
      <c r="E503" s="394" t="s">
        <v>134</v>
      </c>
      <c r="F503" s="394"/>
      <c r="G503" s="394" t="s">
        <v>464</v>
      </c>
      <c r="H503" s="394" t="s">
        <v>465</v>
      </c>
      <c r="I503" s="394" t="s">
        <v>466</v>
      </c>
      <c r="J503" s="394" t="s">
        <v>467</v>
      </c>
      <c r="K503" s="394" t="s">
        <v>468</v>
      </c>
      <c r="L503" s="394" t="s">
        <v>469</v>
      </c>
      <c r="M503" s="394" t="s">
        <v>470</v>
      </c>
      <c r="N503" s="486" t="s">
        <v>471</v>
      </c>
      <c r="O503" s="487"/>
      <c r="P503" s="488"/>
    </row>
    <row r="504" spans="1:17" ht="39.6" customHeight="1">
      <c r="A504" s="1363" t="s">
        <v>822</v>
      </c>
      <c r="B504" s="460">
        <v>1.5</v>
      </c>
      <c r="C504" s="460">
        <v>0</v>
      </c>
      <c r="D504" s="460">
        <v>0</v>
      </c>
      <c r="E504" s="460">
        <v>0</v>
      </c>
      <c r="F504" s="1365">
        <v>3</v>
      </c>
      <c r="G504" s="460"/>
      <c r="H504" s="460"/>
      <c r="I504" s="460" t="s">
        <v>493</v>
      </c>
      <c r="J504" s="460" t="s">
        <v>493</v>
      </c>
      <c r="K504" s="460" t="s">
        <v>493</v>
      </c>
      <c r="L504" s="394"/>
      <c r="M504" s="394"/>
      <c r="N504" s="394"/>
      <c r="O504" s="460"/>
      <c r="P504" s="461"/>
    </row>
    <row r="505" spans="1:17">
      <c r="A505" s="490" t="s">
        <v>871</v>
      </c>
      <c r="B505" s="394">
        <v>1.5</v>
      </c>
      <c r="C505" s="394">
        <v>1</v>
      </c>
      <c r="D505" s="491">
        <v>44596</v>
      </c>
      <c r="E505" s="491">
        <v>44596</v>
      </c>
      <c r="F505" s="1364">
        <f>F504+B505-C505</f>
        <v>3.5</v>
      </c>
      <c r="G505" s="394"/>
      <c r="H505" s="394"/>
      <c r="I505" s="394" t="s">
        <v>493</v>
      </c>
      <c r="J505" s="394" t="s">
        <v>493</v>
      </c>
      <c r="K505" s="394" t="s">
        <v>493</v>
      </c>
      <c r="L505" s="394"/>
      <c r="M505" s="394"/>
      <c r="N505" s="394"/>
      <c r="O505" s="460"/>
      <c r="P505" s="461"/>
    </row>
    <row r="506" spans="1:17">
      <c r="A506" s="537" t="s">
        <v>894</v>
      </c>
      <c r="B506" s="394">
        <v>1.5</v>
      </c>
      <c r="C506" s="394">
        <v>1</v>
      </c>
      <c r="D506" s="491">
        <v>44637</v>
      </c>
      <c r="E506" s="491">
        <v>44637</v>
      </c>
      <c r="F506" s="1364">
        <f>F505+B506-C506</f>
        <v>4</v>
      </c>
      <c r="G506" s="394"/>
      <c r="H506" s="394"/>
      <c r="I506" s="394" t="s">
        <v>493</v>
      </c>
      <c r="J506" s="394" t="s">
        <v>493</v>
      </c>
      <c r="K506" s="394" t="s">
        <v>493</v>
      </c>
      <c r="L506" s="553"/>
      <c r="M506" s="553"/>
      <c r="N506" s="553"/>
      <c r="O506" s="460"/>
      <c r="P506" s="461"/>
    </row>
    <row r="507" spans="1:17">
      <c r="A507" s="1359" t="s">
        <v>901</v>
      </c>
      <c r="B507" s="394">
        <v>1.5</v>
      </c>
      <c r="C507" s="394">
        <v>0</v>
      </c>
      <c r="D507" s="394">
        <v>0</v>
      </c>
      <c r="E507" s="394">
        <v>0</v>
      </c>
      <c r="F507" s="1364">
        <f>F506+B507-C507</f>
        <v>5.5</v>
      </c>
      <c r="G507" s="394"/>
      <c r="H507" s="394"/>
      <c r="I507" s="394" t="s">
        <v>493</v>
      </c>
      <c r="J507" s="394" t="s">
        <v>493</v>
      </c>
      <c r="K507" s="394" t="s">
        <v>493</v>
      </c>
      <c r="L507" s="394"/>
      <c r="M507" s="394"/>
      <c r="N507" s="394"/>
      <c r="O507" s="460"/>
      <c r="P507" s="461"/>
      <c r="Q507" s="8">
        <v>8</v>
      </c>
    </row>
    <row r="508" spans="1:17">
      <c r="A508" s="490"/>
      <c r="B508" s="394"/>
      <c r="C508" s="394"/>
      <c r="D508" s="525"/>
      <c r="E508" s="525"/>
      <c r="F508" s="394"/>
      <c r="G508" s="394"/>
      <c r="H508" s="394"/>
      <c r="I508" s="394"/>
      <c r="J508" s="394"/>
      <c r="K508" s="394"/>
      <c r="L508" s="394"/>
      <c r="M508" s="394"/>
      <c r="N508" s="394"/>
      <c r="O508" s="460"/>
      <c r="P508" s="461"/>
    </row>
    <row r="509" spans="1:17">
      <c r="A509" s="492"/>
      <c r="B509" s="394"/>
      <c r="C509" s="394"/>
      <c r="D509" s="394"/>
      <c r="E509" s="394"/>
      <c r="F509" s="394"/>
      <c r="G509" s="394"/>
      <c r="H509" s="394"/>
      <c r="I509" s="394"/>
      <c r="J509" s="394"/>
      <c r="K509" s="394"/>
      <c r="L509" s="394"/>
      <c r="M509" s="394"/>
      <c r="N509" s="394"/>
      <c r="O509" s="460"/>
      <c r="P509" s="461"/>
    </row>
    <row r="510" spans="1:17">
      <c r="A510" s="492"/>
      <c r="B510" s="394"/>
      <c r="C510" s="394"/>
      <c r="D510" s="394"/>
      <c r="E510" s="394"/>
      <c r="F510" s="394"/>
      <c r="G510" s="394"/>
      <c r="H510" s="394"/>
      <c r="I510" s="394"/>
      <c r="J510" s="394"/>
      <c r="K510" s="394"/>
      <c r="L510" s="394"/>
      <c r="M510" s="394"/>
      <c r="N510" s="394"/>
      <c r="O510" s="460"/>
      <c r="P510" s="461"/>
    </row>
    <row r="511" spans="1:17">
      <c r="A511" s="492"/>
      <c r="B511" s="394"/>
      <c r="C511" s="394"/>
      <c r="D511" s="394"/>
      <c r="E511" s="394"/>
      <c r="F511" s="394"/>
      <c r="G511" s="394"/>
      <c r="H511" s="394"/>
      <c r="I511" s="394"/>
      <c r="J511" s="394"/>
      <c r="K511" s="394"/>
      <c r="L511" s="394"/>
      <c r="M511" s="394"/>
      <c r="N511" s="394"/>
      <c r="O511" s="460"/>
      <c r="P511" s="461"/>
    </row>
    <row r="512" spans="1:17">
      <c r="A512" s="492"/>
      <c r="B512" s="394"/>
      <c r="C512" s="394"/>
      <c r="D512" s="394"/>
      <c r="E512" s="394"/>
      <c r="F512" s="394"/>
      <c r="G512" s="394"/>
      <c r="H512" s="394"/>
      <c r="I512" s="394"/>
      <c r="J512" s="394"/>
      <c r="K512" s="394"/>
      <c r="L512" s="394"/>
      <c r="M512" s="394"/>
      <c r="N512" s="394"/>
      <c r="O512" s="460"/>
      <c r="P512" s="461"/>
    </row>
    <row r="513" spans="1:16">
      <c r="A513" s="492"/>
      <c r="B513" s="394"/>
      <c r="C513" s="394"/>
      <c r="D513" s="394"/>
      <c r="E513" s="394"/>
      <c r="F513" s="394"/>
      <c r="G513" s="394"/>
      <c r="H513" s="394"/>
      <c r="I513" s="394"/>
      <c r="J513" s="394"/>
      <c r="K513" s="394"/>
      <c r="L513" s="394"/>
      <c r="M513" s="394"/>
      <c r="N513" s="394"/>
      <c r="O513" s="460"/>
      <c r="P513" s="461"/>
    </row>
    <row r="514" spans="1:16">
      <c r="A514" s="492"/>
      <c r="B514" s="394"/>
      <c r="C514" s="394"/>
      <c r="D514" s="491"/>
      <c r="E514" s="491"/>
      <c r="F514" s="394"/>
      <c r="G514" s="394"/>
      <c r="H514" s="394"/>
      <c r="I514" s="394"/>
      <c r="J514" s="394"/>
      <c r="K514" s="394"/>
      <c r="L514" s="394"/>
      <c r="M514" s="394"/>
      <c r="N514" s="394"/>
      <c r="O514" s="460"/>
      <c r="P514" s="461"/>
    </row>
    <row r="515" spans="1:16">
      <c r="A515" s="492"/>
      <c r="B515" s="394"/>
      <c r="C515" s="394"/>
      <c r="D515" s="491"/>
      <c r="E515" s="491"/>
      <c r="F515" s="394"/>
      <c r="G515" s="394"/>
      <c r="H515" s="394"/>
      <c r="I515" s="394"/>
      <c r="J515" s="394"/>
      <c r="K515" s="394"/>
      <c r="L515" s="394"/>
      <c r="M515" s="394"/>
      <c r="N515" s="394"/>
      <c r="O515" s="460"/>
      <c r="P515" s="461"/>
    </row>
    <row r="516" spans="1:16">
      <c r="A516" s="492"/>
      <c r="B516" s="394"/>
      <c r="C516" s="394"/>
      <c r="D516" s="491"/>
      <c r="E516" s="491"/>
      <c r="F516" s="394"/>
      <c r="G516" s="394"/>
      <c r="H516" s="394"/>
      <c r="I516" s="394"/>
      <c r="J516" s="394"/>
      <c r="K516" s="394"/>
      <c r="L516" s="394"/>
      <c r="M516" s="394"/>
      <c r="N516" s="394"/>
      <c r="O516" s="460"/>
      <c r="P516" s="461"/>
    </row>
    <row r="517" spans="1:16">
      <c r="A517" s="492"/>
      <c r="B517" s="394"/>
      <c r="C517" s="394"/>
      <c r="D517" s="491"/>
      <c r="E517" s="491"/>
      <c r="F517" s="394"/>
      <c r="G517" s="394"/>
      <c r="H517" s="394"/>
      <c r="I517" s="394"/>
      <c r="J517" s="394"/>
      <c r="K517" s="394"/>
      <c r="L517" s="394"/>
      <c r="M517" s="394"/>
      <c r="N517" s="394"/>
      <c r="O517" s="460"/>
      <c r="P517" s="461"/>
    </row>
    <row r="518" spans="1:16">
      <c r="A518" s="492"/>
      <c r="B518" s="394"/>
      <c r="C518" s="394"/>
      <c r="D518" s="491"/>
      <c r="E518" s="491"/>
      <c r="F518" s="394"/>
      <c r="G518" s="394"/>
      <c r="H518" s="394"/>
      <c r="I518" s="394"/>
      <c r="J518" s="394"/>
      <c r="K518" s="394"/>
      <c r="L518" s="394"/>
      <c r="M518" s="394"/>
      <c r="N518" s="394"/>
      <c r="O518" s="460"/>
      <c r="P518" s="461"/>
    </row>
    <row r="519" spans="1:16">
      <c r="A519" s="492"/>
      <c r="B519" s="394"/>
      <c r="C519" s="394"/>
      <c r="D519" s="491"/>
      <c r="E519" s="491"/>
      <c r="F519" s="394"/>
      <c r="G519" s="394"/>
      <c r="H519" s="394"/>
      <c r="I519" s="394"/>
      <c r="J519" s="394"/>
      <c r="K519" s="394"/>
      <c r="L519" s="394"/>
      <c r="M519" s="394"/>
      <c r="N519" s="394"/>
      <c r="O519" s="460"/>
      <c r="P519" s="461"/>
    </row>
    <row r="520" spans="1:16">
      <c r="A520" s="459"/>
      <c r="B520" s="394"/>
      <c r="C520" s="394"/>
      <c r="D520" s="394"/>
      <c r="E520" s="394"/>
      <c r="F520" s="394"/>
      <c r="G520" s="394"/>
      <c r="H520" s="394"/>
      <c r="I520" s="394"/>
      <c r="J520" s="394"/>
      <c r="K520" s="394"/>
      <c r="L520" s="394"/>
      <c r="M520" s="394"/>
      <c r="N520" s="394"/>
      <c r="O520" s="460"/>
      <c r="P520" s="461"/>
    </row>
    <row r="521" spans="1:16">
      <c r="A521" s="459"/>
      <c r="B521" s="394"/>
      <c r="C521" s="394"/>
      <c r="D521" s="394"/>
      <c r="E521" s="394"/>
      <c r="F521" s="394"/>
      <c r="G521" s="394"/>
      <c r="H521" s="394"/>
      <c r="I521" s="394"/>
      <c r="J521" s="394"/>
      <c r="K521" s="394"/>
      <c r="L521" s="394"/>
      <c r="M521" s="394"/>
      <c r="N521" s="394"/>
      <c r="O521" s="460"/>
      <c r="P521" s="461"/>
    </row>
    <row r="522" spans="1:16">
      <c r="A522" s="459"/>
      <c r="B522" s="394"/>
      <c r="C522" s="394"/>
      <c r="D522" s="394"/>
      <c r="E522" s="394"/>
      <c r="F522" s="394"/>
      <c r="G522" s="394"/>
      <c r="H522" s="394"/>
      <c r="I522" s="394"/>
      <c r="J522" s="394"/>
      <c r="K522" s="394"/>
      <c r="L522" s="394"/>
      <c r="M522" s="394"/>
      <c r="N522" s="394"/>
      <c r="O522" s="460"/>
      <c r="P522" s="461"/>
    </row>
    <row r="523" spans="1:16">
      <c r="A523" s="459"/>
      <c r="B523" s="394"/>
      <c r="C523" s="394"/>
      <c r="D523" s="394"/>
      <c r="E523" s="394"/>
      <c r="F523" s="394"/>
      <c r="G523" s="394"/>
      <c r="H523" s="394"/>
      <c r="I523" s="394"/>
      <c r="J523" s="394"/>
      <c r="K523" s="394"/>
      <c r="L523" s="394"/>
      <c r="M523" s="394"/>
      <c r="N523" s="394"/>
      <c r="O523" s="460"/>
      <c r="P523" s="461"/>
    </row>
    <row r="524" spans="1:16">
      <c r="A524" s="459"/>
      <c r="B524" s="394"/>
      <c r="C524" s="394"/>
      <c r="D524" s="394"/>
      <c r="E524" s="394"/>
      <c r="F524" s="394"/>
      <c r="G524" s="394"/>
      <c r="H524" s="394"/>
      <c r="I524" s="394"/>
      <c r="J524" s="394"/>
      <c r="K524" s="394"/>
      <c r="L524" s="394"/>
      <c r="M524" s="394"/>
      <c r="N524" s="394"/>
      <c r="O524" s="460"/>
      <c r="P524" s="461"/>
    </row>
    <row r="525" spans="1:16">
      <c r="A525" s="474"/>
      <c r="B525" s="399"/>
      <c r="C525" s="399"/>
      <c r="D525" s="399"/>
      <c r="E525" s="399"/>
      <c r="F525" s="399"/>
      <c r="G525" s="399"/>
      <c r="H525" s="399"/>
      <c r="I525" s="399"/>
      <c r="J525" s="399"/>
      <c r="K525" s="399"/>
      <c r="L525" s="399"/>
      <c r="M525" s="399"/>
      <c r="N525" s="399"/>
      <c r="O525" s="494"/>
      <c r="P525" s="495"/>
    </row>
    <row r="526" spans="1:16">
      <c r="A526" s="474"/>
      <c r="B526" s="399"/>
      <c r="C526" s="399"/>
      <c r="D526" s="399"/>
      <c r="E526" s="399"/>
      <c r="F526" s="399"/>
      <c r="G526" s="399"/>
      <c r="H526" s="399"/>
      <c r="I526" s="399"/>
      <c r="J526" s="399"/>
      <c r="K526" s="399"/>
      <c r="L526" s="399"/>
      <c r="M526" s="399"/>
      <c r="N526" s="399"/>
      <c r="O526" s="494"/>
      <c r="P526" s="495"/>
    </row>
    <row r="527" spans="1:16">
      <c r="A527" s="474"/>
      <c r="B527" s="399"/>
      <c r="C527" s="399"/>
      <c r="D527" s="399"/>
      <c r="E527" s="399"/>
      <c r="F527" s="399"/>
      <c r="G527" s="399"/>
      <c r="H527" s="399"/>
      <c r="I527" s="399"/>
      <c r="J527" s="399"/>
      <c r="K527" s="399"/>
      <c r="L527" s="399"/>
      <c r="M527" s="399"/>
      <c r="N527" s="399"/>
      <c r="O527" s="494"/>
      <c r="P527" s="495"/>
    </row>
    <row r="528" spans="1:16">
      <c r="A528" s="463"/>
      <c r="B528" s="462"/>
      <c r="C528" s="462"/>
      <c r="D528" s="462"/>
      <c r="E528" s="462"/>
      <c r="F528" s="462"/>
      <c r="G528" s="462"/>
      <c r="H528" s="462"/>
      <c r="I528" s="462"/>
      <c r="J528" s="462"/>
      <c r="K528" s="462"/>
      <c r="L528" s="462"/>
      <c r="M528" s="462"/>
      <c r="N528" s="462"/>
      <c r="O528" s="371"/>
      <c r="P528" s="464"/>
    </row>
    <row r="529" spans="1:16">
      <c r="A529" s="463"/>
      <c r="B529" s="462"/>
      <c r="C529" s="462"/>
      <c r="D529" s="462"/>
      <c r="E529" s="462"/>
      <c r="F529" s="462"/>
      <c r="G529" s="462"/>
      <c r="H529" s="462"/>
      <c r="I529" s="462"/>
      <c r="J529" s="462"/>
      <c r="K529" s="462"/>
      <c r="L529" s="462"/>
      <c r="M529" s="462"/>
      <c r="N529" s="462"/>
      <c r="O529" s="371"/>
      <c r="P529" s="464"/>
    </row>
    <row r="530" spans="1:16">
      <c r="A530" s="463"/>
      <c r="B530" s="462"/>
      <c r="C530" s="462"/>
      <c r="D530" s="462"/>
      <c r="E530" s="462"/>
      <c r="F530" s="462"/>
      <c r="G530" s="462"/>
      <c r="H530" s="462"/>
      <c r="I530" s="462"/>
      <c r="J530" s="462"/>
      <c r="K530" s="462"/>
      <c r="L530" s="462"/>
      <c r="M530" s="462"/>
      <c r="N530" s="462"/>
      <c r="O530" s="371"/>
      <c r="P530" s="464"/>
    </row>
    <row r="531" spans="1:16" ht="15.75" thickBot="1">
      <c r="A531" s="465"/>
      <c r="B531" s="466"/>
      <c r="C531" s="466"/>
      <c r="D531" s="466"/>
      <c r="E531" s="466"/>
      <c r="F531" s="466"/>
      <c r="G531" s="1029" t="s">
        <v>38</v>
      </c>
      <c r="H531" s="1029"/>
      <c r="I531" s="1029"/>
      <c r="J531" s="1029"/>
      <c r="K531" s="1029"/>
      <c r="L531" s="1029"/>
      <c r="M531" s="1029"/>
      <c r="N531" s="1029"/>
      <c r="O531" s="467"/>
      <c r="P531" s="468"/>
    </row>
    <row r="559" spans="1:16" ht="15.75" thickBot="1"/>
    <row r="560" spans="1:16">
      <c r="A560" s="1030" t="s">
        <v>450</v>
      </c>
      <c r="B560" s="1031"/>
      <c r="C560" s="1031"/>
      <c r="D560" s="1031"/>
      <c r="E560" s="1031"/>
      <c r="F560" s="1031"/>
      <c r="G560" s="1031"/>
      <c r="H560" s="1031"/>
      <c r="I560" s="1031"/>
      <c r="J560" s="1031"/>
      <c r="K560" s="1031"/>
      <c r="L560" s="1031"/>
      <c r="M560" s="1031"/>
      <c r="N560" s="1031"/>
      <c r="O560" s="469"/>
      <c r="P560" s="470"/>
    </row>
    <row r="561" spans="1:16" ht="15.75" thickBot="1">
      <c r="A561" s="1032"/>
      <c r="B561" s="1033"/>
      <c r="C561" s="1033"/>
      <c r="D561" s="1033"/>
      <c r="E561" s="1033"/>
      <c r="F561" s="1033"/>
      <c r="G561" s="1033"/>
      <c r="H561" s="1033"/>
      <c r="I561" s="1033"/>
      <c r="J561" s="1033"/>
      <c r="K561" s="1033"/>
      <c r="L561" s="1033"/>
      <c r="M561" s="1033"/>
      <c r="N561" s="1033"/>
      <c r="O561" s="471"/>
      <c r="P561" s="464"/>
    </row>
    <row r="562" spans="1:16" ht="15.75" thickBot="1">
      <c r="A562" s="1034" t="s">
        <v>451</v>
      </c>
      <c r="B562" s="1035"/>
      <c r="C562" s="1035"/>
      <c r="D562" s="1035"/>
      <c r="E562" s="1035"/>
      <c r="F562" s="1035"/>
      <c r="G562" s="1035"/>
      <c r="H562" s="1035"/>
      <c r="I562" s="1035"/>
      <c r="J562" s="1035"/>
      <c r="K562" s="1035"/>
      <c r="L562" s="1035"/>
      <c r="M562" s="1035"/>
      <c r="N562" s="1035"/>
      <c r="O562" s="471"/>
      <c r="P562" s="464"/>
    </row>
    <row r="563" spans="1:16">
      <c r="A563" s="472" t="s">
        <v>483</v>
      </c>
      <c r="B563" s="405"/>
      <c r="C563" s="405"/>
      <c r="D563" s="406"/>
      <c r="E563" s="1036" t="s">
        <v>484</v>
      </c>
      <c r="F563" s="1037"/>
      <c r="G563" s="1037"/>
      <c r="H563" s="473"/>
      <c r="I563" s="473"/>
      <c r="J563" s="473"/>
      <c r="K563" s="473"/>
      <c r="L563" s="473"/>
      <c r="M563" s="473"/>
      <c r="N563" s="473"/>
      <c r="O563" s="471"/>
      <c r="P563" s="464"/>
    </row>
    <row r="564" spans="1:16">
      <c r="A564" s="474"/>
      <c r="B564" s="399" t="s">
        <v>384</v>
      </c>
      <c r="C564" s="399"/>
      <c r="D564" s="408"/>
      <c r="E564" s="475"/>
      <c r="F564" s="476"/>
      <c r="G564" s="1038" t="str">
        <f>'0422Master'!B24</f>
        <v>Arvind Akhare</v>
      </c>
      <c r="H564" s="1038"/>
      <c r="I564" s="1038"/>
      <c r="J564" s="476"/>
      <c r="K564" s="476"/>
      <c r="L564" s="476"/>
      <c r="M564" s="476"/>
      <c r="N564" s="476"/>
      <c r="O564" s="471"/>
      <c r="P564" s="464"/>
    </row>
    <row r="565" spans="1:16" ht="15.75" thickBot="1">
      <c r="A565" s="410"/>
      <c r="B565" s="411" t="s">
        <v>385</v>
      </c>
      <c r="C565" s="411"/>
      <c r="D565" s="412"/>
      <c r="E565" s="475"/>
      <c r="F565" s="476"/>
      <c r="G565" s="476"/>
      <c r="H565" s="476"/>
      <c r="I565" s="476"/>
      <c r="J565" s="476"/>
      <c r="K565" s="476"/>
      <c r="L565" s="476"/>
      <c r="M565" s="476"/>
      <c r="N565" s="476"/>
      <c r="O565" s="471"/>
      <c r="P565" s="464"/>
    </row>
    <row r="566" spans="1:16">
      <c r="A566" s="404" t="s">
        <v>485</v>
      </c>
      <c r="B566" s="405"/>
      <c r="C566" s="405"/>
      <c r="D566" s="406"/>
      <c r="E566" s="404" t="s">
        <v>452</v>
      </c>
      <c r="F566" s="405"/>
      <c r="G566" s="477">
        <f>'0422Master'!N24</f>
        <v>44537</v>
      </c>
      <c r="H566" s="405"/>
      <c r="I566" s="405"/>
      <c r="J566" s="405"/>
      <c r="K566" s="405"/>
      <c r="L566" s="405"/>
      <c r="M566" s="405"/>
      <c r="N566" s="405"/>
      <c r="O566" s="471"/>
      <c r="P566" s="464"/>
    </row>
    <row r="567" spans="1:16">
      <c r="A567" s="474"/>
      <c r="B567" s="399"/>
      <c r="C567" s="399" t="s">
        <v>374</v>
      </c>
      <c r="D567" s="408"/>
      <c r="E567" s="407"/>
      <c r="F567" s="399"/>
      <c r="G567" s="399"/>
      <c r="H567" s="399"/>
      <c r="I567" s="399"/>
      <c r="J567" s="399"/>
      <c r="K567" s="399"/>
      <c r="L567" s="399"/>
      <c r="M567" s="399"/>
      <c r="N567" s="399"/>
      <c r="O567" s="471"/>
      <c r="P567" s="464"/>
    </row>
    <row r="568" spans="1:16">
      <c r="A568" s="474"/>
      <c r="B568" s="399"/>
      <c r="C568" s="399"/>
      <c r="D568" s="408"/>
      <c r="E568" s="478"/>
      <c r="F568" s="399"/>
      <c r="G568" s="399"/>
      <c r="H568" s="399"/>
      <c r="I568" s="399"/>
      <c r="J568" s="399"/>
      <c r="K568" s="399"/>
      <c r="L568" s="399"/>
      <c r="M568" s="399"/>
      <c r="N568" s="399"/>
      <c r="O568" s="471"/>
      <c r="P568" s="464"/>
    </row>
    <row r="569" spans="1:16" ht="15.75" thickBot="1">
      <c r="A569" s="479"/>
      <c r="B569" s="402"/>
      <c r="C569" s="402"/>
      <c r="D569" s="480"/>
      <c r="E569" s="410"/>
      <c r="F569" s="411"/>
      <c r="G569" s="411"/>
      <c r="H569" s="411"/>
      <c r="I569" s="411"/>
      <c r="J569" s="411"/>
      <c r="K569" s="411"/>
      <c r="L569" s="411"/>
      <c r="M569" s="411"/>
      <c r="N569" s="411"/>
      <c r="O569" s="481"/>
      <c r="P569" s="468"/>
    </row>
    <row r="570" spans="1:16">
      <c r="A570" s="1039" t="s">
        <v>5</v>
      </c>
      <c r="B570" s="1041" t="s">
        <v>453</v>
      </c>
      <c r="C570" s="1042"/>
      <c r="D570" s="1041" t="s">
        <v>454</v>
      </c>
      <c r="E570" s="1044"/>
      <c r="F570" s="989" t="s">
        <v>455</v>
      </c>
      <c r="G570" s="1043" t="s">
        <v>456</v>
      </c>
      <c r="H570" s="1047"/>
      <c r="I570" s="1048" t="s">
        <v>457</v>
      </c>
      <c r="J570" s="1047"/>
      <c r="K570" s="1049"/>
      <c r="L570" s="1048" t="s">
        <v>458</v>
      </c>
      <c r="M570" s="1047"/>
      <c r="N570" s="1047"/>
      <c r="O570" s="1027" t="s">
        <v>459</v>
      </c>
      <c r="P570" s="1027" t="s">
        <v>40</v>
      </c>
    </row>
    <row r="571" spans="1:16" ht="15.75" thickBot="1">
      <c r="A571" s="1040"/>
      <c r="B571" s="1043"/>
      <c r="C571" s="1044"/>
      <c r="D571" s="1043"/>
      <c r="E571" s="1044"/>
      <c r="F571" s="985"/>
      <c r="G571" s="1043"/>
      <c r="H571" s="1047"/>
      <c r="I571" s="1050"/>
      <c r="J571" s="1051"/>
      <c r="K571" s="1052"/>
      <c r="L571" s="1050"/>
      <c r="M571" s="1051"/>
      <c r="N571" s="1051"/>
      <c r="O571" s="1028"/>
      <c r="P571" s="1028"/>
    </row>
    <row r="572" spans="1:16">
      <c r="A572" s="482">
        <v>1</v>
      </c>
      <c r="B572" s="1045"/>
      <c r="C572" s="1046"/>
      <c r="D572" s="1045"/>
      <c r="E572" s="1046"/>
      <c r="F572" s="414">
        <v>6</v>
      </c>
      <c r="G572" s="1045"/>
      <c r="H572" s="1046"/>
      <c r="I572" s="483">
        <v>9</v>
      </c>
      <c r="J572" s="483"/>
      <c r="K572" s="483"/>
      <c r="L572" s="483">
        <v>9</v>
      </c>
      <c r="M572" s="483"/>
      <c r="N572" s="483"/>
      <c r="O572" s="484" t="s">
        <v>460</v>
      </c>
      <c r="P572" s="485"/>
    </row>
    <row r="573" spans="1:16" ht="51">
      <c r="A573" s="459"/>
      <c r="B573" s="394" t="s">
        <v>461</v>
      </c>
      <c r="C573" s="394" t="s">
        <v>462</v>
      </c>
      <c r="D573" s="394" t="s">
        <v>463</v>
      </c>
      <c r="E573" s="394" t="s">
        <v>134</v>
      </c>
      <c r="F573" s="394"/>
      <c r="G573" s="394" t="s">
        <v>464</v>
      </c>
      <c r="H573" s="394" t="s">
        <v>465</v>
      </c>
      <c r="I573" s="394" t="s">
        <v>466</v>
      </c>
      <c r="J573" s="394" t="s">
        <v>467</v>
      </c>
      <c r="K573" s="394" t="s">
        <v>468</v>
      </c>
      <c r="L573" s="394" t="s">
        <v>469</v>
      </c>
      <c r="M573" s="394" t="s">
        <v>470</v>
      </c>
      <c r="N573" s="486" t="s">
        <v>471</v>
      </c>
      <c r="O573" s="487"/>
      <c r="P573" s="488"/>
    </row>
    <row r="574" spans="1:16">
      <c r="A574" s="459"/>
      <c r="B574" s="489"/>
      <c r="C574" s="394"/>
      <c r="D574" s="394"/>
      <c r="E574" s="394"/>
      <c r="F574" s="394"/>
      <c r="G574" s="394"/>
      <c r="H574" s="394"/>
      <c r="I574" s="394"/>
      <c r="J574" s="394"/>
      <c r="K574" s="394"/>
      <c r="L574" s="394"/>
      <c r="M574" s="394"/>
      <c r="N574" s="394"/>
      <c r="O574" s="460"/>
      <c r="P574" s="461"/>
    </row>
    <row r="575" spans="1:16">
      <c r="A575" s="1366" t="s">
        <v>822</v>
      </c>
      <c r="B575" s="1360">
        <v>1.5</v>
      </c>
      <c r="C575" s="1360">
        <v>0</v>
      </c>
      <c r="D575" s="1360">
        <v>0</v>
      </c>
      <c r="E575" s="1360">
        <v>0</v>
      </c>
      <c r="F575" s="1360">
        <v>3</v>
      </c>
      <c r="G575" s="460"/>
      <c r="H575" s="460"/>
      <c r="I575" s="460" t="s">
        <v>493</v>
      </c>
      <c r="J575" s="460" t="s">
        <v>493</v>
      </c>
      <c r="K575" s="460" t="s">
        <v>493</v>
      </c>
      <c r="L575" s="394"/>
      <c r="M575" s="394"/>
      <c r="N575" s="394"/>
      <c r="O575" s="460"/>
      <c r="P575" s="461"/>
    </row>
    <row r="576" spans="1:16">
      <c r="A576" s="490" t="s">
        <v>871</v>
      </c>
      <c r="B576" s="394">
        <v>1.5</v>
      </c>
      <c r="C576" s="394">
        <v>0</v>
      </c>
      <c r="D576" s="394">
        <v>0</v>
      </c>
      <c r="E576" s="394">
        <v>0</v>
      </c>
      <c r="F576" s="394">
        <f>F575+B576-C576</f>
        <v>4.5</v>
      </c>
      <c r="G576" s="394"/>
      <c r="H576" s="394"/>
      <c r="I576" s="394" t="s">
        <v>493</v>
      </c>
      <c r="J576" s="394" t="s">
        <v>493</v>
      </c>
      <c r="K576" s="394" t="s">
        <v>493</v>
      </c>
      <c r="L576" s="394"/>
      <c r="M576" s="394"/>
      <c r="N576" s="394"/>
      <c r="O576" s="460"/>
      <c r="P576" s="461"/>
    </row>
    <row r="577" spans="1:17">
      <c r="A577" s="537" t="s">
        <v>894</v>
      </c>
      <c r="B577" s="394">
        <v>1.5</v>
      </c>
      <c r="C577" s="394">
        <v>0</v>
      </c>
      <c r="D577" s="394">
        <v>0</v>
      </c>
      <c r="E577" s="394">
        <v>0</v>
      </c>
      <c r="F577" s="394">
        <f>F576+B577-C577</f>
        <v>6</v>
      </c>
      <c r="G577" s="394"/>
      <c r="H577" s="394"/>
      <c r="I577" s="394" t="s">
        <v>493</v>
      </c>
      <c r="J577" s="394" t="s">
        <v>493</v>
      </c>
      <c r="K577" s="394" t="s">
        <v>493</v>
      </c>
      <c r="L577" s="553"/>
      <c r="M577" s="553"/>
      <c r="N577" s="553"/>
      <c r="O577" s="460"/>
      <c r="P577" s="461"/>
    </row>
    <row r="578" spans="1:17">
      <c r="A578" s="1369" t="s">
        <v>901</v>
      </c>
      <c r="B578" s="394">
        <v>1.5</v>
      </c>
      <c r="C578" s="394">
        <v>1</v>
      </c>
      <c r="D578" s="491">
        <v>44662</v>
      </c>
      <c r="E578" s="491">
        <v>44662</v>
      </c>
      <c r="F578" s="394">
        <f>F577+B578-C578</f>
        <v>6.5</v>
      </c>
      <c r="G578" s="394"/>
      <c r="H578" s="394"/>
      <c r="I578" s="394" t="s">
        <v>493</v>
      </c>
      <c r="J578" s="394" t="s">
        <v>493</v>
      </c>
      <c r="K578" s="394" t="s">
        <v>493</v>
      </c>
      <c r="L578" s="394"/>
      <c r="M578" s="394"/>
      <c r="N578" s="394"/>
      <c r="O578" s="460"/>
      <c r="P578" s="461"/>
      <c r="Q578" s="8">
        <v>9</v>
      </c>
    </row>
    <row r="579" spans="1:17">
      <c r="A579" s="492"/>
      <c r="B579" s="394"/>
      <c r="C579" s="394"/>
      <c r="D579" s="394"/>
      <c r="E579" s="394"/>
      <c r="F579" s="394"/>
      <c r="G579" s="394"/>
      <c r="H579" s="394"/>
      <c r="I579" s="394"/>
      <c r="J579" s="394"/>
      <c r="K579" s="394"/>
      <c r="L579" s="394"/>
      <c r="M579" s="394"/>
      <c r="N579" s="394"/>
      <c r="O579" s="460"/>
      <c r="P579" s="461"/>
    </row>
    <row r="580" spans="1:17">
      <c r="A580" s="492"/>
      <c r="B580" s="394"/>
      <c r="C580" s="394"/>
      <c r="D580" s="394"/>
      <c r="E580" s="394"/>
      <c r="F580" s="394"/>
      <c r="G580" s="394"/>
      <c r="H580" s="394"/>
      <c r="I580" s="394"/>
      <c r="J580" s="394"/>
      <c r="K580" s="394"/>
      <c r="L580" s="394"/>
      <c r="M580" s="394"/>
      <c r="N580" s="394"/>
      <c r="O580" s="460"/>
      <c r="P580" s="461"/>
    </row>
    <row r="581" spans="1:17">
      <c r="A581" s="492"/>
      <c r="B581" s="394"/>
      <c r="C581" s="394"/>
      <c r="D581" s="394"/>
      <c r="E581" s="394"/>
      <c r="F581" s="394"/>
      <c r="G581" s="394"/>
      <c r="H581" s="394"/>
      <c r="I581" s="394"/>
      <c r="J581" s="394"/>
      <c r="K581" s="394"/>
      <c r="L581" s="394"/>
      <c r="M581" s="394"/>
      <c r="N581" s="394"/>
      <c r="O581" s="460"/>
      <c r="P581" s="461"/>
    </row>
    <row r="582" spans="1:17">
      <c r="A582" s="492"/>
      <c r="B582" s="394"/>
      <c r="C582" s="394"/>
      <c r="D582" s="394"/>
      <c r="E582" s="394"/>
      <c r="F582" s="394"/>
      <c r="G582" s="394"/>
      <c r="H582" s="394"/>
      <c r="I582" s="394"/>
      <c r="J582" s="394"/>
      <c r="K582" s="394"/>
      <c r="L582" s="394"/>
      <c r="M582" s="394"/>
      <c r="N582" s="394"/>
      <c r="O582" s="460"/>
      <c r="P582" s="461"/>
    </row>
    <row r="583" spans="1:17">
      <c r="A583" s="492"/>
      <c r="B583" s="394"/>
      <c r="C583" s="394"/>
      <c r="D583" s="394"/>
      <c r="E583" s="394"/>
      <c r="F583" s="394"/>
      <c r="G583" s="394"/>
      <c r="H583" s="394"/>
      <c r="I583" s="394"/>
      <c r="J583" s="394"/>
      <c r="K583" s="394"/>
      <c r="L583" s="394"/>
      <c r="M583" s="394"/>
      <c r="N583" s="394"/>
      <c r="O583" s="460"/>
      <c r="P583" s="461"/>
    </row>
    <row r="584" spans="1:17">
      <c r="A584" s="492"/>
      <c r="B584" s="394"/>
      <c r="C584" s="394"/>
      <c r="D584" s="491"/>
      <c r="E584" s="491"/>
      <c r="F584" s="394"/>
      <c r="G584" s="394"/>
      <c r="H584" s="394"/>
      <c r="I584" s="394"/>
      <c r="J584" s="394"/>
      <c r="K584" s="394"/>
      <c r="L584" s="394"/>
      <c r="M584" s="394"/>
      <c r="N584" s="394"/>
      <c r="O584" s="460"/>
      <c r="P584" s="461"/>
    </row>
    <row r="585" spans="1:17">
      <c r="A585" s="492"/>
      <c r="B585" s="394"/>
      <c r="C585" s="394"/>
      <c r="D585" s="491"/>
      <c r="E585" s="491"/>
      <c r="F585" s="394"/>
      <c r="G585" s="394"/>
      <c r="H585" s="394"/>
      <c r="I585" s="394"/>
      <c r="J585" s="394"/>
      <c r="K585" s="394"/>
      <c r="L585" s="394"/>
      <c r="M585" s="394"/>
      <c r="N585" s="394"/>
      <c r="O585" s="460"/>
      <c r="P585" s="461"/>
    </row>
    <row r="586" spans="1:17">
      <c r="A586" s="492"/>
      <c r="B586" s="394"/>
      <c r="C586" s="394"/>
      <c r="D586" s="491"/>
      <c r="E586" s="491"/>
      <c r="F586" s="394"/>
      <c r="G586" s="394"/>
      <c r="H586" s="394"/>
      <c r="I586" s="394"/>
      <c r="J586" s="394"/>
      <c r="K586" s="394"/>
      <c r="L586" s="394"/>
      <c r="M586" s="394"/>
      <c r="N586" s="394"/>
      <c r="O586" s="460"/>
      <c r="P586" s="461"/>
    </row>
    <row r="587" spans="1:17">
      <c r="A587" s="492"/>
      <c r="B587" s="394"/>
      <c r="C587" s="394"/>
      <c r="D587" s="491"/>
      <c r="E587" s="491"/>
      <c r="F587" s="394"/>
      <c r="G587" s="394"/>
      <c r="H587" s="394"/>
      <c r="I587" s="394"/>
      <c r="J587" s="394"/>
      <c r="K587" s="394"/>
      <c r="L587" s="394"/>
      <c r="M587" s="394"/>
      <c r="N587" s="394"/>
      <c r="O587" s="460"/>
      <c r="P587" s="461"/>
    </row>
    <row r="588" spans="1:17">
      <c r="A588" s="492"/>
      <c r="B588" s="394"/>
      <c r="C588" s="394"/>
      <c r="D588" s="491"/>
      <c r="E588" s="491"/>
      <c r="F588" s="394"/>
      <c r="G588" s="394"/>
      <c r="H588" s="394"/>
      <c r="I588" s="394"/>
      <c r="J588" s="394"/>
      <c r="K588" s="394"/>
      <c r="L588" s="394"/>
      <c r="M588" s="394"/>
      <c r="N588" s="394"/>
      <c r="O588" s="460"/>
      <c r="P588" s="461"/>
    </row>
    <row r="589" spans="1:17">
      <c r="A589" s="492"/>
      <c r="B589" s="394"/>
      <c r="C589" s="394"/>
      <c r="D589" s="491"/>
      <c r="E589" s="491"/>
      <c r="F589" s="394"/>
      <c r="G589" s="394"/>
      <c r="H589" s="394"/>
      <c r="I589" s="394"/>
      <c r="J589" s="394"/>
      <c r="K589" s="394"/>
      <c r="L589" s="394"/>
      <c r="M589" s="394"/>
      <c r="N589" s="394"/>
      <c r="O589" s="460"/>
      <c r="P589" s="461"/>
    </row>
    <row r="590" spans="1:17">
      <c r="A590" s="459"/>
      <c r="B590" s="394"/>
      <c r="C590" s="394"/>
      <c r="D590" s="394"/>
      <c r="E590" s="394"/>
      <c r="F590" s="394"/>
      <c r="G590" s="394"/>
      <c r="H590" s="394"/>
      <c r="I590" s="394"/>
      <c r="J590" s="394"/>
      <c r="K590" s="394"/>
      <c r="L590" s="394"/>
      <c r="M590" s="394"/>
      <c r="N590" s="394"/>
      <c r="O590" s="460"/>
      <c r="P590" s="461"/>
    </row>
    <row r="591" spans="1:17">
      <c r="A591" s="459"/>
      <c r="B591" s="394"/>
      <c r="C591" s="394"/>
      <c r="D591" s="394"/>
      <c r="E591" s="394"/>
      <c r="F591" s="394"/>
      <c r="G591" s="394"/>
      <c r="H591" s="394"/>
      <c r="I591" s="394"/>
      <c r="J591" s="394"/>
      <c r="K591" s="394"/>
      <c r="L591" s="394"/>
      <c r="M591" s="394"/>
      <c r="N591" s="394"/>
      <c r="O591" s="460"/>
      <c r="P591" s="461"/>
    </row>
    <row r="592" spans="1:17">
      <c r="A592" s="459"/>
      <c r="B592" s="394"/>
      <c r="C592" s="394"/>
      <c r="D592" s="394"/>
      <c r="E592" s="394"/>
      <c r="F592" s="394"/>
      <c r="G592" s="394"/>
      <c r="H592" s="394"/>
      <c r="I592" s="394"/>
      <c r="J592" s="394"/>
      <c r="K592" s="394"/>
      <c r="L592" s="394"/>
      <c r="M592" s="394"/>
      <c r="N592" s="394"/>
      <c r="O592" s="460"/>
      <c r="P592" s="461"/>
    </row>
    <row r="593" spans="1:16">
      <c r="A593" s="459"/>
      <c r="B593" s="394"/>
      <c r="C593" s="394"/>
      <c r="D593" s="394"/>
      <c r="E593" s="394"/>
      <c r="F593" s="394"/>
      <c r="G593" s="394"/>
      <c r="H593" s="394"/>
      <c r="I593" s="394"/>
      <c r="J593" s="394"/>
      <c r="K593" s="394"/>
      <c r="L593" s="394"/>
      <c r="M593" s="394"/>
      <c r="N593" s="394"/>
      <c r="O593" s="460"/>
      <c r="P593" s="461"/>
    </row>
    <row r="594" spans="1:16">
      <c r="A594" s="459"/>
      <c r="B594" s="394"/>
      <c r="C594" s="394"/>
      <c r="D594" s="394"/>
      <c r="E594" s="394"/>
      <c r="F594" s="394"/>
      <c r="G594" s="394"/>
      <c r="H594" s="394"/>
      <c r="I594" s="394"/>
      <c r="J594" s="394"/>
      <c r="K594" s="394"/>
      <c r="L594" s="394"/>
      <c r="M594" s="394"/>
      <c r="N594" s="394"/>
      <c r="O594" s="460"/>
      <c r="P594" s="461"/>
    </row>
    <row r="595" spans="1:16">
      <c r="A595" s="474"/>
      <c r="B595" s="399"/>
      <c r="C595" s="399"/>
      <c r="D595" s="399"/>
      <c r="E595" s="399"/>
      <c r="F595" s="399"/>
      <c r="G595" s="399"/>
      <c r="H595" s="399"/>
      <c r="I595" s="399"/>
      <c r="J595" s="399"/>
      <c r="K595" s="399"/>
      <c r="L595" s="399"/>
      <c r="M595" s="399"/>
      <c r="N595" s="399"/>
      <c r="O595" s="494"/>
      <c r="P595" s="495"/>
    </row>
    <row r="596" spans="1:16">
      <c r="A596" s="474"/>
      <c r="B596" s="399"/>
      <c r="C596" s="399"/>
      <c r="D596" s="399"/>
      <c r="E596" s="399"/>
      <c r="F596" s="399"/>
      <c r="G596" s="399"/>
      <c r="H596" s="399"/>
      <c r="I596" s="399"/>
      <c r="J596" s="399"/>
      <c r="K596" s="399"/>
      <c r="L596" s="399"/>
      <c r="M596" s="399"/>
      <c r="N596" s="399"/>
      <c r="O596" s="494"/>
      <c r="P596" s="495"/>
    </row>
    <row r="597" spans="1:16">
      <c r="A597" s="474"/>
      <c r="B597" s="399"/>
      <c r="C597" s="399"/>
      <c r="D597" s="399"/>
      <c r="E597" s="399"/>
      <c r="F597" s="399"/>
      <c r="G597" s="399"/>
      <c r="H597" s="399"/>
      <c r="I597" s="399"/>
      <c r="J597" s="399"/>
      <c r="K597" s="399"/>
      <c r="L597" s="399"/>
      <c r="M597" s="399"/>
      <c r="N597" s="399"/>
      <c r="O597" s="494"/>
      <c r="P597" s="495"/>
    </row>
    <row r="598" spans="1:16">
      <c r="A598" s="463"/>
      <c r="B598" s="462"/>
      <c r="C598" s="462"/>
      <c r="D598" s="462"/>
      <c r="E598" s="462"/>
      <c r="F598" s="462"/>
      <c r="G598" s="462"/>
      <c r="H598" s="462"/>
      <c r="I598" s="462"/>
      <c r="J598" s="462"/>
      <c r="K598" s="462"/>
      <c r="L598" s="462"/>
      <c r="M598" s="462"/>
      <c r="N598" s="462"/>
      <c r="O598" s="371"/>
      <c r="P598" s="464"/>
    </row>
    <row r="599" spans="1:16">
      <c r="A599" s="463"/>
      <c r="B599" s="462"/>
      <c r="C599" s="462"/>
      <c r="D599" s="462"/>
      <c r="E599" s="462"/>
      <c r="F599" s="462"/>
      <c r="G599" s="462"/>
      <c r="H599" s="462"/>
      <c r="I599" s="462"/>
      <c r="J599" s="462"/>
      <c r="K599" s="462"/>
      <c r="L599" s="462"/>
      <c r="M599" s="462"/>
      <c r="N599" s="462"/>
      <c r="O599" s="371"/>
      <c r="P599" s="464"/>
    </row>
    <row r="600" spans="1:16">
      <c r="A600" s="463"/>
      <c r="B600" s="462"/>
      <c r="C600" s="462"/>
      <c r="D600" s="462"/>
      <c r="E600" s="462"/>
      <c r="F600" s="462"/>
      <c r="G600" s="462"/>
      <c r="H600" s="462"/>
      <c r="I600" s="462"/>
      <c r="J600" s="462"/>
      <c r="K600" s="462"/>
      <c r="L600" s="462"/>
      <c r="M600" s="462"/>
      <c r="N600" s="462"/>
      <c r="O600" s="371"/>
      <c r="P600" s="464"/>
    </row>
    <row r="601" spans="1:16" ht="15.75" thickBot="1">
      <c r="A601" s="465"/>
      <c r="B601" s="466"/>
      <c r="C601" s="466"/>
      <c r="D601" s="466"/>
      <c r="E601" s="466"/>
      <c r="F601" s="466"/>
      <c r="G601" s="1029" t="s">
        <v>38</v>
      </c>
      <c r="H601" s="1029"/>
      <c r="I601" s="1029"/>
      <c r="J601" s="1029"/>
      <c r="K601" s="1029"/>
      <c r="L601" s="1029"/>
      <c r="M601" s="1029"/>
      <c r="N601" s="1029"/>
      <c r="O601" s="467"/>
      <c r="P601" s="468"/>
    </row>
    <row r="631" spans="1:16" ht="15.75" thickBot="1"/>
    <row r="632" spans="1:16">
      <c r="A632" s="1030" t="s">
        <v>450</v>
      </c>
      <c r="B632" s="1031"/>
      <c r="C632" s="1031"/>
      <c r="D632" s="1031"/>
      <c r="E632" s="1031"/>
      <c r="F632" s="1031"/>
      <c r="G632" s="1031"/>
      <c r="H632" s="1031"/>
      <c r="I632" s="1031"/>
      <c r="J632" s="1031"/>
      <c r="K632" s="1031"/>
      <c r="L632" s="1031"/>
      <c r="M632" s="1031"/>
      <c r="N632" s="1031"/>
      <c r="O632" s="469"/>
      <c r="P632" s="470"/>
    </row>
    <row r="633" spans="1:16" ht="15.75" thickBot="1">
      <c r="A633" s="1032"/>
      <c r="B633" s="1033"/>
      <c r="C633" s="1033"/>
      <c r="D633" s="1033"/>
      <c r="E633" s="1033"/>
      <c r="F633" s="1033"/>
      <c r="G633" s="1033"/>
      <c r="H633" s="1033"/>
      <c r="I633" s="1033"/>
      <c r="J633" s="1033"/>
      <c r="K633" s="1033"/>
      <c r="L633" s="1033"/>
      <c r="M633" s="1033"/>
      <c r="N633" s="1033"/>
      <c r="O633" s="471"/>
      <c r="P633" s="464"/>
    </row>
    <row r="634" spans="1:16" ht="15.75" thickBot="1">
      <c r="A634" s="1034" t="s">
        <v>451</v>
      </c>
      <c r="B634" s="1035"/>
      <c r="C634" s="1035"/>
      <c r="D634" s="1035"/>
      <c r="E634" s="1035"/>
      <c r="F634" s="1035"/>
      <c r="G634" s="1035"/>
      <c r="H634" s="1035"/>
      <c r="I634" s="1035"/>
      <c r="J634" s="1035"/>
      <c r="K634" s="1035"/>
      <c r="L634" s="1035"/>
      <c r="M634" s="1035"/>
      <c r="N634" s="1035"/>
      <c r="O634" s="471"/>
      <c r="P634" s="464"/>
    </row>
    <row r="635" spans="1:16">
      <c r="A635" s="472" t="s">
        <v>483</v>
      </c>
      <c r="B635" s="405"/>
      <c r="C635" s="405"/>
      <c r="D635" s="406"/>
      <c r="E635" s="1036" t="s">
        <v>484</v>
      </c>
      <c r="F635" s="1037"/>
      <c r="G635" s="1037"/>
      <c r="H635" s="473"/>
      <c r="I635" s="473"/>
      <c r="J635" s="473"/>
      <c r="K635" s="473"/>
      <c r="L635" s="473"/>
      <c r="M635" s="473"/>
      <c r="N635" s="473"/>
      <c r="O635" s="471"/>
      <c r="P635" s="464"/>
    </row>
    <row r="636" spans="1:16">
      <c r="A636" s="474"/>
      <c r="B636" s="399" t="s">
        <v>384</v>
      </c>
      <c r="C636" s="399"/>
      <c r="D636" s="408"/>
      <c r="E636" s="475"/>
      <c r="F636" s="476"/>
      <c r="G636" s="1038" t="str">
        <f>'0422Master'!B25</f>
        <v>Pallavi Rishikesh Naik</v>
      </c>
      <c r="H636" s="1038"/>
      <c r="I636" s="1038"/>
      <c r="J636" s="476"/>
      <c r="K636" s="476"/>
      <c r="L636" s="476"/>
      <c r="M636" s="476"/>
      <c r="N636" s="476"/>
      <c r="O636" s="471"/>
      <c r="P636" s="464"/>
    </row>
    <row r="637" spans="1:16" ht="15.75" thickBot="1">
      <c r="A637" s="410"/>
      <c r="B637" s="411" t="s">
        <v>385</v>
      </c>
      <c r="C637" s="411"/>
      <c r="D637" s="412"/>
      <c r="E637" s="475"/>
      <c r="F637" s="476"/>
      <c r="G637" s="476"/>
      <c r="H637" s="476"/>
      <c r="I637" s="476"/>
      <c r="J637" s="476"/>
      <c r="K637" s="476"/>
      <c r="L637" s="476"/>
      <c r="M637" s="476"/>
      <c r="N637" s="476"/>
      <c r="O637" s="471"/>
      <c r="P637" s="464"/>
    </row>
    <row r="638" spans="1:16">
      <c r="A638" s="404" t="s">
        <v>485</v>
      </c>
      <c r="B638" s="405"/>
      <c r="C638" s="405"/>
      <c r="D638" s="406"/>
      <c r="E638" s="404" t="s">
        <v>452</v>
      </c>
      <c r="F638" s="405"/>
      <c r="G638" s="477">
        <f>'0422Master'!N25</f>
        <v>44538</v>
      </c>
      <c r="H638" s="405"/>
      <c r="I638" s="405"/>
      <c r="J638" s="405"/>
      <c r="K638" s="405"/>
      <c r="L638" s="405"/>
      <c r="M638" s="405"/>
      <c r="N638" s="405"/>
      <c r="O638" s="471"/>
      <c r="P638" s="464"/>
    </row>
    <row r="639" spans="1:16">
      <c r="A639" s="474"/>
      <c r="B639" s="399"/>
      <c r="C639" s="399" t="s">
        <v>374</v>
      </c>
      <c r="D639" s="408"/>
      <c r="E639" s="407"/>
      <c r="F639" s="399"/>
      <c r="G639" s="399"/>
      <c r="H639" s="399"/>
      <c r="I639" s="399"/>
      <c r="J639" s="399"/>
      <c r="K639" s="399"/>
      <c r="L639" s="399"/>
      <c r="M639" s="399"/>
      <c r="N639" s="399"/>
      <c r="O639" s="471"/>
      <c r="P639" s="464"/>
    </row>
    <row r="640" spans="1:16">
      <c r="A640" s="474"/>
      <c r="B640" s="399"/>
      <c r="C640" s="399"/>
      <c r="D640" s="408"/>
      <c r="E640" s="478"/>
      <c r="F640" s="399"/>
      <c r="G640" s="399"/>
      <c r="H640" s="399"/>
      <c r="I640" s="399"/>
      <c r="J640" s="399"/>
      <c r="K640" s="399"/>
      <c r="L640" s="399"/>
      <c r="M640" s="399"/>
      <c r="N640" s="399"/>
      <c r="O640" s="471"/>
      <c r="P640" s="464"/>
    </row>
    <row r="641" spans="1:17" ht="15.75" thickBot="1">
      <c r="A641" s="479"/>
      <c r="B641" s="402"/>
      <c r="C641" s="402"/>
      <c r="D641" s="480"/>
      <c r="E641" s="410"/>
      <c r="F641" s="411"/>
      <c r="G641" s="411"/>
      <c r="H641" s="411"/>
      <c r="I641" s="411"/>
      <c r="J641" s="411"/>
      <c r="K641" s="411"/>
      <c r="L641" s="411"/>
      <c r="M641" s="411"/>
      <c r="N641" s="411"/>
      <c r="O641" s="481"/>
      <c r="P641" s="468"/>
    </row>
    <row r="642" spans="1:17">
      <c r="A642" s="1039" t="s">
        <v>5</v>
      </c>
      <c r="B642" s="1041" t="s">
        <v>453</v>
      </c>
      <c r="C642" s="1042"/>
      <c r="D642" s="1041" t="s">
        <v>454</v>
      </c>
      <c r="E642" s="1044"/>
      <c r="F642" s="989" t="s">
        <v>455</v>
      </c>
      <c r="G642" s="1043" t="s">
        <v>456</v>
      </c>
      <c r="H642" s="1047"/>
      <c r="I642" s="1048" t="s">
        <v>457</v>
      </c>
      <c r="J642" s="1047"/>
      <c r="K642" s="1049"/>
      <c r="L642" s="1048" t="s">
        <v>458</v>
      </c>
      <c r="M642" s="1047"/>
      <c r="N642" s="1047"/>
      <c r="O642" s="1027" t="s">
        <v>459</v>
      </c>
      <c r="P642" s="1027" t="s">
        <v>40</v>
      </c>
    </row>
    <row r="643" spans="1:17" ht="15.75" thickBot="1">
      <c r="A643" s="1040"/>
      <c r="B643" s="1043"/>
      <c r="C643" s="1044"/>
      <c r="D643" s="1043"/>
      <c r="E643" s="1044"/>
      <c r="F643" s="985"/>
      <c r="G643" s="1043"/>
      <c r="H643" s="1047"/>
      <c r="I643" s="1050"/>
      <c r="J643" s="1051"/>
      <c r="K643" s="1052"/>
      <c r="L643" s="1050"/>
      <c r="M643" s="1051"/>
      <c r="N643" s="1051"/>
      <c r="O643" s="1028"/>
      <c r="P643" s="1028"/>
    </row>
    <row r="644" spans="1:17">
      <c r="A644" s="482">
        <v>1</v>
      </c>
      <c r="B644" s="1045"/>
      <c r="C644" s="1046"/>
      <c r="D644" s="1045"/>
      <c r="E644" s="1046"/>
      <c r="F644" s="414">
        <v>6</v>
      </c>
      <c r="G644" s="1045"/>
      <c r="H644" s="1046"/>
      <c r="I644" s="483">
        <v>9</v>
      </c>
      <c r="J644" s="483"/>
      <c r="K644" s="483"/>
      <c r="L644" s="483">
        <v>9</v>
      </c>
      <c r="M644" s="483"/>
      <c r="N644" s="483"/>
      <c r="O644" s="484" t="s">
        <v>460</v>
      </c>
      <c r="P644" s="485"/>
    </row>
    <row r="645" spans="1:17" ht="51">
      <c r="A645" s="459"/>
      <c r="B645" s="394" t="s">
        <v>461</v>
      </c>
      <c r="C645" s="394" t="s">
        <v>462</v>
      </c>
      <c r="D645" s="394" t="s">
        <v>463</v>
      </c>
      <c r="E645" s="394" t="s">
        <v>134</v>
      </c>
      <c r="F645" s="394"/>
      <c r="G645" s="394" t="s">
        <v>464</v>
      </c>
      <c r="H645" s="394" t="s">
        <v>465</v>
      </c>
      <c r="I645" s="394" t="s">
        <v>466</v>
      </c>
      <c r="J645" s="394" t="s">
        <v>467</v>
      </c>
      <c r="K645" s="394" t="s">
        <v>468</v>
      </c>
      <c r="L645" s="394" t="s">
        <v>469</v>
      </c>
      <c r="M645" s="394" t="s">
        <v>470</v>
      </c>
      <c r="N645" s="486" t="s">
        <v>471</v>
      </c>
      <c r="O645" s="487"/>
      <c r="P645" s="488"/>
    </row>
    <row r="646" spans="1:17">
      <c r="A646" s="1366" t="s">
        <v>822</v>
      </c>
      <c r="B646" s="1360">
        <v>1.5</v>
      </c>
      <c r="C646" s="1360">
        <v>0</v>
      </c>
      <c r="D646" s="1360">
        <v>0</v>
      </c>
      <c r="E646" s="1360">
        <v>0</v>
      </c>
      <c r="F646" s="1360">
        <v>3</v>
      </c>
      <c r="G646" s="460"/>
      <c r="H646" s="460"/>
      <c r="I646" s="460" t="s">
        <v>493</v>
      </c>
      <c r="J646" s="460" t="s">
        <v>493</v>
      </c>
      <c r="K646" s="460" t="s">
        <v>493</v>
      </c>
      <c r="L646" s="394"/>
      <c r="M646" s="394"/>
      <c r="N646" s="394"/>
      <c r="O646" s="460"/>
      <c r="P646" s="461"/>
    </row>
    <row r="647" spans="1:17">
      <c r="A647" s="490" t="s">
        <v>871</v>
      </c>
      <c r="B647" s="394">
        <v>1.5</v>
      </c>
      <c r="C647" s="394">
        <v>1</v>
      </c>
      <c r="D647" s="491">
        <v>44603</v>
      </c>
      <c r="E647" s="491">
        <v>44603</v>
      </c>
      <c r="F647" s="394">
        <f>F646+B647-C647</f>
        <v>3.5</v>
      </c>
      <c r="G647" s="394"/>
      <c r="H647" s="394"/>
      <c r="I647" s="394" t="s">
        <v>493</v>
      </c>
      <c r="J647" s="394" t="s">
        <v>493</v>
      </c>
      <c r="K647" s="394" t="s">
        <v>493</v>
      </c>
      <c r="L647" s="394"/>
      <c r="M647" s="394"/>
      <c r="N647" s="394"/>
      <c r="O647" s="460"/>
      <c r="P647" s="461"/>
    </row>
    <row r="648" spans="1:17">
      <c r="A648" s="537" t="s">
        <v>894</v>
      </c>
      <c r="B648" s="394">
        <v>1.5</v>
      </c>
      <c r="C648" s="394">
        <v>1</v>
      </c>
      <c r="D648" s="491">
        <v>44645</v>
      </c>
      <c r="E648" s="491">
        <v>44645</v>
      </c>
      <c r="F648" s="394">
        <f>F647+B648-C648</f>
        <v>4</v>
      </c>
      <c r="G648" s="394"/>
      <c r="H648" s="394"/>
      <c r="I648" s="394" t="s">
        <v>493</v>
      </c>
      <c r="J648" s="394" t="s">
        <v>493</v>
      </c>
      <c r="K648" s="394" t="s">
        <v>493</v>
      </c>
      <c r="L648" s="553"/>
      <c r="M648" s="553"/>
      <c r="N648" s="553"/>
      <c r="O648" s="460"/>
      <c r="P648" s="461"/>
    </row>
    <row r="649" spans="1:17">
      <c r="A649" s="1369" t="s">
        <v>901</v>
      </c>
      <c r="B649" s="394">
        <v>1.5</v>
      </c>
      <c r="C649" s="394">
        <v>0</v>
      </c>
      <c r="D649" s="394">
        <v>0</v>
      </c>
      <c r="E649" s="394">
        <v>0</v>
      </c>
      <c r="F649" s="394">
        <f>F648+B649-C649</f>
        <v>5.5</v>
      </c>
      <c r="G649" s="394"/>
      <c r="H649" s="394"/>
      <c r="I649" s="394" t="s">
        <v>493</v>
      </c>
      <c r="J649" s="394" t="s">
        <v>493</v>
      </c>
      <c r="K649" s="394" t="s">
        <v>493</v>
      </c>
      <c r="L649" s="394"/>
      <c r="M649" s="394"/>
      <c r="N649" s="394"/>
      <c r="O649" s="460"/>
      <c r="P649" s="461"/>
      <c r="Q649" s="8">
        <v>10</v>
      </c>
    </row>
    <row r="650" spans="1:17">
      <c r="A650" s="490"/>
      <c r="B650" s="394"/>
      <c r="C650" s="394"/>
      <c r="D650" s="552"/>
      <c r="E650" s="552"/>
      <c r="F650" s="394"/>
      <c r="G650" s="394"/>
      <c r="H650" s="394"/>
      <c r="I650" s="394"/>
      <c r="J650" s="394"/>
      <c r="K650" s="394"/>
      <c r="L650" s="394"/>
      <c r="M650" s="394"/>
      <c r="N650" s="394"/>
      <c r="O650" s="460"/>
      <c r="P650" s="461"/>
    </row>
    <row r="651" spans="1:17">
      <c r="A651" s="492"/>
      <c r="B651" s="394"/>
      <c r="C651" s="394"/>
      <c r="D651" s="394"/>
      <c r="E651" s="394"/>
      <c r="F651" s="394"/>
      <c r="G651" s="394"/>
      <c r="H651" s="394"/>
      <c r="I651" s="394"/>
      <c r="J651" s="394"/>
      <c r="K651" s="394"/>
      <c r="L651" s="394"/>
      <c r="M651" s="394"/>
      <c r="N651" s="394"/>
      <c r="O651" s="460"/>
      <c r="P651" s="461"/>
    </row>
    <row r="652" spans="1:17">
      <c r="A652" s="492"/>
      <c r="B652" s="394"/>
      <c r="C652" s="394"/>
      <c r="D652" s="394"/>
      <c r="E652" s="394"/>
      <c r="F652" s="394"/>
      <c r="G652" s="394"/>
      <c r="H652" s="394"/>
      <c r="I652" s="394"/>
      <c r="J652" s="394"/>
      <c r="K652" s="394"/>
      <c r="L652" s="394"/>
      <c r="M652" s="394"/>
      <c r="N652" s="394"/>
      <c r="O652" s="460"/>
      <c r="P652" s="461"/>
    </row>
    <row r="653" spans="1:17">
      <c r="A653" s="492"/>
      <c r="B653" s="394"/>
      <c r="C653" s="394"/>
      <c r="D653" s="394"/>
      <c r="E653" s="394"/>
      <c r="F653" s="394"/>
      <c r="G653" s="394"/>
      <c r="H653" s="394"/>
      <c r="I653" s="394"/>
      <c r="J653" s="394"/>
      <c r="K653" s="394"/>
      <c r="L653" s="394"/>
      <c r="M653" s="394"/>
      <c r="N653" s="394"/>
      <c r="O653" s="460"/>
      <c r="P653" s="461"/>
    </row>
    <row r="654" spans="1:17">
      <c r="A654" s="492"/>
      <c r="B654" s="394"/>
      <c r="C654" s="394"/>
      <c r="D654" s="394"/>
      <c r="E654" s="394"/>
      <c r="F654" s="394"/>
      <c r="G654" s="394"/>
      <c r="H654" s="394"/>
      <c r="I654" s="394"/>
      <c r="J654" s="394"/>
      <c r="K654" s="394"/>
      <c r="L654" s="394"/>
      <c r="M654" s="394"/>
      <c r="N654" s="394"/>
      <c r="O654" s="460"/>
      <c r="P654" s="461"/>
    </row>
    <row r="655" spans="1:17">
      <c r="A655" s="492"/>
      <c r="B655" s="394"/>
      <c r="C655" s="394"/>
      <c r="D655" s="394"/>
      <c r="E655" s="394"/>
      <c r="F655" s="394"/>
      <c r="G655" s="394"/>
      <c r="H655" s="394"/>
      <c r="I655" s="394"/>
      <c r="J655" s="394"/>
      <c r="K655" s="394"/>
      <c r="L655" s="394"/>
      <c r="M655" s="394"/>
      <c r="N655" s="394"/>
      <c r="O655" s="460"/>
      <c r="P655" s="461"/>
    </row>
    <row r="656" spans="1:17">
      <c r="A656" s="492"/>
      <c r="B656" s="394"/>
      <c r="C656" s="394"/>
      <c r="D656" s="491"/>
      <c r="E656" s="491"/>
      <c r="F656" s="394"/>
      <c r="G656" s="394"/>
      <c r="H656" s="394"/>
      <c r="I656" s="394"/>
      <c r="J656" s="394"/>
      <c r="K656" s="394"/>
      <c r="L656" s="394"/>
      <c r="M656" s="394"/>
      <c r="N656" s="394"/>
      <c r="O656" s="460"/>
      <c r="P656" s="461"/>
    </row>
    <row r="657" spans="1:16">
      <c r="A657" s="492"/>
      <c r="B657" s="394"/>
      <c r="C657" s="394"/>
      <c r="D657" s="491"/>
      <c r="E657" s="491"/>
      <c r="F657" s="394"/>
      <c r="G657" s="394"/>
      <c r="H657" s="394"/>
      <c r="I657" s="394"/>
      <c r="J657" s="394"/>
      <c r="K657" s="394"/>
      <c r="L657" s="394"/>
      <c r="M657" s="394"/>
      <c r="N657" s="394"/>
      <c r="O657" s="460"/>
      <c r="P657" s="461"/>
    </row>
    <row r="658" spans="1:16">
      <c r="A658" s="492"/>
      <c r="B658" s="394"/>
      <c r="C658" s="394"/>
      <c r="D658" s="491"/>
      <c r="E658" s="491"/>
      <c r="F658" s="394"/>
      <c r="G658" s="394"/>
      <c r="H658" s="394"/>
      <c r="I658" s="394"/>
      <c r="J658" s="394"/>
      <c r="K658" s="394"/>
      <c r="L658" s="394"/>
      <c r="M658" s="394"/>
      <c r="N658" s="394"/>
      <c r="O658" s="460"/>
      <c r="P658" s="461"/>
    </row>
    <row r="659" spans="1:16">
      <c r="A659" s="492"/>
      <c r="B659" s="394"/>
      <c r="C659" s="394"/>
      <c r="D659" s="491"/>
      <c r="E659" s="491"/>
      <c r="F659" s="394"/>
      <c r="G659" s="394"/>
      <c r="H659" s="394"/>
      <c r="I659" s="394"/>
      <c r="J659" s="394"/>
      <c r="K659" s="394"/>
      <c r="L659" s="394"/>
      <c r="M659" s="394"/>
      <c r="N659" s="394"/>
      <c r="O659" s="460"/>
      <c r="P659" s="461"/>
    </row>
    <row r="660" spans="1:16">
      <c r="A660" s="492"/>
      <c r="B660" s="394"/>
      <c r="C660" s="394"/>
      <c r="D660" s="491"/>
      <c r="E660" s="491"/>
      <c r="F660" s="394"/>
      <c r="G660" s="394"/>
      <c r="H660" s="394"/>
      <c r="I660" s="394"/>
      <c r="J660" s="394"/>
      <c r="K660" s="394"/>
      <c r="L660" s="394"/>
      <c r="M660" s="394"/>
      <c r="N660" s="394"/>
      <c r="O660" s="460"/>
      <c r="P660" s="461"/>
    </row>
    <row r="661" spans="1:16">
      <c r="A661" s="492"/>
      <c r="B661" s="394"/>
      <c r="C661" s="394"/>
      <c r="D661" s="491"/>
      <c r="E661" s="491"/>
      <c r="F661" s="394"/>
      <c r="G661" s="394"/>
      <c r="H661" s="394"/>
      <c r="I661" s="394"/>
      <c r="J661" s="394"/>
      <c r="K661" s="394"/>
      <c r="L661" s="394"/>
      <c r="M661" s="394"/>
      <c r="N661" s="394"/>
      <c r="O661" s="460"/>
      <c r="P661" s="461"/>
    </row>
    <row r="662" spans="1:16">
      <c r="A662" s="459"/>
      <c r="B662" s="394"/>
      <c r="C662" s="394"/>
      <c r="D662" s="394"/>
      <c r="E662" s="394"/>
      <c r="F662" s="394"/>
      <c r="G662" s="394"/>
      <c r="H662" s="394"/>
      <c r="I662" s="394"/>
      <c r="J662" s="394"/>
      <c r="K662" s="394"/>
      <c r="L662" s="394"/>
      <c r="M662" s="394"/>
      <c r="N662" s="394"/>
      <c r="O662" s="460"/>
      <c r="P662" s="461"/>
    </row>
    <row r="663" spans="1:16">
      <c r="A663" s="459"/>
      <c r="B663" s="394"/>
      <c r="C663" s="394"/>
      <c r="D663" s="394"/>
      <c r="E663" s="394"/>
      <c r="F663" s="394"/>
      <c r="G663" s="394"/>
      <c r="H663" s="394"/>
      <c r="I663" s="394"/>
      <c r="J663" s="394"/>
      <c r="K663" s="394"/>
      <c r="L663" s="394"/>
      <c r="M663" s="394"/>
      <c r="N663" s="394"/>
      <c r="O663" s="460"/>
      <c r="P663" s="461"/>
    </row>
    <row r="664" spans="1:16">
      <c r="A664" s="459"/>
      <c r="B664" s="394"/>
      <c r="C664" s="394"/>
      <c r="D664" s="394"/>
      <c r="E664" s="394"/>
      <c r="F664" s="394"/>
      <c r="G664" s="394"/>
      <c r="H664" s="394"/>
      <c r="I664" s="394"/>
      <c r="J664" s="394"/>
      <c r="K664" s="394"/>
      <c r="L664" s="394"/>
      <c r="M664" s="394"/>
      <c r="N664" s="394"/>
      <c r="O664" s="460"/>
      <c r="P664" s="461"/>
    </row>
    <row r="665" spans="1:16">
      <c r="A665" s="459"/>
      <c r="B665" s="394"/>
      <c r="C665" s="394"/>
      <c r="D665" s="394"/>
      <c r="E665" s="394"/>
      <c r="F665" s="394"/>
      <c r="G665" s="394"/>
      <c r="H665" s="394"/>
      <c r="I665" s="394"/>
      <c r="J665" s="394"/>
      <c r="K665" s="394"/>
      <c r="L665" s="394"/>
      <c r="M665" s="394"/>
      <c r="N665" s="394"/>
      <c r="O665" s="460"/>
      <c r="P665" s="461"/>
    </row>
    <row r="666" spans="1:16">
      <c r="A666" s="459"/>
      <c r="B666" s="394"/>
      <c r="C666" s="394"/>
      <c r="D666" s="394"/>
      <c r="E666" s="394"/>
      <c r="F666" s="394"/>
      <c r="G666" s="394"/>
      <c r="H666" s="394"/>
      <c r="I666" s="394"/>
      <c r="J666" s="394"/>
      <c r="K666" s="394"/>
      <c r="L666" s="394"/>
      <c r="M666" s="394"/>
      <c r="N666" s="394"/>
      <c r="O666" s="460"/>
      <c r="P666" s="461"/>
    </row>
    <row r="667" spans="1:16">
      <c r="A667" s="474"/>
      <c r="B667" s="399"/>
      <c r="C667" s="399"/>
      <c r="D667" s="399"/>
      <c r="E667" s="399"/>
      <c r="F667" s="399"/>
      <c r="G667" s="399"/>
      <c r="H667" s="399"/>
      <c r="I667" s="399"/>
      <c r="J667" s="399"/>
      <c r="K667" s="399"/>
      <c r="L667" s="399"/>
      <c r="M667" s="399"/>
      <c r="N667" s="399"/>
      <c r="O667" s="494"/>
      <c r="P667" s="495"/>
    </row>
    <row r="668" spans="1:16">
      <c r="A668" s="474"/>
      <c r="B668" s="399"/>
      <c r="C668" s="399"/>
      <c r="D668" s="399"/>
      <c r="E668" s="399"/>
      <c r="F668" s="399"/>
      <c r="G668" s="399"/>
      <c r="H668" s="399"/>
      <c r="I668" s="399"/>
      <c r="J668" s="399"/>
      <c r="K668" s="399"/>
      <c r="L668" s="399"/>
      <c r="M668" s="399"/>
      <c r="N668" s="399"/>
      <c r="O668" s="494"/>
      <c r="P668" s="495"/>
    </row>
    <row r="669" spans="1:16">
      <c r="A669" s="474"/>
      <c r="B669" s="399"/>
      <c r="C669" s="399"/>
      <c r="D669" s="399"/>
      <c r="E669" s="399"/>
      <c r="F669" s="399"/>
      <c r="G669" s="399"/>
      <c r="H669" s="399"/>
      <c r="I669" s="399"/>
      <c r="J669" s="399"/>
      <c r="K669" s="399"/>
      <c r="L669" s="399"/>
      <c r="M669" s="399"/>
      <c r="N669" s="399"/>
      <c r="O669" s="494"/>
      <c r="P669" s="495"/>
    </row>
    <row r="670" spans="1:16">
      <c r="A670" s="463"/>
      <c r="B670" s="462"/>
      <c r="C670" s="462"/>
      <c r="D670" s="462"/>
      <c r="E670" s="462"/>
      <c r="F670" s="462"/>
      <c r="G670" s="462"/>
      <c r="H670" s="462"/>
      <c r="I670" s="462"/>
      <c r="J670" s="462"/>
      <c r="K670" s="462"/>
      <c r="L670" s="462"/>
      <c r="M670" s="462"/>
      <c r="N670" s="462"/>
      <c r="O670" s="371"/>
      <c r="P670" s="464"/>
    </row>
    <row r="671" spans="1:16">
      <c r="A671" s="463"/>
      <c r="B671" s="462"/>
      <c r="C671" s="462"/>
      <c r="D671" s="462"/>
      <c r="E671" s="462"/>
      <c r="F671" s="462"/>
      <c r="G671" s="462"/>
      <c r="H671" s="462"/>
      <c r="I671" s="462"/>
      <c r="J671" s="462"/>
      <c r="K671" s="462"/>
      <c r="L671" s="462"/>
      <c r="M671" s="462"/>
      <c r="N671" s="462"/>
      <c r="O671" s="371"/>
      <c r="P671" s="464"/>
    </row>
    <row r="672" spans="1:16">
      <c r="A672" s="463"/>
      <c r="B672" s="462"/>
      <c r="C672" s="462"/>
      <c r="D672" s="462"/>
      <c r="E672" s="462"/>
      <c r="F672" s="462"/>
      <c r="G672" s="462"/>
      <c r="H672" s="462"/>
      <c r="I672" s="462"/>
      <c r="J672" s="462"/>
      <c r="K672" s="462"/>
      <c r="L672" s="462"/>
      <c r="M672" s="462"/>
      <c r="N672" s="462"/>
      <c r="O672" s="371"/>
      <c r="P672" s="464"/>
    </row>
    <row r="673" spans="1:16" ht="15.75" thickBot="1">
      <c r="A673" s="465"/>
      <c r="B673" s="466"/>
      <c r="C673" s="466"/>
      <c r="D673" s="466"/>
      <c r="E673" s="466"/>
      <c r="F673" s="466"/>
      <c r="G673" s="1029" t="s">
        <v>38</v>
      </c>
      <c r="H673" s="1029"/>
      <c r="I673" s="1029"/>
      <c r="J673" s="1029"/>
      <c r="K673" s="1029"/>
      <c r="L673" s="1029"/>
      <c r="M673" s="1029"/>
      <c r="N673" s="1029"/>
      <c r="O673" s="467"/>
      <c r="P673" s="468"/>
    </row>
    <row r="703" spans="1:16" ht="15.75" thickBot="1"/>
    <row r="704" spans="1:16">
      <c r="A704" s="1030" t="s">
        <v>450</v>
      </c>
      <c r="B704" s="1031"/>
      <c r="C704" s="1031"/>
      <c r="D704" s="1031"/>
      <c r="E704" s="1031"/>
      <c r="F704" s="1031"/>
      <c r="G704" s="1031"/>
      <c r="H704" s="1031"/>
      <c r="I704" s="1031"/>
      <c r="J704" s="1031"/>
      <c r="K704" s="1031"/>
      <c r="L704" s="1031"/>
      <c r="M704" s="1031"/>
      <c r="N704" s="1031"/>
      <c r="O704" s="469"/>
      <c r="P704" s="470"/>
    </row>
    <row r="705" spans="1:16" ht="15.75" thickBot="1">
      <c r="A705" s="1032"/>
      <c r="B705" s="1033"/>
      <c r="C705" s="1033"/>
      <c r="D705" s="1033"/>
      <c r="E705" s="1033"/>
      <c r="F705" s="1033"/>
      <c r="G705" s="1033"/>
      <c r="H705" s="1033"/>
      <c r="I705" s="1033"/>
      <c r="J705" s="1033"/>
      <c r="K705" s="1033"/>
      <c r="L705" s="1033"/>
      <c r="M705" s="1033"/>
      <c r="N705" s="1033"/>
      <c r="O705" s="471"/>
      <c r="P705" s="464"/>
    </row>
    <row r="706" spans="1:16" ht="15.75" thickBot="1">
      <c r="A706" s="1034" t="s">
        <v>451</v>
      </c>
      <c r="B706" s="1035"/>
      <c r="C706" s="1035"/>
      <c r="D706" s="1035"/>
      <c r="E706" s="1035"/>
      <c r="F706" s="1035"/>
      <c r="G706" s="1035"/>
      <c r="H706" s="1035"/>
      <c r="I706" s="1035"/>
      <c r="J706" s="1035"/>
      <c r="K706" s="1035"/>
      <c r="L706" s="1035"/>
      <c r="M706" s="1035"/>
      <c r="N706" s="1035"/>
      <c r="O706" s="471"/>
      <c r="P706" s="464"/>
    </row>
    <row r="707" spans="1:16">
      <c r="A707" s="472" t="s">
        <v>483</v>
      </c>
      <c r="B707" s="405"/>
      <c r="C707" s="405"/>
      <c r="D707" s="406"/>
      <c r="E707" s="1036" t="s">
        <v>484</v>
      </c>
      <c r="F707" s="1037"/>
      <c r="G707" s="1037"/>
      <c r="H707" s="473"/>
      <c r="I707" s="473"/>
      <c r="J707" s="473"/>
      <c r="K707" s="473"/>
      <c r="L707" s="473"/>
      <c r="M707" s="473"/>
      <c r="N707" s="473"/>
      <c r="O707" s="471"/>
      <c r="P707" s="464"/>
    </row>
    <row r="708" spans="1:16">
      <c r="A708" s="474"/>
      <c r="B708" s="399" t="s">
        <v>384</v>
      </c>
      <c r="C708" s="399"/>
      <c r="D708" s="408"/>
      <c r="E708" s="475"/>
      <c r="F708" s="476"/>
      <c r="G708" s="1038" t="str">
        <f>'0422Master'!B26</f>
        <v>Amit Kumar</v>
      </c>
      <c r="H708" s="1038"/>
      <c r="I708" s="1038"/>
      <c r="J708" s="476"/>
      <c r="K708" s="476"/>
      <c r="L708" s="476"/>
      <c r="M708" s="476"/>
      <c r="N708" s="476"/>
      <c r="O708" s="471"/>
      <c r="P708" s="464"/>
    </row>
    <row r="709" spans="1:16" ht="15.75" thickBot="1">
      <c r="A709" s="410"/>
      <c r="B709" s="411" t="s">
        <v>385</v>
      </c>
      <c r="C709" s="411"/>
      <c r="D709" s="412"/>
      <c r="E709" s="475"/>
      <c r="F709" s="476"/>
      <c r="G709" s="476"/>
      <c r="H709" s="476"/>
      <c r="I709" s="476"/>
      <c r="J709" s="476"/>
      <c r="K709" s="476"/>
      <c r="L709" s="476"/>
      <c r="M709" s="476"/>
      <c r="N709" s="476"/>
      <c r="O709" s="471"/>
      <c r="P709" s="464"/>
    </row>
    <row r="710" spans="1:16">
      <c r="A710" s="404" t="s">
        <v>485</v>
      </c>
      <c r="B710" s="405"/>
      <c r="C710" s="405"/>
      <c r="D710" s="406"/>
      <c r="E710" s="404" t="s">
        <v>452</v>
      </c>
      <c r="F710" s="405"/>
      <c r="G710" s="477">
        <v>44557</v>
      </c>
      <c r="H710" s="405"/>
      <c r="I710" s="405"/>
      <c r="J710" s="405"/>
      <c r="K710" s="405"/>
      <c r="L710" s="405"/>
      <c r="M710" s="405"/>
      <c r="N710" s="405"/>
      <c r="O710" s="471"/>
      <c r="P710" s="464"/>
    </row>
    <row r="711" spans="1:16">
      <c r="A711" s="474"/>
      <c r="B711" s="399"/>
      <c r="C711" s="399" t="s">
        <v>374</v>
      </c>
      <c r="D711" s="408"/>
      <c r="E711" s="407"/>
      <c r="F711" s="399"/>
      <c r="G711" s="399"/>
      <c r="H711" s="399"/>
      <c r="I711" s="399"/>
      <c r="J711" s="399"/>
      <c r="K711" s="399"/>
      <c r="L711" s="399"/>
      <c r="M711" s="399"/>
      <c r="N711" s="399"/>
      <c r="O711" s="471"/>
      <c r="P711" s="464"/>
    </row>
    <row r="712" spans="1:16">
      <c r="A712" s="474"/>
      <c r="B712" s="399"/>
      <c r="C712" s="399"/>
      <c r="D712" s="408"/>
      <c r="E712" s="478"/>
      <c r="F712" s="399"/>
      <c r="G712" s="399"/>
      <c r="H712" s="399"/>
      <c r="I712" s="399"/>
      <c r="J712" s="399"/>
      <c r="K712" s="399"/>
      <c r="L712" s="399"/>
      <c r="M712" s="399"/>
      <c r="N712" s="399"/>
      <c r="O712" s="471"/>
      <c r="P712" s="464"/>
    </row>
    <row r="713" spans="1:16" ht="15.75" thickBot="1">
      <c r="A713" s="479"/>
      <c r="B713" s="402"/>
      <c r="C713" s="402"/>
      <c r="D713" s="480"/>
      <c r="E713" s="410"/>
      <c r="F713" s="411"/>
      <c r="G713" s="411"/>
      <c r="H713" s="411"/>
      <c r="I713" s="411"/>
      <c r="J713" s="411"/>
      <c r="K713" s="411"/>
      <c r="L713" s="411"/>
      <c r="M713" s="411"/>
      <c r="N713" s="411"/>
      <c r="O713" s="481"/>
      <c r="P713" s="468"/>
    </row>
    <row r="714" spans="1:16">
      <c r="A714" s="1039" t="s">
        <v>5</v>
      </c>
      <c r="B714" s="1041" t="s">
        <v>453</v>
      </c>
      <c r="C714" s="1042"/>
      <c r="D714" s="1041" t="s">
        <v>454</v>
      </c>
      <c r="E714" s="1044"/>
      <c r="F714" s="989" t="s">
        <v>455</v>
      </c>
      <c r="G714" s="1043" t="s">
        <v>456</v>
      </c>
      <c r="H714" s="1047"/>
      <c r="I714" s="1048" t="s">
        <v>457</v>
      </c>
      <c r="J714" s="1047"/>
      <c r="K714" s="1049"/>
      <c r="L714" s="1048" t="s">
        <v>458</v>
      </c>
      <c r="M714" s="1047"/>
      <c r="N714" s="1047"/>
      <c r="O714" s="1027" t="s">
        <v>459</v>
      </c>
      <c r="P714" s="1027" t="s">
        <v>40</v>
      </c>
    </row>
    <row r="715" spans="1:16" ht="15.75" thickBot="1">
      <c r="A715" s="1040"/>
      <c r="B715" s="1043"/>
      <c r="C715" s="1044"/>
      <c r="D715" s="1043"/>
      <c r="E715" s="1044"/>
      <c r="F715" s="985"/>
      <c r="G715" s="1043"/>
      <c r="H715" s="1047"/>
      <c r="I715" s="1050"/>
      <c r="J715" s="1051"/>
      <c r="K715" s="1052"/>
      <c r="L715" s="1050"/>
      <c r="M715" s="1051"/>
      <c r="N715" s="1051"/>
      <c r="O715" s="1028"/>
      <c r="P715" s="1028"/>
    </row>
    <row r="716" spans="1:16">
      <c r="A716" s="482">
        <v>1</v>
      </c>
      <c r="B716" s="1045"/>
      <c r="C716" s="1046"/>
      <c r="D716" s="1045"/>
      <c r="E716" s="1046"/>
      <c r="F716" s="414">
        <v>6</v>
      </c>
      <c r="G716" s="1045"/>
      <c r="H716" s="1046"/>
      <c r="I716" s="483">
        <v>9</v>
      </c>
      <c r="J716" s="483"/>
      <c r="K716" s="483"/>
      <c r="L716" s="483">
        <v>9</v>
      </c>
      <c r="M716" s="483"/>
      <c r="N716" s="483"/>
      <c r="O716" s="484" t="s">
        <v>460</v>
      </c>
      <c r="P716" s="485"/>
    </row>
    <row r="717" spans="1:16" ht="51">
      <c r="A717" s="459"/>
      <c r="B717" s="394" t="s">
        <v>461</v>
      </c>
      <c r="C717" s="394" t="s">
        <v>462</v>
      </c>
      <c r="D717" s="394" t="s">
        <v>463</v>
      </c>
      <c r="E717" s="394" t="s">
        <v>134</v>
      </c>
      <c r="F717" s="394"/>
      <c r="G717" s="394" t="s">
        <v>464</v>
      </c>
      <c r="H717" s="394" t="s">
        <v>465</v>
      </c>
      <c r="I717" s="394" t="s">
        <v>466</v>
      </c>
      <c r="J717" s="394" t="s">
        <v>467</v>
      </c>
      <c r="K717" s="394" t="s">
        <v>468</v>
      </c>
      <c r="L717" s="394" t="s">
        <v>469</v>
      </c>
      <c r="M717" s="394" t="s">
        <v>470</v>
      </c>
      <c r="N717" s="486" t="s">
        <v>471</v>
      </c>
      <c r="O717" s="487"/>
      <c r="P717" s="488"/>
    </row>
    <row r="718" spans="1:16">
      <c r="A718" s="459"/>
      <c r="B718" s="489"/>
      <c r="C718" s="394"/>
      <c r="D718" s="394"/>
      <c r="E718" s="394"/>
      <c r="F718" s="394"/>
      <c r="G718" s="394"/>
      <c r="H718" s="394"/>
      <c r="I718" s="394"/>
      <c r="J718" s="394"/>
      <c r="K718" s="394"/>
      <c r="L718" s="394"/>
      <c r="M718" s="394"/>
      <c r="N718" s="394"/>
      <c r="O718" s="460"/>
      <c r="P718" s="461"/>
    </row>
    <row r="719" spans="1:16">
      <c r="A719" s="1366" t="s">
        <v>822</v>
      </c>
      <c r="B719" s="1360">
        <v>1.5</v>
      </c>
      <c r="C719" s="1360">
        <v>0</v>
      </c>
      <c r="D719" s="1360">
        <v>0</v>
      </c>
      <c r="E719" s="1360">
        <v>0</v>
      </c>
      <c r="F719" s="1360">
        <v>1.5</v>
      </c>
      <c r="G719" s="460"/>
      <c r="H719" s="460"/>
      <c r="I719" s="460" t="s">
        <v>493</v>
      </c>
      <c r="J719" s="460" t="s">
        <v>493</v>
      </c>
      <c r="K719" s="460" t="s">
        <v>493</v>
      </c>
      <c r="L719" s="394"/>
      <c r="M719" s="394"/>
      <c r="N719" s="394"/>
      <c r="O719" s="460"/>
      <c r="P719" s="461"/>
    </row>
    <row r="720" spans="1:16">
      <c r="A720" s="490" t="s">
        <v>871</v>
      </c>
      <c r="B720" s="394">
        <v>1.5</v>
      </c>
      <c r="C720" s="394">
        <v>1</v>
      </c>
      <c r="D720" s="491">
        <v>44599</v>
      </c>
      <c r="E720" s="491">
        <v>44599</v>
      </c>
      <c r="F720" s="394">
        <f>F719+B720-C720</f>
        <v>2</v>
      </c>
      <c r="G720" s="394"/>
      <c r="H720" s="394"/>
      <c r="I720" s="394" t="s">
        <v>493</v>
      </c>
      <c r="J720" s="394" t="s">
        <v>493</v>
      </c>
      <c r="K720" s="394" t="s">
        <v>493</v>
      </c>
      <c r="L720" s="394"/>
      <c r="M720" s="394"/>
      <c r="N720" s="394"/>
      <c r="O720" s="460"/>
      <c r="P720" s="461"/>
    </row>
    <row r="721" spans="1:17">
      <c r="A721" s="537" t="s">
        <v>894</v>
      </c>
      <c r="B721" s="394">
        <v>1.5</v>
      </c>
      <c r="C721" s="394">
        <v>0</v>
      </c>
      <c r="D721" s="394">
        <v>0</v>
      </c>
      <c r="E721" s="394">
        <v>0</v>
      </c>
      <c r="F721" s="394">
        <f>F720+B721-C721</f>
        <v>3.5</v>
      </c>
      <c r="G721" s="394"/>
      <c r="H721" s="394"/>
      <c r="I721" s="394" t="s">
        <v>493</v>
      </c>
      <c r="J721" s="394" t="s">
        <v>493</v>
      </c>
      <c r="K721" s="394" t="s">
        <v>493</v>
      </c>
      <c r="L721" s="553"/>
      <c r="M721" s="553"/>
      <c r="N721" s="553"/>
      <c r="O721" s="460"/>
      <c r="P721" s="461"/>
    </row>
    <row r="722" spans="1:17">
      <c r="A722" s="1369" t="s">
        <v>901</v>
      </c>
      <c r="B722" s="394">
        <v>1.5</v>
      </c>
      <c r="C722" s="394">
        <v>1</v>
      </c>
      <c r="D722" s="491">
        <v>44662</v>
      </c>
      <c r="E722" s="491">
        <v>44662</v>
      </c>
      <c r="F722" s="394">
        <f>F721+B722-C722</f>
        <v>4</v>
      </c>
      <c r="G722" s="394"/>
      <c r="H722" s="394"/>
      <c r="I722" s="394" t="s">
        <v>493</v>
      </c>
      <c r="J722" s="394" t="s">
        <v>493</v>
      </c>
      <c r="K722" s="394" t="s">
        <v>493</v>
      </c>
      <c r="L722" s="394"/>
      <c r="M722" s="394"/>
      <c r="N722" s="394"/>
      <c r="O722" s="460"/>
      <c r="P722" s="461"/>
      <c r="Q722" s="8">
        <v>11</v>
      </c>
    </row>
    <row r="723" spans="1:17">
      <c r="A723" s="492"/>
      <c r="B723" s="394"/>
      <c r="C723" s="394"/>
      <c r="D723" s="394"/>
      <c r="E723" s="394"/>
      <c r="F723" s="394"/>
      <c r="G723" s="394"/>
      <c r="H723" s="394"/>
      <c r="I723" s="394"/>
      <c r="J723" s="394"/>
      <c r="K723" s="394"/>
      <c r="L723" s="394"/>
      <c r="M723" s="394"/>
      <c r="N723" s="394"/>
      <c r="O723" s="460"/>
      <c r="P723" s="461"/>
    </row>
    <row r="724" spans="1:17">
      <c r="A724" s="492"/>
      <c r="B724" s="394"/>
      <c r="C724" s="394"/>
      <c r="D724" s="394"/>
      <c r="E724" s="394"/>
      <c r="F724" s="394"/>
      <c r="G724" s="394"/>
      <c r="H724" s="394"/>
      <c r="I724" s="394"/>
      <c r="J724" s="394"/>
      <c r="K724" s="394"/>
      <c r="L724" s="394"/>
      <c r="M724" s="394"/>
      <c r="N724" s="394"/>
      <c r="O724" s="460"/>
      <c r="P724" s="461"/>
    </row>
    <row r="725" spans="1:17">
      <c r="A725" s="492"/>
      <c r="B725" s="394"/>
      <c r="C725" s="394"/>
      <c r="D725" s="394"/>
      <c r="E725" s="394"/>
      <c r="F725" s="394"/>
      <c r="G725" s="394"/>
      <c r="H725" s="394"/>
      <c r="I725" s="394"/>
      <c r="J725" s="394"/>
      <c r="K725" s="394"/>
      <c r="L725" s="394"/>
      <c r="M725" s="394"/>
      <c r="N725" s="394"/>
      <c r="O725" s="460"/>
      <c r="P725" s="461"/>
    </row>
    <row r="726" spans="1:17">
      <c r="A726" s="492"/>
      <c r="B726" s="394"/>
      <c r="C726" s="394"/>
      <c r="D726" s="394"/>
      <c r="E726" s="394"/>
      <c r="F726" s="394"/>
      <c r="G726" s="394"/>
      <c r="H726" s="394"/>
      <c r="I726" s="394"/>
      <c r="J726" s="394"/>
      <c r="K726" s="394"/>
      <c r="L726" s="394"/>
      <c r="M726" s="394"/>
      <c r="N726" s="394"/>
      <c r="O726" s="460"/>
      <c r="P726" s="461"/>
    </row>
    <row r="727" spans="1:17">
      <c r="A727" s="492"/>
      <c r="B727" s="394"/>
      <c r="C727" s="394"/>
      <c r="D727" s="394"/>
      <c r="E727" s="394"/>
      <c r="F727" s="394"/>
      <c r="G727" s="394"/>
      <c r="H727" s="394"/>
      <c r="I727" s="394"/>
      <c r="J727" s="394"/>
      <c r="K727" s="394"/>
      <c r="L727" s="394"/>
      <c r="M727" s="394"/>
      <c r="N727" s="394"/>
      <c r="O727" s="460"/>
      <c r="P727" s="461"/>
    </row>
    <row r="728" spans="1:17">
      <c r="A728" s="492"/>
      <c r="B728" s="394"/>
      <c r="C728" s="394"/>
      <c r="D728" s="491"/>
      <c r="E728" s="491"/>
      <c r="F728" s="394"/>
      <c r="G728" s="394"/>
      <c r="H728" s="394"/>
      <c r="I728" s="394"/>
      <c r="J728" s="394"/>
      <c r="K728" s="394"/>
      <c r="L728" s="394"/>
      <c r="M728" s="394"/>
      <c r="N728" s="394"/>
      <c r="O728" s="460"/>
      <c r="P728" s="461"/>
    </row>
    <row r="729" spans="1:17">
      <c r="A729" s="492"/>
      <c r="B729" s="394"/>
      <c r="C729" s="394"/>
      <c r="D729" s="491"/>
      <c r="E729" s="491"/>
      <c r="F729" s="394"/>
      <c r="G729" s="394"/>
      <c r="H729" s="394"/>
      <c r="I729" s="394"/>
      <c r="J729" s="394"/>
      <c r="K729" s="394"/>
      <c r="L729" s="394"/>
      <c r="M729" s="394"/>
      <c r="N729" s="394"/>
      <c r="O729" s="460"/>
      <c r="P729" s="461"/>
    </row>
    <row r="730" spans="1:17">
      <c r="A730" s="492"/>
      <c r="B730" s="394"/>
      <c r="C730" s="394"/>
      <c r="D730" s="491"/>
      <c r="E730" s="491"/>
      <c r="F730" s="394"/>
      <c r="G730" s="394"/>
      <c r="H730" s="394"/>
      <c r="I730" s="394"/>
      <c r="J730" s="394"/>
      <c r="K730" s="394"/>
      <c r="L730" s="394"/>
      <c r="M730" s="394"/>
      <c r="N730" s="394"/>
      <c r="O730" s="460"/>
      <c r="P730" s="461"/>
    </row>
    <row r="731" spans="1:17">
      <c r="A731" s="492"/>
      <c r="B731" s="394"/>
      <c r="C731" s="394"/>
      <c r="D731" s="491"/>
      <c r="E731" s="491"/>
      <c r="F731" s="394"/>
      <c r="G731" s="394"/>
      <c r="H731" s="394"/>
      <c r="I731" s="394"/>
      <c r="J731" s="394"/>
      <c r="K731" s="394"/>
      <c r="L731" s="394"/>
      <c r="M731" s="394"/>
      <c r="N731" s="394"/>
      <c r="O731" s="460"/>
      <c r="P731" s="461"/>
    </row>
    <row r="732" spans="1:17">
      <c r="A732" s="492"/>
      <c r="B732" s="394"/>
      <c r="C732" s="394"/>
      <c r="D732" s="491"/>
      <c r="E732" s="491"/>
      <c r="F732" s="394"/>
      <c r="G732" s="394"/>
      <c r="H732" s="394"/>
      <c r="I732" s="394"/>
      <c r="J732" s="394"/>
      <c r="K732" s="394"/>
      <c r="L732" s="394"/>
      <c r="M732" s="394"/>
      <c r="N732" s="394"/>
      <c r="O732" s="460"/>
      <c r="P732" s="461"/>
    </row>
    <row r="733" spans="1:17">
      <c r="A733" s="492"/>
      <c r="B733" s="394"/>
      <c r="C733" s="394"/>
      <c r="D733" s="491"/>
      <c r="E733" s="491"/>
      <c r="F733" s="394"/>
      <c r="G733" s="394"/>
      <c r="H733" s="394"/>
      <c r="I733" s="394"/>
      <c r="J733" s="394"/>
      <c r="K733" s="394"/>
      <c r="L733" s="394"/>
      <c r="M733" s="394"/>
      <c r="N733" s="394"/>
      <c r="O733" s="460"/>
      <c r="P733" s="461"/>
    </row>
    <row r="734" spans="1:17">
      <c r="A734" s="459"/>
      <c r="B734" s="394"/>
      <c r="C734" s="394"/>
      <c r="D734" s="394"/>
      <c r="E734" s="394"/>
      <c r="F734" s="394"/>
      <c r="G734" s="394"/>
      <c r="H734" s="394"/>
      <c r="I734" s="394"/>
      <c r="J734" s="394"/>
      <c r="K734" s="394"/>
      <c r="L734" s="394"/>
      <c r="M734" s="394"/>
      <c r="N734" s="394"/>
      <c r="O734" s="460"/>
      <c r="P734" s="461"/>
    </row>
    <row r="735" spans="1:17">
      <c r="A735" s="459"/>
      <c r="B735" s="394"/>
      <c r="C735" s="394"/>
      <c r="D735" s="394"/>
      <c r="E735" s="394"/>
      <c r="F735" s="394"/>
      <c r="G735" s="394"/>
      <c r="H735" s="394"/>
      <c r="I735" s="394"/>
      <c r="J735" s="394"/>
      <c r="K735" s="394"/>
      <c r="L735" s="394"/>
      <c r="M735" s="394"/>
      <c r="N735" s="394"/>
      <c r="O735" s="460"/>
      <c r="P735" s="461"/>
    </row>
    <row r="736" spans="1:17">
      <c r="A736" s="459"/>
      <c r="B736" s="394"/>
      <c r="C736" s="394"/>
      <c r="D736" s="394"/>
      <c r="E736" s="394"/>
      <c r="F736" s="394"/>
      <c r="G736" s="394"/>
      <c r="H736" s="394"/>
      <c r="I736" s="394"/>
      <c r="J736" s="394"/>
      <c r="K736" s="394"/>
      <c r="L736" s="394"/>
      <c r="M736" s="394"/>
      <c r="N736" s="394"/>
      <c r="O736" s="460"/>
      <c r="P736" s="461"/>
    </row>
    <row r="737" spans="1:16">
      <c r="A737" s="459"/>
      <c r="B737" s="394"/>
      <c r="C737" s="394"/>
      <c r="D737" s="394"/>
      <c r="E737" s="394"/>
      <c r="F737" s="394"/>
      <c r="G737" s="394"/>
      <c r="H737" s="394"/>
      <c r="I737" s="394"/>
      <c r="J737" s="394"/>
      <c r="K737" s="394"/>
      <c r="L737" s="394"/>
      <c r="M737" s="394"/>
      <c r="N737" s="394"/>
      <c r="O737" s="460"/>
      <c r="P737" s="461"/>
    </row>
    <row r="738" spans="1:16">
      <c r="A738" s="459"/>
      <c r="B738" s="394"/>
      <c r="C738" s="394"/>
      <c r="D738" s="394"/>
      <c r="E738" s="394"/>
      <c r="F738" s="394"/>
      <c r="G738" s="394"/>
      <c r="H738" s="394"/>
      <c r="I738" s="394"/>
      <c r="J738" s="394"/>
      <c r="K738" s="394"/>
      <c r="L738" s="394"/>
      <c r="M738" s="394"/>
      <c r="N738" s="394"/>
      <c r="O738" s="460"/>
      <c r="P738" s="461"/>
    </row>
    <row r="739" spans="1:16">
      <c r="A739" s="474"/>
      <c r="B739" s="399"/>
      <c r="C739" s="399"/>
      <c r="D739" s="399"/>
      <c r="E739" s="399"/>
      <c r="F739" s="399"/>
      <c r="G739" s="399"/>
      <c r="H739" s="399"/>
      <c r="I739" s="399"/>
      <c r="J739" s="399"/>
      <c r="K739" s="399"/>
      <c r="L739" s="399"/>
      <c r="M739" s="399"/>
      <c r="N739" s="399"/>
      <c r="O739" s="494"/>
      <c r="P739" s="495"/>
    </row>
    <row r="740" spans="1:16">
      <c r="A740" s="474"/>
      <c r="B740" s="399"/>
      <c r="C740" s="399"/>
      <c r="D740" s="399"/>
      <c r="E740" s="399"/>
      <c r="F740" s="399"/>
      <c r="G740" s="399"/>
      <c r="H740" s="399"/>
      <c r="I740" s="399"/>
      <c r="J740" s="399"/>
      <c r="K740" s="399"/>
      <c r="L740" s="399"/>
      <c r="M740" s="399"/>
      <c r="N740" s="399"/>
      <c r="O740" s="494"/>
      <c r="P740" s="495"/>
    </row>
    <row r="741" spans="1:16">
      <c r="A741" s="474"/>
      <c r="B741" s="399"/>
      <c r="C741" s="399"/>
      <c r="D741" s="399"/>
      <c r="E741" s="399"/>
      <c r="F741" s="399"/>
      <c r="G741" s="399"/>
      <c r="H741" s="399"/>
      <c r="I741" s="399"/>
      <c r="J741" s="399"/>
      <c r="K741" s="399"/>
      <c r="L741" s="399"/>
      <c r="M741" s="399"/>
      <c r="N741" s="399"/>
      <c r="O741" s="494"/>
      <c r="P741" s="495"/>
    </row>
    <row r="742" spans="1:16">
      <c r="A742" s="463"/>
      <c r="B742" s="462"/>
      <c r="C742" s="462"/>
      <c r="D742" s="462"/>
      <c r="E742" s="462"/>
      <c r="F742" s="462"/>
      <c r="G742" s="462"/>
      <c r="H742" s="462"/>
      <c r="I742" s="462"/>
      <c r="J742" s="462"/>
      <c r="K742" s="462"/>
      <c r="L742" s="462"/>
      <c r="M742" s="462"/>
      <c r="N742" s="462"/>
      <c r="O742" s="371"/>
      <c r="P742" s="464"/>
    </row>
    <row r="743" spans="1:16">
      <c r="A743" s="463"/>
      <c r="B743" s="462"/>
      <c r="C743" s="462"/>
      <c r="D743" s="462"/>
      <c r="E743" s="462"/>
      <c r="F743" s="462"/>
      <c r="G743" s="462"/>
      <c r="H743" s="462"/>
      <c r="I743" s="462"/>
      <c r="J743" s="462"/>
      <c r="K743" s="462"/>
      <c r="L743" s="462"/>
      <c r="M743" s="462"/>
      <c r="N743" s="462"/>
      <c r="O743" s="371"/>
      <c r="P743" s="464"/>
    </row>
    <row r="744" spans="1:16">
      <c r="A744" s="463"/>
      <c r="B744" s="462"/>
      <c r="C744" s="462"/>
      <c r="D744" s="462"/>
      <c r="E744" s="462"/>
      <c r="F744" s="462"/>
      <c r="G744" s="462"/>
      <c r="H744" s="462"/>
      <c r="I744" s="462"/>
      <c r="J744" s="462"/>
      <c r="K744" s="462"/>
      <c r="L744" s="462"/>
      <c r="M744" s="462"/>
      <c r="N744" s="462"/>
      <c r="O744" s="371"/>
      <c r="P744" s="464"/>
    </row>
    <row r="745" spans="1:16" ht="15.75" thickBot="1">
      <c r="A745" s="465"/>
      <c r="B745" s="466"/>
      <c r="C745" s="466"/>
      <c r="D745" s="466"/>
      <c r="E745" s="466"/>
      <c r="F745" s="466"/>
      <c r="G745" s="1029" t="s">
        <v>38</v>
      </c>
      <c r="H745" s="1029"/>
      <c r="I745" s="1029"/>
      <c r="J745" s="1029"/>
      <c r="K745" s="1029"/>
      <c r="L745" s="1029"/>
      <c r="M745" s="1029"/>
      <c r="N745" s="1029"/>
      <c r="O745" s="467"/>
      <c r="P745" s="468"/>
    </row>
    <row r="746" spans="1:16">
      <c r="A746" s="1030" t="s">
        <v>450</v>
      </c>
      <c r="B746" s="1031"/>
      <c r="C746" s="1031"/>
      <c r="D746" s="1031"/>
      <c r="E746" s="1031"/>
      <c r="F746" s="1031"/>
      <c r="G746" s="1031"/>
      <c r="H746" s="1031"/>
      <c r="I746" s="1031"/>
      <c r="J746" s="1031"/>
      <c r="K746" s="1031"/>
      <c r="L746" s="1031"/>
      <c r="M746" s="1031"/>
      <c r="N746" s="1031"/>
      <c r="O746" s="469"/>
      <c r="P746" s="470"/>
    </row>
    <row r="747" spans="1:16" ht="15.75" thickBot="1">
      <c r="A747" s="1032"/>
      <c r="B747" s="1033"/>
      <c r="C747" s="1033"/>
      <c r="D747" s="1033"/>
      <c r="E747" s="1033"/>
      <c r="F747" s="1033"/>
      <c r="G747" s="1033"/>
      <c r="H747" s="1033"/>
      <c r="I747" s="1033"/>
      <c r="J747" s="1033"/>
      <c r="K747" s="1033"/>
      <c r="L747" s="1033"/>
      <c r="M747" s="1033"/>
      <c r="N747" s="1033"/>
      <c r="O747" s="471"/>
      <c r="P747" s="464"/>
    </row>
    <row r="748" spans="1:16" ht="15.75" thickBot="1">
      <c r="A748" s="1034" t="s">
        <v>451</v>
      </c>
      <c r="B748" s="1035"/>
      <c r="C748" s="1035"/>
      <c r="D748" s="1035"/>
      <c r="E748" s="1035"/>
      <c r="F748" s="1035"/>
      <c r="G748" s="1035"/>
      <c r="H748" s="1035"/>
      <c r="I748" s="1035"/>
      <c r="J748" s="1035"/>
      <c r="K748" s="1035"/>
      <c r="L748" s="1035"/>
      <c r="M748" s="1035"/>
      <c r="N748" s="1035"/>
      <c r="O748" s="471"/>
      <c r="P748" s="464"/>
    </row>
    <row r="749" spans="1:16">
      <c r="A749" s="472" t="s">
        <v>483</v>
      </c>
      <c r="B749" s="405"/>
      <c r="C749" s="405"/>
      <c r="D749" s="406"/>
      <c r="E749" s="1036" t="s">
        <v>484</v>
      </c>
      <c r="F749" s="1037"/>
      <c r="G749" s="1037"/>
      <c r="H749" s="473"/>
      <c r="I749" s="473"/>
      <c r="J749" s="473"/>
      <c r="K749" s="473"/>
      <c r="L749" s="473"/>
      <c r="M749" s="473"/>
      <c r="N749" s="473"/>
      <c r="O749" s="471"/>
      <c r="P749" s="464"/>
    </row>
    <row r="750" spans="1:16">
      <c r="A750" s="474"/>
      <c r="B750" s="399" t="s">
        <v>384</v>
      </c>
      <c r="C750" s="399"/>
      <c r="D750" s="408"/>
      <c r="E750" s="475"/>
      <c r="F750" s="476"/>
      <c r="G750" s="1038" t="str">
        <f>'0422Master'!B27</f>
        <v>Pranav Thakare</v>
      </c>
      <c r="H750" s="1038"/>
      <c r="I750" s="1038"/>
      <c r="J750" s="476"/>
      <c r="K750" s="476"/>
      <c r="L750" s="476"/>
      <c r="M750" s="476"/>
      <c r="N750" s="476"/>
      <c r="O750" s="471"/>
      <c r="P750" s="464"/>
    </row>
    <row r="751" spans="1:16" ht="15.75" thickBot="1">
      <c r="A751" s="410"/>
      <c r="B751" s="411" t="s">
        <v>385</v>
      </c>
      <c r="C751" s="411"/>
      <c r="D751" s="412"/>
      <c r="E751" s="475"/>
      <c r="F751" s="476"/>
      <c r="G751" s="476"/>
      <c r="H751" s="476"/>
      <c r="I751" s="476"/>
      <c r="J751" s="476"/>
      <c r="K751" s="476"/>
      <c r="L751" s="476"/>
      <c r="M751" s="476"/>
      <c r="N751" s="476"/>
      <c r="O751" s="471"/>
      <c r="P751" s="464"/>
    </row>
    <row r="752" spans="1:16">
      <c r="A752" s="404" t="s">
        <v>485</v>
      </c>
      <c r="B752" s="405"/>
      <c r="C752" s="405"/>
      <c r="D752" s="406"/>
      <c r="E752" s="404" t="s">
        <v>452</v>
      </c>
      <c r="F752" s="405"/>
      <c r="G752" s="477">
        <f>'0422Master'!N27</f>
        <v>44564</v>
      </c>
      <c r="H752" s="405"/>
      <c r="I752" s="405"/>
      <c r="J752" s="405"/>
      <c r="K752" s="405"/>
      <c r="L752" s="405"/>
      <c r="M752" s="405"/>
      <c r="N752" s="405"/>
      <c r="O752" s="471"/>
      <c r="P752" s="464"/>
    </row>
    <row r="753" spans="1:17">
      <c r="A753" s="474"/>
      <c r="B753" s="399"/>
      <c r="C753" s="399" t="s">
        <v>374</v>
      </c>
      <c r="D753" s="408"/>
      <c r="E753" s="407"/>
      <c r="F753" s="399"/>
      <c r="G753" s="399"/>
      <c r="H753" s="399"/>
      <c r="I753" s="399"/>
      <c r="J753" s="399"/>
      <c r="K753" s="399"/>
      <c r="L753" s="399"/>
      <c r="M753" s="399"/>
      <c r="N753" s="399"/>
      <c r="O753" s="471"/>
      <c r="P753" s="464"/>
    </row>
    <row r="754" spans="1:17">
      <c r="A754" s="474"/>
      <c r="B754" s="399"/>
      <c r="C754" s="399"/>
      <c r="D754" s="408"/>
      <c r="E754" s="478"/>
      <c r="F754" s="399"/>
      <c r="G754" s="399"/>
      <c r="H754" s="399"/>
      <c r="I754" s="399"/>
      <c r="J754" s="399"/>
      <c r="K754" s="399"/>
      <c r="L754" s="399"/>
      <c r="M754" s="399"/>
      <c r="N754" s="399"/>
      <c r="O754" s="471"/>
      <c r="P754" s="464"/>
    </row>
    <row r="755" spans="1:17" ht="15.75" thickBot="1">
      <c r="A755" s="479"/>
      <c r="B755" s="402"/>
      <c r="C755" s="402"/>
      <c r="D755" s="480"/>
      <c r="E755" s="410"/>
      <c r="F755" s="411"/>
      <c r="G755" s="411"/>
      <c r="H755" s="411"/>
      <c r="I755" s="411"/>
      <c r="J755" s="411"/>
      <c r="K755" s="411"/>
      <c r="L755" s="411"/>
      <c r="M755" s="411"/>
      <c r="N755" s="411"/>
      <c r="O755" s="481"/>
      <c r="P755" s="468"/>
    </row>
    <row r="756" spans="1:17">
      <c r="A756" s="1039" t="s">
        <v>5</v>
      </c>
      <c r="B756" s="1041" t="s">
        <v>453</v>
      </c>
      <c r="C756" s="1042"/>
      <c r="D756" s="1041" t="s">
        <v>454</v>
      </c>
      <c r="E756" s="1044"/>
      <c r="F756" s="989" t="s">
        <v>455</v>
      </c>
      <c r="G756" s="1043" t="s">
        <v>456</v>
      </c>
      <c r="H756" s="1047"/>
      <c r="I756" s="1048" t="s">
        <v>457</v>
      </c>
      <c r="J756" s="1047"/>
      <c r="K756" s="1049"/>
      <c r="L756" s="1048" t="s">
        <v>458</v>
      </c>
      <c r="M756" s="1047"/>
      <c r="N756" s="1047"/>
      <c r="O756" s="1027" t="s">
        <v>459</v>
      </c>
      <c r="P756" s="1027" t="s">
        <v>40</v>
      </c>
    </row>
    <row r="757" spans="1:17" ht="15.75" thickBot="1">
      <c r="A757" s="1040"/>
      <c r="B757" s="1043"/>
      <c r="C757" s="1044"/>
      <c r="D757" s="1043"/>
      <c r="E757" s="1044"/>
      <c r="F757" s="985"/>
      <c r="G757" s="1043"/>
      <c r="H757" s="1047"/>
      <c r="I757" s="1050"/>
      <c r="J757" s="1051"/>
      <c r="K757" s="1052"/>
      <c r="L757" s="1050"/>
      <c r="M757" s="1051"/>
      <c r="N757" s="1051"/>
      <c r="O757" s="1028"/>
      <c r="P757" s="1028"/>
    </row>
    <row r="758" spans="1:17">
      <c r="A758" s="482">
        <v>1</v>
      </c>
      <c r="B758" s="1045"/>
      <c r="C758" s="1046"/>
      <c r="D758" s="1045"/>
      <c r="E758" s="1046"/>
      <c r="F758" s="414">
        <v>6</v>
      </c>
      <c r="G758" s="1045"/>
      <c r="H758" s="1046"/>
      <c r="I758" s="483">
        <v>9</v>
      </c>
      <c r="J758" s="483"/>
      <c r="K758" s="483"/>
      <c r="L758" s="483">
        <v>9</v>
      </c>
      <c r="M758" s="483"/>
      <c r="N758" s="483"/>
      <c r="O758" s="484" t="s">
        <v>460</v>
      </c>
      <c r="P758" s="485"/>
    </row>
    <row r="759" spans="1:17" ht="51">
      <c r="A759" s="459"/>
      <c r="B759" s="394" t="s">
        <v>461</v>
      </c>
      <c r="C759" s="394" t="s">
        <v>462</v>
      </c>
      <c r="D759" s="394" t="s">
        <v>463</v>
      </c>
      <c r="E759" s="394" t="s">
        <v>134</v>
      </c>
      <c r="F759" s="394"/>
      <c r="G759" s="394" t="s">
        <v>464</v>
      </c>
      <c r="H759" s="394" t="s">
        <v>465</v>
      </c>
      <c r="I759" s="394" t="s">
        <v>466</v>
      </c>
      <c r="J759" s="394" t="s">
        <v>467</v>
      </c>
      <c r="K759" s="394" t="s">
        <v>468</v>
      </c>
      <c r="L759" s="394" t="s">
        <v>469</v>
      </c>
      <c r="M759" s="394" t="s">
        <v>470</v>
      </c>
      <c r="N759" s="486" t="s">
        <v>471</v>
      </c>
      <c r="O759" s="487"/>
      <c r="P759" s="488"/>
    </row>
    <row r="760" spans="1:17">
      <c r="A760" s="542"/>
      <c r="B760" s="460"/>
      <c r="C760" s="460"/>
      <c r="D760" s="460"/>
      <c r="E760" s="460"/>
      <c r="F760" s="460"/>
      <c r="G760" s="460"/>
      <c r="H760" s="460"/>
      <c r="I760" s="460"/>
      <c r="J760" s="460"/>
      <c r="K760" s="460"/>
      <c r="L760" s="394"/>
      <c r="M760" s="394"/>
      <c r="N760" s="394"/>
      <c r="O760" s="460"/>
      <c r="P760" s="461"/>
    </row>
    <row r="761" spans="1:17">
      <c r="A761" s="490" t="s">
        <v>822</v>
      </c>
      <c r="B761" s="394">
        <v>1.5</v>
      </c>
      <c r="C761" s="1360">
        <v>0</v>
      </c>
      <c r="D761" s="1360">
        <v>0</v>
      </c>
      <c r="E761" s="1360">
        <v>0</v>
      </c>
      <c r="F761" s="1360">
        <f t="shared" ref="F761" si="0">F760+B761-C761</f>
        <v>1.5</v>
      </c>
      <c r="G761" s="460"/>
      <c r="H761" s="460"/>
      <c r="I761" s="460" t="s">
        <v>493</v>
      </c>
      <c r="J761" s="460" t="s">
        <v>493</v>
      </c>
      <c r="K761" s="460" t="s">
        <v>493</v>
      </c>
      <c r="L761" s="394"/>
      <c r="M761" s="394"/>
      <c r="N761" s="394"/>
      <c r="O761" s="460"/>
      <c r="P761" s="461"/>
    </row>
    <row r="762" spans="1:17">
      <c r="A762" s="490" t="s">
        <v>871</v>
      </c>
      <c r="B762" s="394">
        <v>1.5</v>
      </c>
      <c r="C762" s="394">
        <v>1</v>
      </c>
      <c r="D762" s="491">
        <v>44617</v>
      </c>
      <c r="E762" s="491">
        <v>44617</v>
      </c>
      <c r="F762" s="394">
        <f>F761+B762-C762</f>
        <v>2</v>
      </c>
      <c r="G762" s="394"/>
      <c r="H762" s="394"/>
      <c r="I762" s="394" t="s">
        <v>493</v>
      </c>
      <c r="J762" s="394" t="s">
        <v>493</v>
      </c>
      <c r="K762" s="394" t="s">
        <v>493</v>
      </c>
      <c r="L762" s="394"/>
      <c r="M762" s="394"/>
      <c r="N762" s="394"/>
      <c r="O762" s="460"/>
      <c r="P762" s="461"/>
    </row>
    <row r="763" spans="1:17">
      <c r="A763" s="537" t="s">
        <v>894</v>
      </c>
      <c r="B763" s="394">
        <v>1.5</v>
      </c>
      <c r="C763" s="394">
        <v>1</v>
      </c>
      <c r="D763" s="491">
        <v>44624</v>
      </c>
      <c r="E763" s="491">
        <v>44624</v>
      </c>
      <c r="F763" s="394">
        <f>F762+B763-C763</f>
        <v>2.5</v>
      </c>
      <c r="G763" s="394"/>
      <c r="H763" s="394"/>
      <c r="I763" s="394" t="s">
        <v>493</v>
      </c>
      <c r="J763" s="394" t="s">
        <v>493</v>
      </c>
      <c r="K763" s="394" t="s">
        <v>493</v>
      </c>
      <c r="L763" s="553"/>
      <c r="M763" s="553"/>
      <c r="N763" s="553"/>
      <c r="O763" s="460"/>
      <c r="P763" s="461"/>
    </row>
    <row r="764" spans="1:17">
      <c r="A764" s="1369" t="s">
        <v>901</v>
      </c>
      <c r="B764" s="394">
        <v>1.5</v>
      </c>
      <c r="C764" s="394">
        <v>1</v>
      </c>
      <c r="D764" s="491">
        <v>44676</v>
      </c>
      <c r="E764" s="491">
        <v>44676</v>
      </c>
      <c r="F764" s="394">
        <f>F763+B764-C764</f>
        <v>3</v>
      </c>
      <c r="G764" s="394"/>
      <c r="H764" s="394"/>
      <c r="I764" s="394" t="s">
        <v>493</v>
      </c>
      <c r="J764" s="394" t="s">
        <v>493</v>
      </c>
      <c r="K764" s="394" t="s">
        <v>493</v>
      </c>
      <c r="L764" s="394"/>
      <c r="M764" s="394"/>
      <c r="N764" s="394"/>
      <c r="O764" s="460"/>
      <c r="P764" s="461"/>
      <c r="Q764" s="8">
        <v>12</v>
      </c>
    </row>
    <row r="765" spans="1:17">
      <c r="A765" s="492"/>
      <c r="B765" s="394"/>
      <c r="C765" s="394"/>
      <c r="D765" s="394"/>
      <c r="E765" s="394"/>
      <c r="F765" s="394"/>
      <c r="G765" s="394"/>
      <c r="H765" s="394"/>
      <c r="I765" s="394"/>
      <c r="J765" s="394"/>
      <c r="K765" s="394"/>
      <c r="L765" s="394"/>
      <c r="M765" s="394"/>
      <c r="N765" s="394"/>
      <c r="O765" s="460"/>
      <c r="P765" s="461"/>
    </row>
    <row r="766" spans="1:17">
      <c r="A766" s="492"/>
      <c r="B766" s="394"/>
      <c r="C766" s="394"/>
      <c r="D766" s="394"/>
      <c r="E766" s="394"/>
      <c r="F766" s="394"/>
      <c r="G766" s="394"/>
      <c r="H766" s="394"/>
      <c r="I766" s="394"/>
      <c r="J766" s="394"/>
      <c r="K766" s="394"/>
      <c r="L766" s="394"/>
      <c r="M766" s="394"/>
      <c r="N766" s="394"/>
      <c r="O766" s="460"/>
      <c r="P766" s="461"/>
    </row>
    <row r="767" spans="1:17">
      <c r="A767" s="492"/>
      <c r="B767" s="394"/>
      <c r="C767" s="394"/>
      <c r="D767" s="394"/>
      <c r="E767" s="394"/>
      <c r="F767" s="394"/>
      <c r="G767" s="394"/>
      <c r="H767" s="394"/>
      <c r="I767" s="394"/>
      <c r="J767" s="394"/>
      <c r="K767" s="394"/>
      <c r="L767" s="394"/>
      <c r="M767" s="394"/>
      <c r="N767" s="394"/>
      <c r="O767" s="460"/>
      <c r="P767" s="461"/>
    </row>
    <row r="768" spans="1:17">
      <c r="A768" s="492"/>
      <c r="B768" s="394"/>
      <c r="C768" s="394"/>
      <c r="D768" s="394"/>
      <c r="E768" s="394"/>
      <c r="F768" s="394"/>
      <c r="G768" s="394"/>
      <c r="H768" s="394"/>
      <c r="I768" s="394"/>
      <c r="J768" s="394"/>
      <c r="K768" s="394"/>
      <c r="L768" s="394"/>
      <c r="M768" s="394"/>
      <c r="N768" s="394"/>
      <c r="O768" s="460"/>
      <c r="P768" s="461"/>
    </row>
    <row r="769" spans="1:16">
      <c r="A769" s="492"/>
      <c r="B769" s="394"/>
      <c r="C769" s="394"/>
      <c r="D769" s="394"/>
      <c r="E769" s="394"/>
      <c r="F769" s="394"/>
      <c r="G769" s="394"/>
      <c r="H769" s="394"/>
      <c r="I769" s="394"/>
      <c r="J769" s="394"/>
      <c r="K769" s="394"/>
      <c r="L769" s="394"/>
      <c r="M769" s="394"/>
      <c r="N769" s="394"/>
      <c r="O769" s="460"/>
      <c r="P769" s="461"/>
    </row>
    <row r="770" spans="1:16">
      <c r="A770" s="492"/>
      <c r="B770" s="394"/>
      <c r="C770" s="394"/>
      <c r="D770" s="491"/>
      <c r="E770" s="491"/>
      <c r="F770" s="394"/>
      <c r="G770" s="394"/>
      <c r="H770" s="394"/>
      <c r="I770" s="394"/>
      <c r="J770" s="394"/>
      <c r="K770" s="394"/>
      <c r="L770" s="394"/>
      <c r="M770" s="394"/>
      <c r="N770" s="394"/>
      <c r="O770" s="460"/>
      <c r="P770" s="461"/>
    </row>
    <row r="771" spans="1:16">
      <c r="A771" s="492"/>
      <c r="B771" s="394"/>
      <c r="C771" s="394"/>
      <c r="D771" s="491"/>
      <c r="E771" s="491"/>
      <c r="F771" s="394"/>
      <c r="G771" s="394"/>
      <c r="H771" s="394"/>
      <c r="I771" s="394"/>
      <c r="J771" s="394"/>
      <c r="K771" s="394"/>
      <c r="L771" s="394"/>
      <c r="M771" s="394"/>
      <c r="N771" s="394"/>
      <c r="O771" s="460"/>
      <c r="P771" s="461"/>
    </row>
    <row r="772" spans="1:16">
      <c r="A772" s="492"/>
      <c r="B772" s="394"/>
      <c r="C772" s="394"/>
      <c r="D772" s="491"/>
      <c r="E772" s="491"/>
      <c r="F772" s="394"/>
      <c r="G772" s="394"/>
      <c r="H772" s="394"/>
      <c r="I772" s="394"/>
      <c r="J772" s="394"/>
      <c r="K772" s="394"/>
      <c r="L772" s="394"/>
      <c r="M772" s="394"/>
      <c r="N772" s="394"/>
      <c r="O772" s="460"/>
      <c r="P772" s="461"/>
    </row>
    <row r="773" spans="1:16">
      <c r="A773" s="492"/>
      <c r="B773" s="394"/>
      <c r="C773" s="394"/>
      <c r="D773" s="491"/>
      <c r="E773" s="491"/>
      <c r="F773" s="394"/>
      <c r="G773" s="394"/>
      <c r="H773" s="394"/>
      <c r="I773" s="394"/>
      <c r="J773" s="394"/>
      <c r="K773" s="394"/>
      <c r="L773" s="394"/>
      <c r="M773" s="394"/>
      <c r="N773" s="394"/>
      <c r="O773" s="460"/>
      <c r="P773" s="461"/>
    </row>
    <row r="774" spans="1:16">
      <c r="A774" s="492"/>
      <c r="B774" s="394"/>
      <c r="C774" s="394"/>
      <c r="D774" s="491"/>
      <c r="E774" s="491"/>
      <c r="F774" s="394"/>
      <c r="G774" s="394"/>
      <c r="H774" s="394"/>
      <c r="I774" s="394"/>
      <c r="J774" s="394"/>
      <c r="K774" s="394"/>
      <c r="L774" s="394"/>
      <c r="M774" s="394"/>
      <c r="N774" s="394"/>
      <c r="O774" s="460"/>
      <c r="P774" s="461"/>
    </row>
    <row r="775" spans="1:16">
      <c r="A775" s="492"/>
      <c r="B775" s="394"/>
      <c r="C775" s="394"/>
      <c r="D775" s="491"/>
      <c r="E775" s="491"/>
      <c r="F775" s="394"/>
      <c r="G775" s="394"/>
      <c r="H775" s="394"/>
      <c r="I775" s="394"/>
      <c r="J775" s="394"/>
      <c r="K775" s="394"/>
      <c r="L775" s="394"/>
      <c r="M775" s="394"/>
      <c r="N775" s="394"/>
      <c r="O775" s="460"/>
      <c r="P775" s="461"/>
    </row>
    <row r="776" spans="1:16">
      <c r="A776" s="459"/>
      <c r="B776" s="394"/>
      <c r="C776" s="394"/>
      <c r="D776" s="394"/>
      <c r="E776" s="394"/>
      <c r="F776" s="394"/>
      <c r="G776" s="394"/>
      <c r="H776" s="394"/>
      <c r="I776" s="394"/>
      <c r="J776" s="394"/>
      <c r="K776" s="394"/>
      <c r="L776" s="394"/>
      <c r="M776" s="394"/>
      <c r="N776" s="394"/>
      <c r="O776" s="460"/>
      <c r="P776" s="461"/>
    </row>
    <row r="777" spans="1:16">
      <c r="A777" s="459"/>
      <c r="B777" s="394"/>
      <c r="C777" s="394"/>
      <c r="D777" s="394"/>
      <c r="E777" s="394"/>
      <c r="F777" s="394"/>
      <c r="G777" s="394"/>
      <c r="H777" s="394"/>
      <c r="I777" s="394"/>
      <c r="J777" s="394"/>
      <c r="K777" s="394"/>
      <c r="L777" s="394"/>
      <c r="M777" s="394"/>
      <c r="N777" s="394"/>
      <c r="O777" s="460"/>
      <c r="P777" s="461"/>
    </row>
    <row r="778" spans="1:16">
      <c r="A778" s="459"/>
      <c r="B778" s="394"/>
      <c r="C778" s="394"/>
      <c r="D778" s="394"/>
      <c r="E778" s="394"/>
      <c r="F778" s="394"/>
      <c r="G778" s="394"/>
      <c r="H778" s="394"/>
      <c r="I778" s="394"/>
      <c r="J778" s="394"/>
      <c r="K778" s="394"/>
      <c r="L778" s="394"/>
      <c r="M778" s="394"/>
      <c r="N778" s="394"/>
      <c r="O778" s="460"/>
      <c r="P778" s="461"/>
    </row>
    <row r="779" spans="1:16">
      <c r="A779" s="459"/>
      <c r="B779" s="394"/>
      <c r="C779" s="394"/>
      <c r="D779" s="394"/>
      <c r="E779" s="394"/>
      <c r="F779" s="394"/>
      <c r="G779" s="394"/>
      <c r="H779" s="394"/>
      <c r="I779" s="394"/>
      <c r="J779" s="394"/>
      <c r="K779" s="394"/>
      <c r="L779" s="394"/>
      <c r="M779" s="394"/>
      <c r="N779" s="394"/>
      <c r="O779" s="460"/>
      <c r="P779" s="461"/>
    </row>
    <row r="780" spans="1:16">
      <c r="A780" s="459"/>
      <c r="B780" s="394"/>
      <c r="C780" s="394"/>
      <c r="D780" s="394"/>
      <c r="E780" s="394"/>
      <c r="F780" s="394"/>
      <c r="G780" s="394"/>
      <c r="H780" s="394"/>
      <c r="I780" s="394"/>
      <c r="J780" s="394"/>
      <c r="K780" s="394"/>
      <c r="L780" s="394"/>
      <c r="M780" s="394"/>
      <c r="N780" s="394"/>
      <c r="O780" s="460"/>
      <c r="P780" s="461"/>
    </row>
    <row r="781" spans="1:16">
      <c r="A781" s="474"/>
      <c r="B781" s="399"/>
      <c r="C781" s="399"/>
      <c r="D781" s="399"/>
      <c r="E781" s="399"/>
      <c r="F781" s="399"/>
      <c r="G781" s="399"/>
      <c r="H781" s="399"/>
      <c r="I781" s="399"/>
      <c r="J781" s="399"/>
      <c r="K781" s="399"/>
      <c r="L781" s="399"/>
      <c r="M781" s="399"/>
      <c r="N781" s="399"/>
      <c r="O781" s="494"/>
      <c r="P781" s="495"/>
    </row>
    <row r="782" spans="1:16">
      <c r="A782" s="474"/>
      <c r="B782" s="399"/>
      <c r="C782" s="399"/>
      <c r="D782" s="399"/>
      <c r="E782" s="399"/>
      <c r="F782" s="399"/>
      <c r="G782" s="399"/>
      <c r="H782" s="399"/>
      <c r="I782" s="399"/>
      <c r="J782" s="399"/>
      <c r="K782" s="399"/>
      <c r="L782" s="399"/>
      <c r="M782" s="399"/>
      <c r="N782" s="399"/>
      <c r="O782" s="494"/>
      <c r="P782" s="495"/>
    </row>
    <row r="783" spans="1:16">
      <c r="A783" s="474"/>
      <c r="B783" s="399"/>
      <c r="C783" s="399"/>
      <c r="D783" s="399"/>
      <c r="E783" s="399"/>
      <c r="F783" s="399"/>
      <c r="G783" s="399"/>
      <c r="H783" s="399"/>
      <c r="I783" s="399"/>
      <c r="J783" s="399"/>
      <c r="K783" s="399"/>
      <c r="L783" s="399"/>
      <c r="M783" s="399"/>
      <c r="N783" s="399"/>
      <c r="O783" s="494"/>
      <c r="P783" s="495"/>
    </row>
    <row r="784" spans="1:16">
      <c r="A784" s="463"/>
      <c r="B784" s="462"/>
      <c r="C784" s="462"/>
      <c r="D784" s="462"/>
      <c r="E784" s="462"/>
      <c r="F784" s="462"/>
      <c r="G784" s="462"/>
      <c r="H784" s="462"/>
      <c r="I784" s="462"/>
      <c r="J784" s="462"/>
      <c r="K784" s="462"/>
      <c r="L784" s="462"/>
      <c r="M784" s="462"/>
      <c r="N784" s="462"/>
      <c r="O784" s="371"/>
      <c r="P784" s="464"/>
    </row>
    <row r="785" spans="1:16">
      <c r="A785" s="463"/>
      <c r="B785" s="462"/>
      <c r="C785" s="462"/>
      <c r="D785" s="462"/>
      <c r="E785" s="462"/>
      <c r="F785" s="462"/>
      <c r="G785" s="462"/>
      <c r="H785" s="462"/>
      <c r="I785" s="462"/>
      <c r="J785" s="462"/>
      <c r="K785" s="462"/>
      <c r="L785" s="462"/>
      <c r="M785" s="462"/>
      <c r="N785" s="462"/>
      <c r="O785" s="371"/>
      <c r="P785" s="464"/>
    </row>
    <row r="786" spans="1:16">
      <c r="A786" s="463"/>
      <c r="B786" s="462"/>
      <c r="C786" s="462"/>
      <c r="D786" s="462"/>
      <c r="E786" s="462"/>
      <c r="F786" s="462"/>
      <c r="G786" s="462"/>
      <c r="H786" s="462"/>
      <c r="I786" s="462"/>
      <c r="J786" s="462"/>
      <c r="K786" s="462"/>
      <c r="L786" s="462"/>
      <c r="M786" s="462"/>
      <c r="N786" s="462"/>
      <c r="O786" s="371"/>
      <c r="P786" s="464"/>
    </row>
    <row r="787" spans="1:16" ht="15.75" thickBot="1">
      <c r="A787" s="465"/>
      <c r="B787" s="466"/>
      <c r="C787" s="466"/>
      <c r="D787" s="466"/>
      <c r="E787" s="466"/>
      <c r="F787" s="466"/>
      <c r="G787" s="1029" t="s">
        <v>38</v>
      </c>
      <c r="H787" s="1029"/>
      <c r="I787" s="1029"/>
      <c r="J787" s="1029"/>
      <c r="K787" s="1029"/>
      <c r="L787" s="1029"/>
      <c r="M787" s="1029"/>
      <c r="N787" s="1029"/>
      <c r="O787" s="467"/>
      <c r="P787" s="468"/>
    </row>
    <row r="817" spans="1:16" ht="15.75" thickBot="1"/>
    <row r="818" spans="1:16">
      <c r="A818" s="1030" t="s">
        <v>450</v>
      </c>
      <c r="B818" s="1031"/>
      <c r="C818" s="1031"/>
      <c r="D818" s="1031"/>
      <c r="E818" s="1031"/>
      <c r="F818" s="1031"/>
      <c r="G818" s="1031"/>
      <c r="H818" s="1031"/>
      <c r="I818" s="1031"/>
      <c r="J818" s="1031"/>
      <c r="K818" s="1031"/>
      <c r="L818" s="1031"/>
      <c r="M818" s="1031"/>
      <c r="N818" s="1031"/>
      <c r="O818" s="469"/>
      <c r="P818" s="470"/>
    </row>
    <row r="819" spans="1:16" ht="15.75" thickBot="1">
      <c r="A819" s="1032"/>
      <c r="B819" s="1033"/>
      <c r="C819" s="1033"/>
      <c r="D819" s="1033"/>
      <c r="E819" s="1033"/>
      <c r="F819" s="1033"/>
      <c r="G819" s="1033"/>
      <c r="H819" s="1033"/>
      <c r="I819" s="1033"/>
      <c r="J819" s="1033"/>
      <c r="K819" s="1033"/>
      <c r="L819" s="1033"/>
      <c r="M819" s="1033"/>
      <c r="N819" s="1033"/>
      <c r="O819" s="471"/>
      <c r="P819" s="464"/>
    </row>
    <row r="820" spans="1:16" ht="15.75" thickBot="1">
      <c r="A820" s="1034" t="s">
        <v>451</v>
      </c>
      <c r="B820" s="1035"/>
      <c r="C820" s="1035"/>
      <c r="D820" s="1035"/>
      <c r="E820" s="1035"/>
      <c r="F820" s="1035"/>
      <c r="G820" s="1035"/>
      <c r="H820" s="1035"/>
      <c r="I820" s="1035"/>
      <c r="J820" s="1035"/>
      <c r="K820" s="1035"/>
      <c r="L820" s="1035"/>
      <c r="M820" s="1035"/>
      <c r="N820" s="1035"/>
      <c r="O820" s="471"/>
      <c r="P820" s="464"/>
    </row>
    <row r="821" spans="1:16">
      <c r="A821" s="472" t="s">
        <v>483</v>
      </c>
      <c r="B821" s="405"/>
      <c r="C821" s="405"/>
      <c r="D821" s="406"/>
      <c r="E821" s="1036" t="s">
        <v>484</v>
      </c>
      <c r="F821" s="1037"/>
      <c r="G821" s="1037"/>
      <c r="H821" s="473"/>
      <c r="I821" s="473"/>
      <c r="J821" s="473"/>
      <c r="K821" s="473"/>
      <c r="L821" s="473"/>
      <c r="M821" s="473"/>
      <c r="N821" s="473"/>
      <c r="O821" s="471"/>
      <c r="P821" s="464"/>
    </row>
    <row r="822" spans="1:16">
      <c r="A822" s="474"/>
      <c r="B822" s="399" t="s">
        <v>384</v>
      </c>
      <c r="C822" s="399"/>
      <c r="D822" s="408"/>
      <c r="E822" s="475"/>
      <c r="F822" s="476"/>
      <c r="G822" s="1038" t="str">
        <f>'0422Master'!B28</f>
        <v>Asita Kumar Sahoo</v>
      </c>
      <c r="H822" s="1038"/>
      <c r="I822" s="1038"/>
      <c r="J822" s="476"/>
      <c r="K822" s="476"/>
      <c r="L822" s="476"/>
      <c r="M822" s="476"/>
      <c r="N822" s="476"/>
      <c r="O822" s="471"/>
      <c r="P822" s="464"/>
    </row>
    <row r="823" spans="1:16" ht="15.75" thickBot="1">
      <c r="A823" s="410"/>
      <c r="B823" s="411" t="s">
        <v>385</v>
      </c>
      <c r="C823" s="411"/>
      <c r="D823" s="412"/>
      <c r="E823" s="475"/>
      <c r="F823" s="476"/>
      <c r="G823" s="476"/>
      <c r="H823" s="476"/>
      <c r="I823" s="476"/>
      <c r="J823" s="476"/>
      <c r="K823" s="476"/>
      <c r="L823" s="476"/>
      <c r="M823" s="476"/>
      <c r="N823" s="476"/>
      <c r="O823" s="471"/>
      <c r="P823" s="464"/>
    </row>
    <row r="824" spans="1:16">
      <c r="A824" s="404" t="s">
        <v>485</v>
      </c>
      <c r="B824" s="405"/>
      <c r="C824" s="405"/>
      <c r="D824" s="406"/>
      <c r="E824" s="404" t="s">
        <v>452</v>
      </c>
      <c r="F824" s="405"/>
      <c r="G824" s="477">
        <f>'0422Master'!N28</f>
        <v>44567</v>
      </c>
      <c r="H824" s="405"/>
      <c r="I824" s="405"/>
      <c r="J824" s="405"/>
      <c r="K824" s="405"/>
      <c r="L824" s="405"/>
      <c r="M824" s="405"/>
      <c r="N824" s="405"/>
      <c r="O824" s="471"/>
      <c r="P824" s="464"/>
    </row>
    <row r="825" spans="1:16">
      <c r="A825" s="474"/>
      <c r="B825" s="399"/>
      <c r="C825" s="399" t="s">
        <v>374</v>
      </c>
      <c r="D825" s="408"/>
      <c r="E825" s="407"/>
      <c r="F825" s="399"/>
      <c r="G825" s="399"/>
      <c r="H825" s="399"/>
      <c r="I825" s="399"/>
      <c r="J825" s="399"/>
      <c r="K825" s="399"/>
      <c r="L825" s="399"/>
      <c r="M825" s="399"/>
      <c r="N825" s="399"/>
      <c r="O825" s="471"/>
      <c r="P825" s="464"/>
    </row>
    <row r="826" spans="1:16">
      <c r="A826" s="474"/>
      <c r="B826" s="399"/>
      <c r="C826" s="399"/>
      <c r="D826" s="408"/>
      <c r="E826" s="478"/>
      <c r="F826" s="399"/>
      <c r="G826" s="399"/>
      <c r="H826" s="399"/>
      <c r="I826" s="399"/>
      <c r="J826" s="399"/>
      <c r="K826" s="399"/>
      <c r="L826" s="399"/>
      <c r="M826" s="399"/>
      <c r="N826" s="399"/>
      <c r="O826" s="471"/>
      <c r="P826" s="464"/>
    </row>
    <row r="827" spans="1:16" ht="15.75" thickBot="1">
      <c r="A827" s="479"/>
      <c r="B827" s="402"/>
      <c r="C827" s="402"/>
      <c r="D827" s="480"/>
      <c r="E827" s="410"/>
      <c r="F827" s="411"/>
      <c r="G827" s="411"/>
      <c r="H827" s="411"/>
      <c r="I827" s="411"/>
      <c r="J827" s="411"/>
      <c r="K827" s="411"/>
      <c r="L827" s="411"/>
      <c r="M827" s="411"/>
      <c r="N827" s="411"/>
      <c r="O827" s="481"/>
      <c r="P827" s="468"/>
    </row>
    <row r="828" spans="1:16">
      <c r="A828" s="1039" t="s">
        <v>5</v>
      </c>
      <c r="B828" s="1041" t="s">
        <v>453</v>
      </c>
      <c r="C828" s="1042"/>
      <c r="D828" s="1041" t="s">
        <v>454</v>
      </c>
      <c r="E828" s="1044"/>
      <c r="F828" s="989" t="s">
        <v>455</v>
      </c>
      <c r="G828" s="1043" t="s">
        <v>456</v>
      </c>
      <c r="H828" s="1047"/>
      <c r="I828" s="1048" t="s">
        <v>457</v>
      </c>
      <c r="J828" s="1047"/>
      <c r="K828" s="1049"/>
      <c r="L828" s="1048" t="s">
        <v>458</v>
      </c>
      <c r="M828" s="1047"/>
      <c r="N828" s="1047"/>
      <c r="O828" s="1027" t="s">
        <v>459</v>
      </c>
      <c r="P828" s="1027" t="s">
        <v>40</v>
      </c>
    </row>
    <row r="829" spans="1:16" ht="15.75" thickBot="1">
      <c r="A829" s="1040"/>
      <c r="B829" s="1043"/>
      <c r="C829" s="1044"/>
      <c r="D829" s="1043"/>
      <c r="E829" s="1044"/>
      <c r="F829" s="985"/>
      <c r="G829" s="1043"/>
      <c r="H829" s="1047"/>
      <c r="I829" s="1050"/>
      <c r="J829" s="1051"/>
      <c r="K829" s="1052"/>
      <c r="L829" s="1050"/>
      <c r="M829" s="1051"/>
      <c r="N829" s="1051"/>
      <c r="O829" s="1028"/>
      <c r="P829" s="1028"/>
    </row>
    <row r="830" spans="1:16">
      <c r="A830" s="482">
        <v>1</v>
      </c>
      <c r="B830" s="1045"/>
      <c r="C830" s="1046"/>
      <c r="D830" s="1045"/>
      <c r="E830" s="1046"/>
      <c r="F830" s="414">
        <v>6</v>
      </c>
      <c r="G830" s="1045"/>
      <c r="H830" s="1046"/>
      <c r="I830" s="483">
        <v>9</v>
      </c>
      <c r="J830" s="483"/>
      <c r="K830" s="483"/>
      <c r="L830" s="483">
        <v>9</v>
      </c>
      <c r="M830" s="483"/>
      <c r="N830" s="483"/>
      <c r="O830" s="484" t="s">
        <v>460</v>
      </c>
      <c r="P830" s="485"/>
    </row>
    <row r="831" spans="1:16" ht="51">
      <c r="A831" s="459"/>
      <c r="B831" s="394" t="s">
        <v>461</v>
      </c>
      <c r="C831" s="394" t="s">
        <v>462</v>
      </c>
      <c r="D831" s="394" t="s">
        <v>463</v>
      </c>
      <c r="E831" s="394" t="s">
        <v>134</v>
      </c>
      <c r="F831" s="394"/>
      <c r="G831" s="394" t="s">
        <v>464</v>
      </c>
      <c r="H831" s="394" t="s">
        <v>465</v>
      </c>
      <c r="I831" s="394" t="s">
        <v>466</v>
      </c>
      <c r="J831" s="394" t="s">
        <v>467</v>
      </c>
      <c r="K831" s="394" t="s">
        <v>468</v>
      </c>
      <c r="L831" s="394" t="s">
        <v>469</v>
      </c>
      <c r="M831" s="394" t="s">
        <v>470</v>
      </c>
      <c r="N831" s="486" t="s">
        <v>471</v>
      </c>
      <c r="O831" s="487"/>
      <c r="P831" s="488"/>
    </row>
    <row r="832" spans="1:16">
      <c r="A832" s="459"/>
      <c r="B832" s="489"/>
      <c r="C832" s="394"/>
      <c r="D832" s="394"/>
      <c r="E832" s="394"/>
      <c r="F832" s="394"/>
      <c r="G832" s="394"/>
      <c r="H832" s="394"/>
      <c r="I832" s="394"/>
      <c r="J832" s="394"/>
      <c r="K832" s="394"/>
      <c r="L832" s="394"/>
      <c r="M832" s="394"/>
      <c r="N832" s="394"/>
      <c r="O832" s="460"/>
      <c r="P832" s="461"/>
    </row>
    <row r="833" spans="1:17">
      <c r="A833" s="1370" t="s">
        <v>822</v>
      </c>
      <c r="B833" s="947">
        <v>1.5</v>
      </c>
      <c r="C833" s="460">
        <v>0</v>
      </c>
      <c r="D833" s="460">
        <v>0</v>
      </c>
      <c r="E833" s="460">
        <v>0</v>
      </c>
      <c r="F833" s="460">
        <f t="shared" ref="F833" si="1">F832+B833-C833</f>
        <v>1.5</v>
      </c>
      <c r="G833" s="460"/>
      <c r="H833" s="460"/>
      <c r="I833" s="460" t="s">
        <v>493</v>
      </c>
      <c r="J833" s="460" t="s">
        <v>493</v>
      </c>
      <c r="K833" s="460" t="s">
        <v>493</v>
      </c>
      <c r="L833" s="394"/>
      <c r="M833" s="394"/>
      <c r="N833" s="394"/>
      <c r="O833" s="460"/>
      <c r="P833" s="461"/>
    </row>
    <row r="834" spans="1:17">
      <c r="A834" s="1367" t="s">
        <v>871</v>
      </c>
      <c r="B834" s="947">
        <v>1.5</v>
      </c>
      <c r="C834" s="947">
        <v>0</v>
      </c>
      <c r="D834" s="947">
        <v>0</v>
      </c>
      <c r="E834" s="947">
        <v>0</v>
      </c>
      <c r="F834" s="947">
        <f>F833+B834-C834</f>
        <v>3</v>
      </c>
      <c r="G834" s="947"/>
      <c r="H834" s="947"/>
      <c r="I834" s="947" t="s">
        <v>493</v>
      </c>
      <c r="J834" s="947" t="s">
        <v>493</v>
      </c>
      <c r="K834" s="947" t="s">
        <v>493</v>
      </c>
      <c r="L834" s="394"/>
      <c r="M834" s="394"/>
      <c r="N834" s="394"/>
      <c r="O834" s="460"/>
      <c r="P834" s="461"/>
    </row>
    <row r="835" spans="1:17">
      <c r="A835" s="1368" t="s">
        <v>894</v>
      </c>
      <c r="B835" s="947">
        <v>1.5</v>
      </c>
      <c r="C835" s="947">
        <v>0</v>
      </c>
      <c r="D835" s="947">
        <v>0</v>
      </c>
      <c r="E835" s="947">
        <v>0</v>
      </c>
      <c r="F835" s="947">
        <f>F834+B835-C835</f>
        <v>4.5</v>
      </c>
      <c r="G835" s="947"/>
      <c r="H835" s="947"/>
      <c r="I835" s="947" t="s">
        <v>493</v>
      </c>
      <c r="J835" s="947" t="s">
        <v>493</v>
      </c>
      <c r="K835" s="947" t="s">
        <v>493</v>
      </c>
      <c r="L835" s="553"/>
      <c r="M835" s="553"/>
      <c r="N835" s="553"/>
      <c r="O835" s="460"/>
      <c r="P835" s="461"/>
    </row>
    <row r="836" spans="1:17">
      <c r="A836" s="1370" t="s">
        <v>901</v>
      </c>
      <c r="B836" s="947">
        <v>1.5</v>
      </c>
      <c r="C836" s="947">
        <v>0</v>
      </c>
      <c r="D836" s="947">
        <v>0</v>
      </c>
      <c r="E836" s="947">
        <v>0</v>
      </c>
      <c r="F836" s="947">
        <f>F835+B836-C836</f>
        <v>6</v>
      </c>
      <c r="G836" s="947"/>
      <c r="H836" s="947"/>
      <c r="I836" s="947" t="s">
        <v>493</v>
      </c>
      <c r="J836" s="947" t="s">
        <v>493</v>
      </c>
      <c r="K836" s="947" t="s">
        <v>493</v>
      </c>
      <c r="L836" s="394"/>
      <c r="M836" s="394"/>
      <c r="N836" s="394"/>
      <c r="O836" s="460"/>
      <c r="P836" s="461"/>
      <c r="Q836" s="8">
        <v>13</v>
      </c>
    </row>
    <row r="837" spans="1:17">
      <c r="A837" s="492"/>
      <c r="B837" s="394"/>
      <c r="C837" s="394"/>
      <c r="D837" s="394"/>
      <c r="E837" s="394"/>
      <c r="F837" s="394"/>
      <c r="G837" s="394"/>
      <c r="H837" s="394"/>
      <c r="I837" s="394"/>
      <c r="J837" s="394"/>
      <c r="K837" s="394"/>
      <c r="L837" s="394"/>
      <c r="M837" s="394"/>
      <c r="N837" s="394"/>
      <c r="O837" s="460"/>
      <c r="P837" s="461"/>
    </row>
    <row r="838" spans="1:17">
      <c r="A838" s="492"/>
      <c r="B838" s="394"/>
      <c r="C838" s="394"/>
      <c r="D838" s="394"/>
      <c r="E838" s="394"/>
      <c r="F838" s="394"/>
      <c r="G838" s="394"/>
      <c r="H838" s="394"/>
      <c r="I838" s="394"/>
      <c r="J838" s="394"/>
      <c r="K838" s="394"/>
      <c r="L838" s="394"/>
      <c r="M838" s="394"/>
      <c r="N838" s="394"/>
      <c r="O838" s="460"/>
      <c r="P838" s="461"/>
    </row>
    <row r="839" spans="1:17">
      <c r="A839" s="492"/>
      <c r="B839" s="394"/>
      <c r="C839" s="394"/>
      <c r="D839" s="394"/>
      <c r="E839" s="394"/>
      <c r="F839" s="394"/>
      <c r="G839" s="394"/>
      <c r="H839" s="394"/>
      <c r="I839" s="394"/>
      <c r="J839" s="394"/>
      <c r="K839" s="394"/>
      <c r="L839" s="394"/>
      <c r="M839" s="394"/>
      <c r="N839" s="394"/>
      <c r="O839" s="460"/>
      <c r="P839" s="461"/>
    </row>
    <row r="840" spans="1:17">
      <c r="A840" s="492"/>
      <c r="B840" s="394"/>
      <c r="C840" s="394"/>
      <c r="D840" s="394"/>
      <c r="E840" s="394"/>
      <c r="F840" s="394"/>
      <c r="G840" s="394"/>
      <c r="H840" s="394"/>
      <c r="I840" s="394"/>
      <c r="J840" s="394"/>
      <c r="K840" s="394"/>
      <c r="L840" s="394"/>
      <c r="M840" s="394"/>
      <c r="N840" s="394"/>
      <c r="O840" s="460"/>
      <c r="P840" s="461"/>
    </row>
    <row r="841" spans="1:17">
      <c r="A841" s="492"/>
      <c r="B841" s="394"/>
      <c r="C841" s="394"/>
      <c r="D841" s="394"/>
      <c r="E841" s="394"/>
      <c r="F841" s="394"/>
      <c r="G841" s="394"/>
      <c r="H841" s="394"/>
      <c r="I841" s="394"/>
      <c r="J841" s="394"/>
      <c r="K841" s="394"/>
      <c r="L841" s="394"/>
      <c r="M841" s="394"/>
      <c r="N841" s="394"/>
      <c r="O841" s="460"/>
      <c r="P841" s="461"/>
    </row>
    <row r="842" spans="1:17">
      <c r="A842" s="492"/>
      <c r="B842" s="394"/>
      <c r="C842" s="394"/>
      <c r="D842" s="491"/>
      <c r="E842" s="491"/>
      <c r="F842" s="394"/>
      <c r="G842" s="394"/>
      <c r="H842" s="394"/>
      <c r="I842" s="394"/>
      <c r="J842" s="394"/>
      <c r="K842" s="394"/>
      <c r="L842" s="394"/>
      <c r="M842" s="394"/>
      <c r="N842" s="394"/>
      <c r="O842" s="460"/>
      <c r="P842" s="461"/>
    </row>
    <row r="843" spans="1:17">
      <c r="A843" s="492"/>
      <c r="B843" s="394"/>
      <c r="C843" s="394"/>
      <c r="D843" s="491"/>
      <c r="E843" s="491"/>
      <c r="F843" s="394"/>
      <c r="G843" s="394"/>
      <c r="H843" s="394"/>
      <c r="I843" s="394"/>
      <c r="J843" s="394"/>
      <c r="K843" s="394"/>
      <c r="L843" s="394"/>
      <c r="M843" s="394"/>
      <c r="N843" s="394"/>
      <c r="O843" s="460"/>
      <c r="P843" s="461"/>
    </row>
    <row r="844" spans="1:17">
      <c r="A844" s="492"/>
      <c r="B844" s="394"/>
      <c r="C844" s="394"/>
      <c r="D844" s="491"/>
      <c r="E844" s="491"/>
      <c r="F844" s="394"/>
      <c r="G844" s="394"/>
      <c r="H844" s="394"/>
      <c r="I844" s="394"/>
      <c r="J844" s="394"/>
      <c r="K844" s="394"/>
      <c r="L844" s="394"/>
      <c r="M844" s="394"/>
      <c r="N844" s="394"/>
      <c r="O844" s="460"/>
      <c r="P844" s="461"/>
    </row>
    <row r="845" spans="1:17">
      <c r="A845" s="492"/>
      <c r="B845" s="394"/>
      <c r="C845" s="394"/>
      <c r="D845" s="491"/>
      <c r="E845" s="491"/>
      <c r="F845" s="394"/>
      <c r="G845" s="394"/>
      <c r="H845" s="394"/>
      <c r="I845" s="394"/>
      <c r="J845" s="394"/>
      <c r="K845" s="394"/>
      <c r="L845" s="394"/>
      <c r="M845" s="394"/>
      <c r="N845" s="394"/>
      <c r="O845" s="460"/>
      <c r="P845" s="461"/>
    </row>
    <row r="846" spans="1:17">
      <c r="A846" s="492"/>
      <c r="B846" s="394"/>
      <c r="C846" s="394"/>
      <c r="D846" s="491"/>
      <c r="E846" s="491"/>
      <c r="F846" s="394"/>
      <c r="G846" s="394"/>
      <c r="H846" s="394"/>
      <c r="I846" s="394"/>
      <c r="J846" s="394"/>
      <c r="K846" s="394"/>
      <c r="L846" s="394"/>
      <c r="M846" s="394"/>
      <c r="N846" s="394"/>
      <c r="O846" s="460"/>
      <c r="P846" s="461"/>
    </row>
    <row r="847" spans="1:17">
      <c r="A847" s="492"/>
      <c r="B847" s="394"/>
      <c r="C847" s="394"/>
      <c r="D847" s="491"/>
      <c r="E847" s="491"/>
      <c r="F847" s="394"/>
      <c r="G847" s="394"/>
      <c r="H847" s="394"/>
      <c r="I847" s="394"/>
      <c r="J847" s="394"/>
      <c r="K847" s="394"/>
      <c r="L847" s="394"/>
      <c r="M847" s="394"/>
      <c r="N847" s="394"/>
      <c r="O847" s="460"/>
      <c r="P847" s="461"/>
    </row>
    <row r="848" spans="1:17">
      <c r="A848" s="459"/>
      <c r="B848" s="394"/>
      <c r="C848" s="394"/>
      <c r="D848" s="394"/>
      <c r="E848" s="394"/>
      <c r="F848" s="394"/>
      <c r="G848" s="394"/>
      <c r="H848" s="394"/>
      <c r="I848" s="394"/>
      <c r="J848" s="394"/>
      <c r="K848" s="394"/>
      <c r="L848" s="394"/>
      <c r="M848" s="394"/>
      <c r="N848" s="394"/>
      <c r="O848" s="460"/>
      <c r="P848" s="461"/>
    </row>
    <row r="849" spans="1:16">
      <c r="A849" s="459"/>
      <c r="B849" s="394"/>
      <c r="C849" s="394"/>
      <c r="D849" s="394"/>
      <c r="E849" s="394"/>
      <c r="F849" s="394"/>
      <c r="G849" s="394"/>
      <c r="H849" s="394"/>
      <c r="I849" s="394"/>
      <c r="J849" s="394"/>
      <c r="K849" s="394"/>
      <c r="L849" s="394"/>
      <c r="M849" s="394"/>
      <c r="N849" s="394"/>
      <c r="O849" s="460"/>
      <c r="P849" s="461"/>
    </row>
    <row r="850" spans="1:16">
      <c r="A850" s="459"/>
      <c r="B850" s="394"/>
      <c r="C850" s="394"/>
      <c r="D850" s="394"/>
      <c r="E850" s="394"/>
      <c r="F850" s="394"/>
      <c r="G850" s="394"/>
      <c r="H850" s="394"/>
      <c r="I850" s="394"/>
      <c r="J850" s="394"/>
      <c r="K850" s="394"/>
      <c r="L850" s="394"/>
      <c r="M850" s="394"/>
      <c r="N850" s="394"/>
      <c r="O850" s="460"/>
      <c r="P850" s="461"/>
    </row>
    <row r="851" spans="1:16">
      <c r="A851" s="459"/>
      <c r="B851" s="394"/>
      <c r="C851" s="394"/>
      <c r="D851" s="394"/>
      <c r="E851" s="394"/>
      <c r="F851" s="394"/>
      <c r="G851" s="394"/>
      <c r="H851" s="394"/>
      <c r="I851" s="394"/>
      <c r="J851" s="394"/>
      <c r="K851" s="394"/>
      <c r="L851" s="394"/>
      <c r="M851" s="394"/>
      <c r="N851" s="394"/>
      <c r="O851" s="460"/>
      <c r="P851" s="461"/>
    </row>
    <row r="852" spans="1:16">
      <c r="A852" s="459"/>
      <c r="B852" s="394"/>
      <c r="C852" s="394"/>
      <c r="D852" s="394"/>
      <c r="E852" s="394"/>
      <c r="F852" s="394"/>
      <c r="G852" s="394"/>
      <c r="H852" s="394"/>
      <c r="I852" s="394"/>
      <c r="J852" s="394"/>
      <c r="K852" s="394"/>
      <c r="L852" s="394"/>
      <c r="M852" s="394"/>
      <c r="N852" s="394"/>
      <c r="O852" s="460"/>
      <c r="P852" s="461"/>
    </row>
    <row r="853" spans="1:16">
      <c r="A853" s="474"/>
      <c r="B853" s="399"/>
      <c r="C853" s="399"/>
      <c r="D853" s="399"/>
      <c r="E853" s="399"/>
      <c r="F853" s="399"/>
      <c r="G853" s="399"/>
      <c r="H853" s="399"/>
      <c r="I853" s="399"/>
      <c r="J853" s="399"/>
      <c r="K853" s="399"/>
      <c r="L853" s="399"/>
      <c r="M853" s="399"/>
      <c r="N853" s="399"/>
      <c r="O853" s="494"/>
      <c r="P853" s="495"/>
    </row>
    <row r="854" spans="1:16">
      <c r="A854" s="474"/>
      <c r="B854" s="399"/>
      <c r="C854" s="399"/>
      <c r="D854" s="399"/>
      <c r="E854" s="399"/>
      <c r="F854" s="399"/>
      <c r="G854" s="399"/>
      <c r="H854" s="399"/>
      <c r="I854" s="399"/>
      <c r="J854" s="399"/>
      <c r="K854" s="399"/>
      <c r="L854" s="399"/>
      <c r="M854" s="399"/>
      <c r="N854" s="399"/>
      <c r="O854" s="494"/>
      <c r="P854" s="495"/>
    </row>
    <row r="855" spans="1:16">
      <c r="A855" s="474"/>
      <c r="B855" s="399"/>
      <c r="C855" s="399"/>
      <c r="D855" s="399"/>
      <c r="E855" s="399"/>
      <c r="F855" s="399"/>
      <c r="G855" s="399"/>
      <c r="H855" s="399"/>
      <c r="I855" s="399"/>
      <c r="J855" s="399"/>
      <c r="K855" s="399"/>
      <c r="L855" s="399"/>
      <c r="M855" s="399"/>
      <c r="N855" s="399"/>
      <c r="O855" s="494"/>
      <c r="P855" s="495"/>
    </row>
    <row r="856" spans="1:16">
      <c r="A856" s="463"/>
      <c r="B856" s="462"/>
      <c r="C856" s="462"/>
      <c r="D856" s="462"/>
      <c r="E856" s="462"/>
      <c r="F856" s="462"/>
      <c r="G856" s="462"/>
      <c r="H856" s="462"/>
      <c r="I856" s="462"/>
      <c r="J856" s="462"/>
      <c r="K856" s="462"/>
      <c r="L856" s="462"/>
      <c r="M856" s="462"/>
      <c r="N856" s="462"/>
      <c r="O856" s="371"/>
      <c r="P856" s="464"/>
    </row>
    <row r="857" spans="1:16">
      <c r="A857" s="463"/>
      <c r="B857" s="462"/>
      <c r="C857" s="462"/>
      <c r="D857" s="462"/>
      <c r="E857" s="462"/>
      <c r="F857" s="462"/>
      <c r="G857" s="462"/>
      <c r="H857" s="462"/>
      <c r="I857" s="462"/>
      <c r="J857" s="462"/>
      <c r="K857" s="462"/>
      <c r="L857" s="462"/>
      <c r="M857" s="462"/>
      <c r="N857" s="462"/>
      <c r="O857" s="371"/>
      <c r="P857" s="464"/>
    </row>
    <row r="858" spans="1:16">
      <c r="A858" s="463"/>
      <c r="B858" s="462"/>
      <c r="C858" s="462"/>
      <c r="D858" s="462"/>
      <c r="E858" s="462"/>
      <c r="F858" s="462"/>
      <c r="G858" s="462"/>
      <c r="H858" s="462"/>
      <c r="I858" s="462"/>
      <c r="J858" s="462"/>
      <c r="K858" s="462"/>
      <c r="L858" s="462"/>
      <c r="M858" s="462"/>
      <c r="N858" s="462"/>
      <c r="O858" s="371"/>
      <c r="P858" s="464"/>
    </row>
    <row r="859" spans="1:16" ht="15.75" thickBot="1">
      <c r="A859" s="465"/>
      <c r="B859" s="466"/>
      <c r="C859" s="466"/>
      <c r="D859" s="466"/>
      <c r="E859" s="466"/>
      <c r="F859" s="466"/>
      <c r="G859" s="1029" t="s">
        <v>38</v>
      </c>
      <c r="H859" s="1029"/>
      <c r="I859" s="1029"/>
      <c r="J859" s="1029"/>
      <c r="K859" s="1029"/>
      <c r="L859" s="1029"/>
      <c r="M859" s="1029"/>
      <c r="N859" s="1029"/>
      <c r="O859" s="467"/>
      <c r="P859" s="468"/>
    </row>
    <row r="893" spans="1:16" ht="15.75" thickBot="1">
      <c r="O893" s="471"/>
    </row>
    <row r="894" spans="1:16">
      <c r="A894" s="1030" t="s">
        <v>450</v>
      </c>
      <c r="B894" s="1031"/>
      <c r="C894" s="1031"/>
      <c r="D894" s="1031"/>
      <c r="E894" s="1031"/>
      <c r="F894" s="1031"/>
      <c r="G894" s="1031"/>
      <c r="H894" s="1031"/>
      <c r="I894" s="1031"/>
      <c r="J894" s="1031"/>
      <c r="K894" s="1031"/>
      <c r="L894" s="1031"/>
      <c r="M894" s="1031"/>
      <c r="N894" s="1031"/>
      <c r="O894" s="469"/>
      <c r="P894" s="470"/>
    </row>
    <row r="895" spans="1:16" ht="15.75" thickBot="1">
      <c r="A895" s="1032"/>
      <c r="B895" s="1033"/>
      <c r="C895" s="1033"/>
      <c r="D895" s="1033"/>
      <c r="E895" s="1033"/>
      <c r="F895" s="1033"/>
      <c r="G895" s="1033"/>
      <c r="H895" s="1033"/>
      <c r="I895" s="1033"/>
      <c r="J895" s="1033"/>
      <c r="K895" s="1033"/>
      <c r="L895" s="1033"/>
      <c r="M895" s="1033"/>
      <c r="N895" s="1033"/>
      <c r="O895" s="471"/>
      <c r="P895" s="464"/>
    </row>
    <row r="896" spans="1:16" ht="15.75" thickBot="1">
      <c r="A896" s="1034" t="s">
        <v>451</v>
      </c>
      <c r="B896" s="1035"/>
      <c r="C896" s="1035"/>
      <c r="D896" s="1035"/>
      <c r="E896" s="1035"/>
      <c r="F896" s="1035"/>
      <c r="G896" s="1035"/>
      <c r="H896" s="1035"/>
      <c r="I896" s="1035"/>
      <c r="J896" s="1035"/>
      <c r="K896" s="1035"/>
      <c r="L896" s="1035"/>
      <c r="M896" s="1035"/>
      <c r="N896" s="1035"/>
      <c r="O896" s="471"/>
      <c r="P896" s="464"/>
    </row>
    <row r="897" spans="1:17">
      <c r="A897" s="472" t="s">
        <v>483</v>
      </c>
      <c r="B897" s="405"/>
      <c r="C897" s="405"/>
      <c r="D897" s="406"/>
      <c r="E897" s="1036" t="s">
        <v>484</v>
      </c>
      <c r="F897" s="1037"/>
      <c r="G897" s="1037"/>
      <c r="H897" s="473"/>
      <c r="I897" s="473"/>
      <c r="J897" s="473"/>
      <c r="K897" s="473"/>
      <c r="L897" s="473"/>
      <c r="M897" s="473"/>
      <c r="N897" s="473"/>
      <c r="O897" s="471"/>
      <c r="P897" s="464"/>
    </row>
    <row r="898" spans="1:17">
      <c r="A898" s="474"/>
      <c r="B898" s="399" t="s">
        <v>384</v>
      </c>
      <c r="C898" s="399"/>
      <c r="D898" s="408"/>
      <c r="E898" s="475"/>
      <c r="F898" s="476"/>
      <c r="G898" s="1038" t="str">
        <f>'0422Master'!B29</f>
        <v>Arun Arra</v>
      </c>
      <c r="H898" s="1038"/>
      <c r="I898" s="1038"/>
      <c r="J898" s="476"/>
      <c r="K898" s="476"/>
      <c r="L898" s="476"/>
      <c r="M898" s="476"/>
      <c r="N898" s="476"/>
      <c r="P898" s="464"/>
    </row>
    <row r="899" spans="1:17" ht="15.75" thickBot="1">
      <c r="A899" s="410"/>
      <c r="B899" s="411" t="s">
        <v>385</v>
      </c>
      <c r="C899" s="411"/>
      <c r="D899" s="412"/>
      <c r="E899" s="475"/>
      <c r="F899" s="476"/>
      <c r="G899" s="476"/>
      <c r="H899" s="476"/>
      <c r="I899" s="476"/>
      <c r="J899" s="476"/>
      <c r="K899" s="476"/>
      <c r="L899" s="476"/>
      <c r="M899" s="476"/>
      <c r="N899" s="476"/>
      <c r="O899" s="471"/>
      <c r="P899" s="464"/>
    </row>
    <row r="900" spans="1:17">
      <c r="A900" s="404" t="s">
        <v>485</v>
      </c>
      <c r="B900" s="405"/>
      <c r="C900" s="405"/>
      <c r="D900" s="406"/>
      <c r="E900" s="404" t="s">
        <v>452</v>
      </c>
      <c r="F900" s="405"/>
      <c r="G900" s="477">
        <f>'0422Master'!N29</f>
        <v>44602</v>
      </c>
      <c r="H900" s="405"/>
      <c r="I900" s="405"/>
      <c r="J900" s="405"/>
      <c r="K900" s="405"/>
      <c r="L900" s="405"/>
      <c r="M900" s="405"/>
      <c r="N900" s="405"/>
      <c r="O900" s="471"/>
      <c r="P900" s="464"/>
    </row>
    <row r="901" spans="1:17">
      <c r="A901" s="474"/>
      <c r="B901" s="399"/>
      <c r="C901" s="399" t="s">
        <v>374</v>
      </c>
      <c r="D901" s="408"/>
      <c r="E901" s="407"/>
      <c r="F901" s="399"/>
      <c r="G901" s="399"/>
      <c r="H901" s="399"/>
      <c r="I901" s="399"/>
      <c r="J901" s="399"/>
      <c r="K901" s="399"/>
      <c r="L901" s="399"/>
      <c r="M901" s="399"/>
      <c r="N901" s="399"/>
      <c r="O901" s="471"/>
      <c r="P901" s="464"/>
    </row>
    <row r="902" spans="1:17">
      <c r="A902" s="474"/>
      <c r="B902" s="399"/>
      <c r="C902" s="399"/>
      <c r="D902" s="408"/>
      <c r="E902" s="478"/>
      <c r="F902" s="399"/>
      <c r="G902" s="399"/>
      <c r="H902" s="399"/>
      <c r="I902" s="399"/>
      <c r="J902" s="399"/>
      <c r="K902" s="399"/>
      <c r="L902" s="399"/>
      <c r="M902" s="399"/>
      <c r="N902" s="399"/>
      <c r="O902" s="471"/>
      <c r="P902" s="464"/>
    </row>
    <row r="903" spans="1:17" ht="15.75" thickBot="1">
      <c r="A903" s="479"/>
      <c r="B903" s="402"/>
      <c r="C903" s="402"/>
      <c r="D903" s="480"/>
      <c r="E903" s="410"/>
      <c r="F903" s="411"/>
      <c r="G903" s="411"/>
      <c r="H903" s="411"/>
      <c r="I903" s="411"/>
      <c r="J903" s="411"/>
      <c r="K903" s="411"/>
      <c r="L903" s="411"/>
      <c r="M903" s="411"/>
      <c r="N903" s="411"/>
      <c r="O903" s="481"/>
      <c r="P903" s="468"/>
    </row>
    <row r="904" spans="1:17">
      <c r="A904" s="1039" t="s">
        <v>5</v>
      </c>
      <c r="B904" s="1041" t="s">
        <v>453</v>
      </c>
      <c r="C904" s="1042"/>
      <c r="D904" s="1041" t="s">
        <v>454</v>
      </c>
      <c r="E904" s="1044"/>
      <c r="F904" s="989" t="s">
        <v>455</v>
      </c>
      <c r="G904" s="1043" t="s">
        <v>456</v>
      </c>
      <c r="H904" s="1047"/>
      <c r="I904" s="1048" t="s">
        <v>457</v>
      </c>
      <c r="J904" s="1047"/>
      <c r="K904" s="1049"/>
      <c r="L904" s="1048" t="s">
        <v>458</v>
      </c>
      <c r="M904" s="1047"/>
      <c r="N904" s="1047"/>
      <c r="O904" s="1027" t="s">
        <v>459</v>
      </c>
      <c r="P904" s="1027" t="s">
        <v>40</v>
      </c>
    </row>
    <row r="905" spans="1:17" ht="15.75" thickBot="1">
      <c r="A905" s="1040"/>
      <c r="B905" s="1043"/>
      <c r="C905" s="1044"/>
      <c r="D905" s="1043"/>
      <c r="E905" s="1044"/>
      <c r="F905" s="985"/>
      <c r="G905" s="1043"/>
      <c r="H905" s="1047"/>
      <c r="I905" s="1050"/>
      <c r="J905" s="1051"/>
      <c r="K905" s="1052"/>
      <c r="L905" s="1050"/>
      <c r="M905" s="1051"/>
      <c r="N905" s="1051"/>
      <c r="O905" s="1028"/>
      <c r="P905" s="1028"/>
    </row>
    <row r="906" spans="1:17">
      <c r="A906" s="482">
        <v>1</v>
      </c>
      <c r="B906" s="1045"/>
      <c r="C906" s="1046"/>
      <c r="D906" s="1045"/>
      <c r="E906" s="1046"/>
      <c r="F906" s="414">
        <v>6</v>
      </c>
      <c r="G906" s="1045"/>
      <c r="H906" s="1046"/>
      <c r="I906" s="483">
        <v>9</v>
      </c>
      <c r="J906" s="483"/>
      <c r="K906" s="483"/>
      <c r="L906" s="483">
        <v>9</v>
      </c>
      <c r="M906" s="483"/>
      <c r="N906" s="483"/>
      <c r="O906" s="484" t="s">
        <v>460</v>
      </c>
      <c r="P906" s="485"/>
    </row>
    <row r="907" spans="1:17" ht="51">
      <c r="A907" s="459"/>
      <c r="B907" s="394" t="s">
        <v>461</v>
      </c>
      <c r="C907" s="394" t="s">
        <v>462</v>
      </c>
      <c r="D907" s="394" t="s">
        <v>463</v>
      </c>
      <c r="E907" s="394" t="s">
        <v>134</v>
      </c>
      <c r="F907" s="394"/>
      <c r="G907" s="394" t="s">
        <v>464</v>
      </c>
      <c r="H907" s="394" t="s">
        <v>465</v>
      </c>
      <c r="I907" s="394" t="s">
        <v>466</v>
      </c>
      <c r="J907" s="394" t="s">
        <v>467</v>
      </c>
      <c r="K907" s="394" t="s">
        <v>468</v>
      </c>
      <c r="L907" s="394" t="s">
        <v>469</v>
      </c>
      <c r="M907" s="394" t="s">
        <v>470</v>
      </c>
      <c r="N907" s="486" t="s">
        <v>471</v>
      </c>
      <c r="O907" s="487"/>
      <c r="P907" s="488"/>
    </row>
    <row r="908" spans="1:17">
      <c r="A908" s="459"/>
      <c r="B908" s="489"/>
      <c r="C908" s="394"/>
      <c r="D908" s="394"/>
      <c r="E908" s="394"/>
      <c r="F908" s="394"/>
      <c r="G908" s="394"/>
      <c r="H908" s="394"/>
      <c r="I908" s="394"/>
      <c r="J908" s="394"/>
      <c r="K908" s="394"/>
      <c r="L908" s="394"/>
      <c r="M908" s="394"/>
      <c r="N908" s="394"/>
      <c r="O908" s="460"/>
      <c r="P908" s="461"/>
    </row>
    <row r="909" spans="1:17">
      <c r="A909" s="1367" t="s">
        <v>871</v>
      </c>
      <c r="B909" s="947">
        <v>1.5</v>
      </c>
      <c r="C909" s="947">
        <v>0</v>
      </c>
      <c r="D909" s="947">
        <v>0</v>
      </c>
      <c r="E909" s="947">
        <v>0</v>
      </c>
      <c r="F909" s="947">
        <f>F908+B909-C909</f>
        <v>1.5</v>
      </c>
      <c r="G909" s="947"/>
      <c r="H909" s="947"/>
      <c r="I909" s="394" t="s">
        <v>493</v>
      </c>
      <c r="J909" s="394" t="s">
        <v>493</v>
      </c>
      <c r="K909" s="394" t="s">
        <v>493</v>
      </c>
      <c r="L909" s="394"/>
      <c r="M909" s="394"/>
      <c r="N909" s="394"/>
      <c r="O909" s="460"/>
      <c r="P909" s="461"/>
    </row>
    <row r="910" spans="1:17">
      <c r="A910" s="1368" t="s">
        <v>894</v>
      </c>
      <c r="B910" s="947">
        <v>1.5</v>
      </c>
      <c r="C910" s="947">
        <v>0</v>
      </c>
      <c r="D910" s="947">
        <v>0</v>
      </c>
      <c r="E910" s="947">
        <v>0</v>
      </c>
      <c r="F910" s="947">
        <f>F909+B910-C910</f>
        <v>3</v>
      </c>
      <c r="G910" s="947"/>
      <c r="H910" s="947"/>
      <c r="I910" s="394" t="s">
        <v>493</v>
      </c>
      <c r="J910" s="394" t="s">
        <v>493</v>
      </c>
      <c r="K910" s="394" t="s">
        <v>493</v>
      </c>
      <c r="L910" s="553"/>
      <c r="M910" s="553"/>
      <c r="N910" s="553"/>
      <c r="O910" s="460"/>
      <c r="P910" s="461"/>
    </row>
    <row r="911" spans="1:17">
      <c r="A911" s="1370" t="s">
        <v>901</v>
      </c>
      <c r="B911" s="947">
        <v>1.5</v>
      </c>
      <c r="C911" s="947">
        <v>0</v>
      </c>
      <c r="D911" s="947">
        <v>0</v>
      </c>
      <c r="E911" s="947">
        <v>0</v>
      </c>
      <c r="F911" s="947">
        <f>F910+B911-C911</f>
        <v>4.5</v>
      </c>
      <c r="G911" s="947"/>
      <c r="H911" s="947"/>
      <c r="I911" s="394" t="s">
        <v>493</v>
      </c>
      <c r="J911" s="394" t="s">
        <v>493</v>
      </c>
      <c r="K911" s="394" t="s">
        <v>493</v>
      </c>
      <c r="L911" s="394"/>
      <c r="M911" s="394"/>
      <c r="N911" s="394"/>
      <c r="O911" s="460"/>
      <c r="P911" s="461"/>
      <c r="Q911" s="8">
        <v>14</v>
      </c>
    </row>
    <row r="912" spans="1:17">
      <c r="A912" s="490"/>
      <c r="B912" s="394"/>
      <c r="C912" s="394"/>
      <c r="D912" s="726"/>
      <c r="E912" s="726"/>
      <c r="F912" s="394"/>
      <c r="G912" s="394"/>
      <c r="H912" s="394"/>
      <c r="I912" s="394"/>
      <c r="J912" s="394"/>
      <c r="K912" s="394"/>
      <c r="L912" s="394"/>
      <c r="M912" s="394"/>
      <c r="N912" s="394"/>
      <c r="O912" s="460"/>
      <c r="P912" s="461"/>
    </row>
    <row r="913" spans="1:16">
      <c r="A913" s="492"/>
      <c r="B913" s="394"/>
      <c r="C913" s="394"/>
      <c r="D913" s="394"/>
      <c r="E913" s="394"/>
      <c r="F913" s="394"/>
      <c r="G913" s="394"/>
      <c r="H913" s="394"/>
      <c r="I913" s="394"/>
      <c r="J913" s="394"/>
      <c r="K913" s="394"/>
      <c r="L913" s="394"/>
      <c r="M913" s="394"/>
      <c r="N913" s="394"/>
      <c r="O913" s="460"/>
      <c r="P913" s="461"/>
    </row>
    <row r="914" spans="1:16">
      <c r="A914" s="492"/>
      <c r="B914" s="394"/>
      <c r="C914" s="394"/>
      <c r="D914" s="394"/>
      <c r="E914" s="394"/>
      <c r="F914" s="394"/>
      <c r="G914" s="394"/>
      <c r="H914" s="394"/>
      <c r="I914" s="394"/>
      <c r="J914" s="394"/>
      <c r="K914" s="394"/>
      <c r="L914" s="394"/>
      <c r="M914" s="394"/>
      <c r="N914" s="394"/>
      <c r="O914" s="460"/>
      <c r="P914" s="461"/>
    </row>
    <row r="915" spans="1:16">
      <c r="A915" s="492"/>
      <c r="B915" s="394"/>
      <c r="C915" s="394"/>
      <c r="D915" s="394"/>
      <c r="E915" s="394"/>
      <c r="F915" s="394"/>
      <c r="G915" s="394"/>
      <c r="H915" s="394"/>
      <c r="I915" s="394"/>
      <c r="J915" s="394"/>
      <c r="K915" s="394"/>
      <c r="L915" s="394"/>
      <c r="M915" s="394"/>
      <c r="N915" s="394"/>
      <c r="O915" s="460"/>
      <c r="P915" s="461"/>
    </row>
    <row r="916" spans="1:16">
      <c r="A916" s="492"/>
      <c r="B916" s="394"/>
      <c r="C916" s="394"/>
      <c r="D916" s="394"/>
      <c r="E916" s="394"/>
      <c r="F916" s="394"/>
      <c r="G916" s="394"/>
      <c r="H916" s="394"/>
      <c r="I916" s="394"/>
      <c r="J916" s="394"/>
      <c r="K916" s="394"/>
      <c r="L916" s="394"/>
      <c r="M916" s="394"/>
      <c r="N916" s="394"/>
      <c r="O916" s="460"/>
      <c r="P916" s="461"/>
    </row>
    <row r="917" spans="1:16">
      <c r="A917" s="492"/>
      <c r="B917" s="394"/>
      <c r="C917" s="394"/>
      <c r="D917" s="394"/>
      <c r="E917" s="394"/>
      <c r="F917" s="394"/>
      <c r="G917" s="394"/>
      <c r="H917" s="394"/>
      <c r="I917" s="394"/>
      <c r="J917" s="394"/>
      <c r="K917" s="394"/>
      <c r="L917" s="394"/>
      <c r="M917" s="394"/>
      <c r="N917" s="394"/>
      <c r="O917" s="460"/>
      <c r="P917" s="461"/>
    </row>
    <row r="918" spans="1:16">
      <c r="A918" s="492"/>
      <c r="B918" s="394"/>
      <c r="C918" s="394"/>
      <c r="D918" s="491"/>
      <c r="E918" s="491"/>
      <c r="F918" s="394"/>
      <c r="G918" s="394"/>
      <c r="H918" s="394"/>
      <c r="I918" s="394"/>
      <c r="J918" s="394"/>
      <c r="K918" s="394"/>
      <c r="L918" s="394"/>
      <c r="M918" s="394"/>
      <c r="N918" s="394"/>
      <c r="O918" s="460"/>
      <c r="P918" s="461"/>
    </row>
    <row r="919" spans="1:16">
      <c r="A919" s="492"/>
      <c r="B919" s="394"/>
      <c r="C919" s="394"/>
      <c r="D919" s="491"/>
      <c r="E919" s="491"/>
      <c r="F919" s="394"/>
      <c r="G919" s="394"/>
      <c r="H919" s="394"/>
      <c r="I919" s="394"/>
      <c r="J919" s="394"/>
      <c r="K919" s="394"/>
      <c r="L919" s="394"/>
      <c r="M919" s="394"/>
      <c r="N919" s="394"/>
      <c r="O919" s="460"/>
      <c r="P919" s="461"/>
    </row>
    <row r="920" spans="1:16">
      <c r="A920" s="492"/>
      <c r="B920" s="394"/>
      <c r="C920" s="394"/>
      <c r="D920" s="491"/>
      <c r="E920" s="491"/>
      <c r="F920" s="394"/>
      <c r="G920" s="394"/>
      <c r="H920" s="394"/>
      <c r="I920" s="394"/>
      <c r="J920" s="394"/>
      <c r="K920" s="394"/>
      <c r="L920" s="394"/>
      <c r="M920" s="394"/>
      <c r="N920" s="394"/>
      <c r="O920" s="460"/>
      <c r="P920" s="461"/>
    </row>
    <row r="921" spans="1:16">
      <c r="A921" s="492"/>
      <c r="B921" s="394"/>
      <c r="C921" s="394"/>
      <c r="D921" s="491"/>
      <c r="E921" s="491"/>
      <c r="F921" s="394"/>
      <c r="G921" s="394"/>
      <c r="H921" s="394"/>
      <c r="I921" s="394"/>
      <c r="J921" s="394"/>
      <c r="K921" s="394"/>
      <c r="L921" s="394"/>
      <c r="M921" s="394"/>
      <c r="N921" s="394"/>
      <c r="O921" s="460"/>
      <c r="P921" s="461"/>
    </row>
    <row r="922" spans="1:16">
      <c r="A922" s="492"/>
      <c r="B922" s="394"/>
      <c r="C922" s="394"/>
      <c r="D922" s="491"/>
      <c r="E922" s="491"/>
      <c r="F922" s="394"/>
      <c r="G922" s="394"/>
      <c r="H922" s="394"/>
      <c r="I922" s="394"/>
      <c r="J922" s="394"/>
      <c r="K922" s="394"/>
      <c r="L922" s="394"/>
      <c r="M922" s="394"/>
      <c r="N922" s="394"/>
      <c r="O922" s="460"/>
      <c r="P922" s="461"/>
    </row>
    <row r="923" spans="1:16">
      <c r="A923" s="492"/>
      <c r="B923" s="394"/>
      <c r="C923" s="394"/>
      <c r="D923" s="491"/>
      <c r="E923" s="491"/>
      <c r="F923" s="394"/>
      <c r="G923" s="394"/>
      <c r="H923" s="394"/>
      <c r="I923" s="394"/>
      <c r="J923" s="394"/>
      <c r="K923" s="394"/>
      <c r="L923" s="394"/>
      <c r="M923" s="394"/>
      <c r="N923" s="394"/>
      <c r="O923" s="460"/>
      <c r="P923" s="461"/>
    </row>
    <row r="924" spans="1:16">
      <c r="A924" s="459"/>
      <c r="B924" s="394"/>
      <c r="C924" s="394"/>
      <c r="D924" s="394"/>
      <c r="E924" s="394"/>
      <c r="F924" s="394"/>
      <c r="G924" s="394"/>
      <c r="H924" s="394"/>
      <c r="I924" s="394"/>
      <c r="J924" s="394"/>
      <c r="K924" s="394"/>
      <c r="L924" s="394"/>
      <c r="M924" s="394"/>
      <c r="N924" s="394"/>
      <c r="O924" s="460"/>
      <c r="P924" s="461"/>
    </row>
    <row r="925" spans="1:16">
      <c r="A925" s="459"/>
      <c r="B925" s="394"/>
      <c r="C925" s="394"/>
      <c r="D925" s="394"/>
      <c r="E925" s="394"/>
      <c r="F925" s="394"/>
      <c r="G925" s="394"/>
      <c r="H925" s="394"/>
      <c r="I925" s="394"/>
      <c r="J925" s="394"/>
      <c r="K925" s="394"/>
      <c r="L925" s="394"/>
      <c r="M925" s="394"/>
      <c r="N925" s="394"/>
      <c r="O925" s="460"/>
      <c r="P925" s="461"/>
    </row>
    <row r="926" spans="1:16">
      <c r="A926" s="459"/>
      <c r="B926" s="394"/>
      <c r="C926" s="394"/>
      <c r="D926" s="394"/>
      <c r="E926" s="394"/>
      <c r="F926" s="394"/>
      <c r="G926" s="394"/>
      <c r="H926" s="394"/>
      <c r="I926" s="394"/>
      <c r="J926" s="394"/>
      <c r="K926" s="394"/>
      <c r="L926" s="394"/>
      <c r="M926" s="394"/>
      <c r="N926" s="394"/>
      <c r="O926" s="460"/>
      <c r="P926" s="461"/>
    </row>
    <row r="927" spans="1:16">
      <c r="A927" s="459"/>
      <c r="B927" s="394"/>
      <c r="C927" s="394"/>
      <c r="D927" s="394"/>
      <c r="E927" s="394"/>
      <c r="F927" s="394"/>
      <c r="G927" s="394"/>
      <c r="H927" s="394"/>
      <c r="I927" s="394"/>
      <c r="J927" s="394"/>
      <c r="K927" s="394"/>
      <c r="L927" s="394"/>
      <c r="M927" s="394"/>
      <c r="N927" s="394"/>
      <c r="O927" s="460"/>
      <c r="P927" s="461"/>
    </row>
    <row r="928" spans="1:16">
      <c r="A928" s="459"/>
      <c r="B928" s="394"/>
      <c r="C928" s="394"/>
      <c r="D928" s="394"/>
      <c r="E928" s="394"/>
      <c r="F928" s="394"/>
      <c r="G928" s="394"/>
      <c r="H928" s="394"/>
      <c r="I928" s="394"/>
      <c r="J928" s="394"/>
      <c r="K928" s="394"/>
      <c r="L928" s="394"/>
      <c r="M928" s="394"/>
      <c r="N928" s="394"/>
      <c r="O928" s="460"/>
      <c r="P928" s="461"/>
    </row>
    <row r="929" spans="1:16">
      <c r="A929" s="474"/>
      <c r="B929" s="399"/>
      <c r="C929" s="399"/>
      <c r="D929" s="399"/>
      <c r="E929" s="399"/>
      <c r="F929" s="399"/>
      <c r="G929" s="399"/>
      <c r="H929" s="399"/>
      <c r="I929" s="399"/>
      <c r="J929" s="399"/>
      <c r="K929" s="399"/>
      <c r="L929" s="399"/>
      <c r="M929" s="399"/>
      <c r="N929" s="399"/>
      <c r="O929" s="494"/>
      <c r="P929" s="495"/>
    </row>
    <row r="930" spans="1:16">
      <c r="A930" s="474"/>
      <c r="B930" s="399"/>
      <c r="C930" s="399"/>
      <c r="D930" s="399"/>
      <c r="E930" s="399"/>
      <c r="F930" s="399"/>
      <c r="G930" s="399"/>
      <c r="H930" s="399"/>
      <c r="I930" s="399"/>
      <c r="J930" s="399"/>
      <c r="K930" s="399"/>
      <c r="L930" s="399"/>
      <c r="M930" s="399"/>
      <c r="N930" s="399"/>
      <c r="O930" s="494"/>
      <c r="P930" s="495"/>
    </row>
    <row r="931" spans="1:16">
      <c r="A931" s="474"/>
      <c r="B931" s="399"/>
      <c r="C931" s="399"/>
      <c r="D931" s="399"/>
      <c r="E931" s="399"/>
      <c r="F931" s="399"/>
      <c r="G931" s="399"/>
      <c r="H931" s="399"/>
      <c r="I931" s="399"/>
      <c r="J931" s="399"/>
      <c r="K931" s="399"/>
      <c r="L931" s="399"/>
      <c r="M931" s="399"/>
      <c r="N931" s="399"/>
      <c r="O931" s="494"/>
      <c r="P931" s="495"/>
    </row>
    <row r="932" spans="1:16">
      <c r="A932" s="463"/>
      <c r="B932" s="462"/>
      <c r="C932" s="462"/>
      <c r="D932" s="462"/>
      <c r="E932" s="462"/>
      <c r="F932" s="462"/>
      <c r="G932" s="462"/>
      <c r="H932" s="462"/>
      <c r="I932" s="462"/>
      <c r="J932" s="462"/>
      <c r="K932" s="462"/>
      <c r="L932" s="462"/>
      <c r="M932" s="462"/>
      <c r="N932" s="462"/>
      <c r="O932" s="371"/>
      <c r="P932" s="464"/>
    </row>
    <row r="933" spans="1:16">
      <c r="A933" s="463"/>
      <c r="B933" s="462"/>
      <c r="C933" s="462"/>
      <c r="D933" s="462"/>
      <c r="E933" s="462"/>
      <c r="F933" s="462"/>
      <c r="G933" s="462"/>
      <c r="H933" s="462"/>
      <c r="I933" s="462"/>
      <c r="J933" s="462"/>
      <c r="K933" s="462"/>
      <c r="L933" s="462"/>
      <c r="M933" s="462"/>
      <c r="N933" s="462"/>
      <c r="O933" s="371"/>
      <c r="P933" s="464"/>
    </row>
    <row r="934" spans="1:16">
      <c r="A934" s="463"/>
      <c r="B934" s="462"/>
      <c r="C934" s="462"/>
      <c r="D934" s="462"/>
      <c r="E934" s="462"/>
      <c r="F934" s="462"/>
      <c r="G934" s="462"/>
      <c r="H934" s="462"/>
      <c r="I934" s="462"/>
      <c r="J934" s="462"/>
      <c r="K934" s="462"/>
      <c r="L934" s="462"/>
      <c r="M934" s="462"/>
      <c r="N934" s="462"/>
      <c r="O934" s="371"/>
      <c r="P934" s="464"/>
    </row>
    <row r="935" spans="1:16" ht="15.75" thickBot="1">
      <c r="A935" s="465"/>
      <c r="B935" s="466"/>
      <c r="C935" s="466"/>
      <c r="D935" s="466"/>
      <c r="E935" s="466"/>
      <c r="F935" s="466"/>
      <c r="G935" s="1029" t="s">
        <v>38</v>
      </c>
      <c r="H935" s="1029"/>
      <c r="I935" s="1029"/>
      <c r="J935" s="1029"/>
      <c r="K935" s="1029"/>
      <c r="L935" s="1029"/>
      <c r="M935" s="1029"/>
      <c r="N935" s="1029"/>
      <c r="O935" s="467"/>
      <c r="P935" s="468"/>
    </row>
    <row r="965" spans="1:16" ht="15.75" thickBot="1">
      <c r="O965" s="471"/>
    </row>
    <row r="966" spans="1:16">
      <c r="A966" s="1030" t="s">
        <v>450</v>
      </c>
      <c r="B966" s="1031"/>
      <c r="C966" s="1031"/>
      <c r="D966" s="1031"/>
      <c r="E966" s="1031"/>
      <c r="F966" s="1031"/>
      <c r="G966" s="1031"/>
      <c r="H966" s="1031"/>
      <c r="I966" s="1031"/>
      <c r="J966" s="1031"/>
      <c r="K966" s="1031"/>
      <c r="L966" s="1031"/>
      <c r="M966" s="1031"/>
      <c r="N966" s="1031"/>
      <c r="O966" s="469"/>
      <c r="P966" s="470"/>
    </row>
    <row r="967" spans="1:16" ht="15.75" thickBot="1">
      <c r="A967" s="1032"/>
      <c r="B967" s="1033"/>
      <c r="C967" s="1033"/>
      <c r="D967" s="1033"/>
      <c r="E967" s="1033"/>
      <c r="F967" s="1033"/>
      <c r="G967" s="1033"/>
      <c r="H967" s="1033"/>
      <c r="I967" s="1033"/>
      <c r="J967" s="1033"/>
      <c r="K967" s="1033"/>
      <c r="L967" s="1033"/>
      <c r="M967" s="1033"/>
      <c r="N967" s="1033"/>
      <c r="O967" s="471"/>
      <c r="P967" s="464"/>
    </row>
    <row r="968" spans="1:16" ht="15.75" thickBot="1">
      <c r="A968" s="1034" t="s">
        <v>451</v>
      </c>
      <c r="B968" s="1035"/>
      <c r="C968" s="1035"/>
      <c r="D968" s="1035"/>
      <c r="E968" s="1035"/>
      <c r="F968" s="1035"/>
      <c r="G968" s="1035"/>
      <c r="H968" s="1035"/>
      <c r="I968" s="1035"/>
      <c r="J968" s="1035"/>
      <c r="K968" s="1035"/>
      <c r="L968" s="1035"/>
      <c r="M968" s="1035"/>
      <c r="N968" s="1035"/>
      <c r="O968" s="471"/>
      <c r="P968" s="464"/>
    </row>
    <row r="969" spans="1:16">
      <c r="A969" s="472" t="s">
        <v>483</v>
      </c>
      <c r="B969" s="405"/>
      <c r="C969" s="405"/>
      <c r="D969" s="406"/>
      <c r="E969" s="1036" t="s">
        <v>484</v>
      </c>
      <c r="F969" s="1037"/>
      <c r="G969" s="1037"/>
      <c r="H969" s="473"/>
      <c r="I969" s="473"/>
      <c r="J969" s="473"/>
      <c r="K969" s="473"/>
      <c r="L969" s="473"/>
      <c r="M969" s="473"/>
      <c r="N969" s="473"/>
      <c r="O969" s="471"/>
      <c r="P969" s="464"/>
    </row>
    <row r="970" spans="1:16">
      <c r="A970" s="474"/>
      <c r="B970" s="399" t="s">
        <v>384</v>
      </c>
      <c r="C970" s="399"/>
      <c r="D970" s="408"/>
      <c r="E970" s="475"/>
      <c r="F970" s="476"/>
      <c r="G970" s="1038" t="str">
        <f>'0422Master'!B30</f>
        <v>Ramya Nalla</v>
      </c>
      <c r="H970" s="1038"/>
      <c r="I970" s="1038"/>
      <c r="J970" s="476"/>
      <c r="K970" s="476"/>
      <c r="L970" s="476"/>
      <c r="M970" s="476"/>
      <c r="N970" s="476"/>
      <c r="P970" s="464"/>
    </row>
    <row r="971" spans="1:16" ht="15.75" thickBot="1">
      <c r="A971" s="410"/>
      <c r="B971" s="411" t="s">
        <v>385</v>
      </c>
      <c r="C971" s="411"/>
      <c r="D971" s="412"/>
      <c r="E971" s="475"/>
      <c r="F971" s="476"/>
      <c r="G971" s="476"/>
      <c r="H971" s="476"/>
      <c r="I971" s="476"/>
      <c r="J971" s="476"/>
      <c r="K971" s="476"/>
      <c r="L971" s="476"/>
      <c r="M971" s="476"/>
      <c r="N971" s="476"/>
      <c r="O971" s="471"/>
      <c r="P971" s="464"/>
    </row>
    <row r="972" spans="1:16">
      <c r="A972" s="404" t="s">
        <v>485</v>
      </c>
      <c r="B972" s="405"/>
      <c r="C972" s="405"/>
      <c r="D972" s="406"/>
      <c r="E972" s="404" t="s">
        <v>452</v>
      </c>
      <c r="F972" s="405"/>
      <c r="G972" s="477" t="str">
        <f>'0422Master'!N30</f>
        <v>10/2/2022</v>
      </c>
      <c r="H972" s="405"/>
      <c r="I972" s="405"/>
      <c r="J972" s="405"/>
      <c r="K972" s="405"/>
      <c r="L972" s="405"/>
      <c r="M972" s="405"/>
      <c r="N972" s="405"/>
      <c r="O972" s="471"/>
      <c r="P972" s="464"/>
    </row>
    <row r="973" spans="1:16">
      <c r="A973" s="474"/>
      <c r="B973" s="399"/>
      <c r="C973" s="399" t="s">
        <v>374</v>
      </c>
      <c r="D973" s="408"/>
      <c r="E973" s="407"/>
      <c r="F973" s="399"/>
      <c r="G973" s="399"/>
      <c r="H973" s="399"/>
      <c r="I973" s="399"/>
      <c r="J973" s="399"/>
      <c r="K973" s="399"/>
      <c r="L973" s="399"/>
      <c r="M973" s="399"/>
      <c r="N973" s="399"/>
      <c r="O973" s="471"/>
      <c r="P973" s="464"/>
    </row>
    <row r="974" spans="1:16">
      <c r="A974" s="474"/>
      <c r="B974" s="399"/>
      <c r="C974" s="399"/>
      <c r="D974" s="408"/>
      <c r="E974" s="478"/>
      <c r="F974" s="399"/>
      <c r="G974" s="399"/>
      <c r="H974" s="399"/>
      <c r="I974" s="399"/>
      <c r="J974" s="399"/>
      <c r="K974" s="399"/>
      <c r="L974" s="399"/>
      <c r="M974" s="399"/>
      <c r="N974" s="399"/>
      <c r="O974" s="471"/>
      <c r="P974" s="464"/>
    </row>
    <row r="975" spans="1:16" ht="15.75" thickBot="1">
      <c r="A975" s="479"/>
      <c r="B975" s="402"/>
      <c r="C975" s="402"/>
      <c r="D975" s="480"/>
      <c r="E975" s="410"/>
      <c r="F975" s="411"/>
      <c r="G975" s="411"/>
      <c r="H975" s="411"/>
      <c r="I975" s="411"/>
      <c r="J975" s="411"/>
      <c r="K975" s="411"/>
      <c r="L975" s="411"/>
      <c r="M975" s="411"/>
      <c r="N975" s="411"/>
      <c r="O975" s="481"/>
      <c r="P975" s="468"/>
    </row>
    <row r="976" spans="1:16">
      <c r="A976" s="1039" t="s">
        <v>5</v>
      </c>
      <c r="B976" s="1041" t="s">
        <v>453</v>
      </c>
      <c r="C976" s="1042"/>
      <c r="D976" s="1041" t="s">
        <v>454</v>
      </c>
      <c r="E976" s="1044"/>
      <c r="F976" s="989" t="s">
        <v>455</v>
      </c>
      <c r="G976" s="1043" t="s">
        <v>456</v>
      </c>
      <c r="H976" s="1047"/>
      <c r="I976" s="1048" t="s">
        <v>457</v>
      </c>
      <c r="J976" s="1047"/>
      <c r="K976" s="1049"/>
      <c r="L976" s="1048" t="s">
        <v>458</v>
      </c>
      <c r="M976" s="1047"/>
      <c r="N976" s="1047"/>
      <c r="O976" s="1027" t="s">
        <v>459</v>
      </c>
      <c r="P976" s="1027" t="s">
        <v>40</v>
      </c>
    </row>
    <row r="977" spans="1:17" ht="15.75" thickBot="1">
      <c r="A977" s="1040"/>
      <c r="B977" s="1043"/>
      <c r="C977" s="1044"/>
      <c r="D977" s="1043"/>
      <c r="E977" s="1044"/>
      <c r="F977" s="985"/>
      <c r="G977" s="1043"/>
      <c r="H977" s="1047"/>
      <c r="I977" s="1050"/>
      <c r="J977" s="1051"/>
      <c r="K977" s="1052"/>
      <c r="L977" s="1050"/>
      <c r="M977" s="1051"/>
      <c r="N977" s="1051"/>
      <c r="O977" s="1028"/>
      <c r="P977" s="1028"/>
    </row>
    <row r="978" spans="1:17">
      <c r="A978" s="482">
        <v>1</v>
      </c>
      <c r="B978" s="1045"/>
      <c r="C978" s="1046"/>
      <c r="D978" s="1045"/>
      <c r="E978" s="1046"/>
      <c r="F978" s="414">
        <v>6</v>
      </c>
      <c r="G978" s="1045"/>
      <c r="H978" s="1046"/>
      <c r="I978" s="483">
        <v>9</v>
      </c>
      <c r="J978" s="483"/>
      <c r="K978" s="483"/>
      <c r="L978" s="483">
        <v>9</v>
      </c>
      <c r="M978" s="483"/>
      <c r="N978" s="483"/>
      <c r="O978" s="484" t="s">
        <v>460</v>
      </c>
      <c r="P978" s="485"/>
    </row>
    <row r="979" spans="1:17" ht="51">
      <c r="A979" s="459"/>
      <c r="B979" s="394" t="s">
        <v>461</v>
      </c>
      <c r="C979" s="394" t="s">
        <v>462</v>
      </c>
      <c r="D979" s="394" t="s">
        <v>463</v>
      </c>
      <c r="E979" s="394" t="s">
        <v>134</v>
      </c>
      <c r="F979" s="394"/>
      <c r="G979" s="394" t="s">
        <v>464</v>
      </c>
      <c r="H979" s="394" t="s">
        <v>465</v>
      </c>
      <c r="I979" s="394" t="s">
        <v>466</v>
      </c>
      <c r="J979" s="394" t="s">
        <v>467</v>
      </c>
      <c r="K979" s="394" t="s">
        <v>468</v>
      </c>
      <c r="L979" s="394" t="s">
        <v>469</v>
      </c>
      <c r="M979" s="394" t="s">
        <v>470</v>
      </c>
      <c r="N979" s="486" t="s">
        <v>471</v>
      </c>
      <c r="O979" s="487"/>
      <c r="P979" s="488"/>
    </row>
    <row r="980" spans="1:17">
      <c r="A980" s="459"/>
      <c r="B980" s="489"/>
      <c r="C980" s="394"/>
      <c r="D980" s="394"/>
      <c r="E980" s="394"/>
      <c r="F980" s="394"/>
      <c r="G980" s="394"/>
      <c r="H980" s="394"/>
      <c r="I980" s="394"/>
      <c r="J980" s="394"/>
      <c r="K980" s="394"/>
      <c r="L980" s="394"/>
      <c r="M980" s="394"/>
      <c r="N980" s="394"/>
      <c r="O980" s="460"/>
      <c r="P980" s="461"/>
    </row>
    <row r="981" spans="1:17">
      <c r="A981" s="490" t="s">
        <v>871</v>
      </c>
      <c r="B981" s="394">
        <v>1.5</v>
      </c>
      <c r="C981" s="394">
        <v>0</v>
      </c>
      <c r="D981" s="394">
        <v>0</v>
      </c>
      <c r="E981" s="394">
        <v>0</v>
      </c>
      <c r="F981" s="394">
        <f>F980+B981-C981</f>
        <v>1.5</v>
      </c>
      <c r="G981" s="394"/>
      <c r="H981" s="394"/>
      <c r="I981" s="394" t="s">
        <v>493</v>
      </c>
      <c r="J981" s="394" t="s">
        <v>493</v>
      </c>
      <c r="K981" s="394" t="s">
        <v>493</v>
      </c>
      <c r="L981" s="394"/>
      <c r="M981" s="394"/>
      <c r="N981" s="394"/>
      <c r="O981" s="460"/>
      <c r="P981" s="461"/>
    </row>
    <row r="982" spans="1:17">
      <c r="A982" s="537" t="s">
        <v>894</v>
      </c>
      <c r="B982" s="394">
        <v>1.5</v>
      </c>
      <c r="C982" s="394">
        <v>0</v>
      </c>
      <c r="D982" s="394">
        <v>0</v>
      </c>
      <c r="E982" s="394">
        <v>0</v>
      </c>
      <c r="F982" s="394">
        <f>F981+B982-C982</f>
        <v>3</v>
      </c>
      <c r="G982" s="394"/>
      <c r="H982" s="394"/>
      <c r="I982" s="394" t="s">
        <v>493</v>
      </c>
      <c r="J982" s="394" t="s">
        <v>493</v>
      </c>
      <c r="K982" s="394" t="s">
        <v>493</v>
      </c>
      <c r="L982" s="553"/>
      <c r="M982" s="553"/>
      <c r="N982" s="553"/>
      <c r="O982" s="460"/>
      <c r="P982" s="461"/>
    </row>
    <row r="983" spans="1:17">
      <c r="A983" s="1359" t="s">
        <v>901</v>
      </c>
      <c r="B983" s="394">
        <v>1.5</v>
      </c>
      <c r="C983" s="394">
        <v>1</v>
      </c>
      <c r="D983" s="491">
        <v>44652</v>
      </c>
      <c r="E983" s="491">
        <v>44652</v>
      </c>
      <c r="F983" s="1364">
        <f>F982+B983-C983</f>
        <v>3.5</v>
      </c>
      <c r="G983" s="394"/>
      <c r="H983" s="394"/>
      <c r="I983" s="394" t="s">
        <v>493</v>
      </c>
      <c r="J983" s="394" t="s">
        <v>493</v>
      </c>
      <c r="K983" s="394" t="s">
        <v>493</v>
      </c>
      <c r="L983" s="394"/>
      <c r="M983" s="394"/>
      <c r="N983" s="394"/>
      <c r="O983" s="460"/>
      <c r="P983" s="461"/>
      <c r="Q983" s="8">
        <v>15</v>
      </c>
    </row>
    <row r="984" spans="1:17">
      <c r="A984" s="490"/>
      <c r="B984" s="394"/>
      <c r="C984" s="394"/>
      <c r="D984" s="726"/>
      <c r="E984" s="726"/>
      <c r="F984" s="394"/>
      <c r="G984" s="394"/>
      <c r="H984" s="394"/>
      <c r="I984" s="394"/>
      <c r="J984" s="394"/>
      <c r="K984" s="394"/>
      <c r="L984" s="394"/>
      <c r="M984" s="394"/>
      <c r="N984" s="394"/>
      <c r="O984" s="460"/>
      <c r="P984" s="461"/>
    </row>
    <row r="985" spans="1:17">
      <c r="A985" s="492"/>
      <c r="B985" s="394"/>
      <c r="C985" s="394"/>
      <c r="D985" s="394"/>
      <c r="E985" s="394"/>
      <c r="F985" s="394"/>
      <c r="G985" s="394"/>
      <c r="H985" s="394"/>
      <c r="I985" s="394"/>
      <c r="J985" s="394"/>
      <c r="K985" s="394"/>
      <c r="L985" s="394"/>
      <c r="M985" s="394"/>
      <c r="N985" s="394"/>
      <c r="O985" s="460"/>
      <c r="P985" s="461"/>
    </row>
    <row r="986" spans="1:17">
      <c r="A986" s="492"/>
      <c r="B986" s="394"/>
      <c r="C986" s="394"/>
      <c r="D986" s="394"/>
      <c r="E986" s="394"/>
      <c r="F986" s="394"/>
      <c r="G986" s="394"/>
      <c r="H986" s="394"/>
      <c r="I986" s="394"/>
      <c r="J986" s="394"/>
      <c r="K986" s="394"/>
      <c r="L986" s="394"/>
      <c r="M986" s="394"/>
      <c r="N986" s="394"/>
      <c r="O986" s="460"/>
      <c r="P986" s="461"/>
    </row>
    <row r="987" spans="1:17">
      <c r="A987" s="492"/>
      <c r="B987" s="394"/>
      <c r="C987" s="394"/>
      <c r="D987" s="394"/>
      <c r="E987" s="394"/>
      <c r="F987" s="394"/>
      <c r="G987" s="394"/>
      <c r="H987" s="394"/>
      <c r="I987" s="394"/>
      <c r="J987" s="394"/>
      <c r="K987" s="394"/>
      <c r="L987" s="394"/>
      <c r="M987" s="394"/>
      <c r="N987" s="394"/>
      <c r="O987" s="460"/>
      <c r="P987" s="461"/>
    </row>
    <row r="988" spans="1:17">
      <c r="A988" s="492"/>
      <c r="B988" s="394"/>
      <c r="C988" s="394"/>
      <c r="D988" s="394"/>
      <c r="E988" s="394"/>
      <c r="F988" s="394"/>
      <c r="G988" s="394"/>
      <c r="H988" s="394"/>
      <c r="I988" s="394"/>
      <c r="J988" s="394"/>
      <c r="K988" s="394"/>
      <c r="L988" s="394"/>
      <c r="M988" s="394"/>
      <c r="N988" s="394"/>
      <c r="O988" s="460"/>
      <c r="P988" s="461"/>
    </row>
    <row r="989" spans="1:17">
      <c r="A989" s="492"/>
      <c r="B989" s="394"/>
      <c r="C989" s="394"/>
      <c r="D989" s="394"/>
      <c r="E989" s="394"/>
      <c r="F989" s="394"/>
      <c r="G989" s="394"/>
      <c r="H989" s="394"/>
      <c r="I989" s="394"/>
      <c r="J989" s="394"/>
      <c r="K989" s="394"/>
      <c r="L989" s="394"/>
      <c r="M989" s="394"/>
      <c r="N989" s="394"/>
      <c r="O989" s="460"/>
      <c r="P989" s="461"/>
    </row>
    <row r="990" spans="1:17">
      <c r="A990" s="492"/>
      <c r="B990" s="394"/>
      <c r="C990" s="394"/>
      <c r="D990" s="491"/>
      <c r="E990" s="491"/>
      <c r="F990" s="394"/>
      <c r="G990" s="394"/>
      <c r="H990" s="394"/>
      <c r="I990" s="394"/>
      <c r="J990" s="394"/>
      <c r="K990" s="394"/>
      <c r="L990" s="394"/>
      <c r="M990" s="394"/>
      <c r="N990" s="394"/>
      <c r="O990" s="460"/>
      <c r="P990" s="461"/>
    </row>
    <row r="991" spans="1:17">
      <c r="A991" s="492"/>
      <c r="B991" s="394"/>
      <c r="C991" s="394"/>
      <c r="D991" s="491"/>
      <c r="E991" s="491"/>
      <c r="F991" s="394"/>
      <c r="G991" s="394"/>
      <c r="H991" s="394"/>
      <c r="I991" s="394"/>
      <c r="J991" s="394"/>
      <c r="K991" s="394"/>
      <c r="L991" s="394"/>
      <c r="M991" s="394"/>
      <c r="N991" s="394"/>
      <c r="O991" s="460"/>
      <c r="P991" s="461"/>
    </row>
    <row r="992" spans="1:17">
      <c r="A992" s="492"/>
      <c r="B992" s="394"/>
      <c r="C992" s="394"/>
      <c r="D992" s="491"/>
      <c r="E992" s="491"/>
      <c r="F992" s="394"/>
      <c r="G992" s="394"/>
      <c r="H992" s="394"/>
      <c r="I992" s="394"/>
      <c r="J992" s="394"/>
      <c r="K992" s="394"/>
      <c r="L992" s="394"/>
      <c r="M992" s="394"/>
      <c r="N992" s="394"/>
      <c r="O992" s="460"/>
      <c r="P992" s="461"/>
    </row>
    <row r="993" spans="1:16">
      <c r="A993" s="492"/>
      <c r="B993" s="394"/>
      <c r="C993" s="394"/>
      <c r="D993" s="491"/>
      <c r="E993" s="491"/>
      <c r="F993" s="394"/>
      <c r="G993" s="394"/>
      <c r="H993" s="394"/>
      <c r="I993" s="394"/>
      <c r="J993" s="394"/>
      <c r="K993" s="394"/>
      <c r="L993" s="394"/>
      <c r="M993" s="394"/>
      <c r="N993" s="394"/>
      <c r="O993" s="460"/>
      <c r="P993" s="461"/>
    </row>
    <row r="994" spans="1:16">
      <c r="A994" s="492"/>
      <c r="B994" s="394"/>
      <c r="C994" s="394"/>
      <c r="D994" s="491"/>
      <c r="E994" s="491"/>
      <c r="F994" s="394"/>
      <c r="G994" s="394"/>
      <c r="H994" s="394"/>
      <c r="I994" s="394"/>
      <c r="J994" s="394"/>
      <c r="K994" s="394"/>
      <c r="L994" s="394"/>
      <c r="M994" s="394"/>
      <c r="N994" s="394"/>
      <c r="O994" s="460"/>
      <c r="P994" s="461"/>
    </row>
    <row r="995" spans="1:16">
      <c r="A995" s="492"/>
      <c r="B995" s="394"/>
      <c r="C995" s="394"/>
      <c r="D995" s="491"/>
      <c r="E995" s="491"/>
      <c r="F995" s="394"/>
      <c r="G995" s="394"/>
      <c r="H995" s="394"/>
      <c r="I995" s="394"/>
      <c r="J995" s="394"/>
      <c r="K995" s="394"/>
      <c r="L995" s="394"/>
      <c r="M995" s="394"/>
      <c r="N995" s="394"/>
      <c r="O995" s="460"/>
      <c r="P995" s="461"/>
    </row>
    <row r="996" spans="1:16">
      <c r="A996" s="459"/>
      <c r="B996" s="394"/>
      <c r="C996" s="394"/>
      <c r="D996" s="394"/>
      <c r="E996" s="394"/>
      <c r="F996" s="394"/>
      <c r="G996" s="394"/>
      <c r="H996" s="394"/>
      <c r="I996" s="394"/>
      <c r="J996" s="394"/>
      <c r="K996" s="394"/>
      <c r="L996" s="394"/>
      <c r="M996" s="394"/>
      <c r="N996" s="394"/>
      <c r="O996" s="460"/>
      <c r="P996" s="461"/>
    </row>
    <row r="997" spans="1:16">
      <c r="A997" s="459"/>
      <c r="B997" s="394"/>
      <c r="C997" s="394"/>
      <c r="D997" s="394"/>
      <c r="E997" s="394"/>
      <c r="F997" s="394"/>
      <c r="G997" s="394"/>
      <c r="H997" s="394"/>
      <c r="I997" s="394"/>
      <c r="J997" s="394"/>
      <c r="K997" s="394"/>
      <c r="L997" s="394"/>
      <c r="M997" s="394"/>
      <c r="N997" s="394"/>
      <c r="O997" s="460"/>
      <c r="P997" s="461"/>
    </row>
    <row r="998" spans="1:16">
      <c r="A998" s="459"/>
      <c r="B998" s="394"/>
      <c r="C998" s="394"/>
      <c r="D998" s="394"/>
      <c r="E998" s="394"/>
      <c r="F998" s="394"/>
      <c r="G998" s="394"/>
      <c r="H998" s="394"/>
      <c r="I998" s="394"/>
      <c r="J998" s="394"/>
      <c r="K998" s="394"/>
      <c r="L998" s="394"/>
      <c r="M998" s="394"/>
      <c r="N998" s="394"/>
      <c r="O998" s="460"/>
      <c r="P998" s="461"/>
    </row>
    <row r="999" spans="1:16">
      <c r="A999" s="459"/>
      <c r="B999" s="394"/>
      <c r="C999" s="394"/>
      <c r="D999" s="394"/>
      <c r="E999" s="394"/>
      <c r="F999" s="394"/>
      <c r="G999" s="394"/>
      <c r="H999" s="394"/>
      <c r="I999" s="394"/>
      <c r="J999" s="394"/>
      <c r="K999" s="394"/>
      <c r="L999" s="394"/>
      <c r="M999" s="394"/>
      <c r="N999" s="394"/>
      <c r="O999" s="460"/>
      <c r="P999" s="461"/>
    </row>
    <row r="1000" spans="1:16">
      <c r="A1000" s="459"/>
      <c r="B1000" s="394"/>
      <c r="C1000" s="394"/>
      <c r="D1000" s="394"/>
      <c r="E1000" s="394"/>
      <c r="F1000" s="394"/>
      <c r="G1000" s="394"/>
      <c r="H1000" s="394"/>
      <c r="I1000" s="394"/>
      <c r="J1000" s="394"/>
      <c r="K1000" s="394"/>
      <c r="L1000" s="394"/>
      <c r="M1000" s="394"/>
      <c r="N1000" s="394"/>
      <c r="O1000" s="460"/>
      <c r="P1000" s="461"/>
    </row>
    <row r="1001" spans="1:16">
      <c r="A1001" s="474"/>
      <c r="B1001" s="399"/>
      <c r="C1001" s="399"/>
      <c r="D1001" s="399"/>
      <c r="E1001" s="399"/>
      <c r="F1001" s="399"/>
      <c r="G1001" s="399"/>
      <c r="H1001" s="399"/>
      <c r="I1001" s="399"/>
      <c r="J1001" s="399"/>
      <c r="K1001" s="399"/>
      <c r="L1001" s="399"/>
      <c r="M1001" s="399"/>
      <c r="N1001" s="399"/>
      <c r="O1001" s="494"/>
      <c r="P1001" s="495"/>
    </row>
    <row r="1002" spans="1:16">
      <c r="A1002" s="474"/>
      <c r="B1002" s="399"/>
      <c r="C1002" s="399"/>
      <c r="D1002" s="399"/>
      <c r="E1002" s="399"/>
      <c r="F1002" s="399"/>
      <c r="G1002" s="399"/>
      <c r="H1002" s="399"/>
      <c r="I1002" s="399"/>
      <c r="J1002" s="399"/>
      <c r="K1002" s="399"/>
      <c r="L1002" s="399"/>
      <c r="M1002" s="399"/>
      <c r="N1002" s="399"/>
      <c r="O1002" s="494"/>
      <c r="P1002" s="495"/>
    </row>
    <row r="1003" spans="1:16">
      <c r="A1003" s="474"/>
      <c r="B1003" s="399"/>
      <c r="C1003" s="399"/>
      <c r="D1003" s="399"/>
      <c r="E1003" s="399"/>
      <c r="F1003" s="399"/>
      <c r="G1003" s="399"/>
      <c r="H1003" s="399"/>
      <c r="I1003" s="399"/>
      <c r="J1003" s="399"/>
      <c r="K1003" s="399"/>
      <c r="L1003" s="399"/>
      <c r="M1003" s="399"/>
      <c r="N1003" s="399"/>
      <c r="O1003" s="494"/>
      <c r="P1003" s="495"/>
    </row>
    <row r="1004" spans="1:16">
      <c r="A1004" s="463"/>
      <c r="B1004" s="462"/>
      <c r="C1004" s="462"/>
      <c r="D1004" s="462"/>
      <c r="E1004" s="462"/>
      <c r="F1004" s="462"/>
      <c r="G1004" s="462"/>
      <c r="H1004" s="462"/>
      <c r="I1004" s="462"/>
      <c r="J1004" s="462"/>
      <c r="K1004" s="462"/>
      <c r="L1004" s="462"/>
      <c r="M1004" s="462"/>
      <c r="N1004" s="462"/>
      <c r="O1004" s="371"/>
      <c r="P1004" s="464"/>
    </row>
    <row r="1005" spans="1:16">
      <c r="A1005" s="463"/>
      <c r="B1005" s="462"/>
      <c r="C1005" s="462"/>
      <c r="D1005" s="462"/>
      <c r="E1005" s="462"/>
      <c r="F1005" s="462"/>
      <c r="G1005" s="462"/>
      <c r="H1005" s="462"/>
      <c r="I1005" s="462"/>
      <c r="J1005" s="462"/>
      <c r="K1005" s="462"/>
      <c r="L1005" s="462"/>
      <c r="M1005" s="462"/>
      <c r="N1005" s="462"/>
      <c r="O1005" s="371"/>
      <c r="P1005" s="464"/>
    </row>
    <row r="1006" spans="1:16">
      <c r="A1006" s="463"/>
      <c r="B1006" s="462"/>
      <c r="C1006" s="462"/>
      <c r="D1006" s="462"/>
      <c r="E1006" s="462"/>
      <c r="F1006" s="462"/>
      <c r="G1006" s="462"/>
      <c r="H1006" s="462"/>
      <c r="I1006" s="462"/>
      <c r="J1006" s="462"/>
      <c r="K1006" s="462"/>
      <c r="L1006" s="462"/>
      <c r="M1006" s="462"/>
      <c r="N1006" s="462"/>
      <c r="O1006" s="371"/>
      <c r="P1006" s="464"/>
    </row>
    <row r="1007" spans="1:16" ht="15.75" thickBot="1">
      <c r="A1007" s="465"/>
      <c r="B1007" s="466"/>
      <c r="C1007" s="466"/>
      <c r="D1007" s="466"/>
      <c r="E1007" s="466"/>
      <c r="F1007" s="466"/>
      <c r="G1007" s="1029" t="s">
        <v>38</v>
      </c>
      <c r="H1007" s="1029"/>
      <c r="I1007" s="1029"/>
      <c r="J1007" s="1029"/>
      <c r="K1007" s="1029"/>
      <c r="L1007" s="1029"/>
      <c r="M1007" s="1029"/>
      <c r="N1007" s="1029"/>
      <c r="O1007" s="467"/>
      <c r="P1007" s="468"/>
    </row>
    <row r="1037" spans="1:16" ht="15.75" thickBot="1">
      <c r="O1037" s="471"/>
    </row>
    <row r="1038" spans="1:16">
      <c r="A1038" s="1030" t="s">
        <v>450</v>
      </c>
      <c r="B1038" s="1031"/>
      <c r="C1038" s="1031"/>
      <c r="D1038" s="1031"/>
      <c r="E1038" s="1031"/>
      <c r="F1038" s="1031"/>
      <c r="G1038" s="1031"/>
      <c r="H1038" s="1031"/>
      <c r="I1038" s="1031"/>
      <c r="J1038" s="1031"/>
      <c r="K1038" s="1031"/>
      <c r="L1038" s="1031"/>
      <c r="M1038" s="1031"/>
      <c r="N1038" s="1031"/>
      <c r="O1038" s="469"/>
      <c r="P1038" s="470"/>
    </row>
    <row r="1039" spans="1:16" ht="15.75" thickBot="1">
      <c r="A1039" s="1032"/>
      <c r="B1039" s="1033"/>
      <c r="C1039" s="1033"/>
      <c r="D1039" s="1033"/>
      <c r="E1039" s="1033"/>
      <c r="F1039" s="1033"/>
      <c r="G1039" s="1033"/>
      <c r="H1039" s="1033"/>
      <c r="I1039" s="1033"/>
      <c r="J1039" s="1033"/>
      <c r="K1039" s="1033"/>
      <c r="L1039" s="1033"/>
      <c r="M1039" s="1033"/>
      <c r="N1039" s="1033"/>
      <c r="O1039" s="471"/>
      <c r="P1039" s="464"/>
    </row>
    <row r="1040" spans="1:16" ht="15.75" thickBot="1">
      <c r="A1040" s="1034" t="s">
        <v>451</v>
      </c>
      <c r="B1040" s="1035"/>
      <c r="C1040" s="1035"/>
      <c r="D1040" s="1035"/>
      <c r="E1040" s="1035"/>
      <c r="F1040" s="1035"/>
      <c r="G1040" s="1035"/>
      <c r="H1040" s="1035"/>
      <c r="I1040" s="1035"/>
      <c r="J1040" s="1035"/>
      <c r="K1040" s="1035"/>
      <c r="L1040" s="1035"/>
      <c r="M1040" s="1035"/>
      <c r="N1040" s="1035"/>
      <c r="O1040" s="471"/>
      <c r="P1040" s="464"/>
    </row>
    <row r="1041" spans="1:17">
      <c r="A1041" s="472" t="s">
        <v>483</v>
      </c>
      <c r="B1041" s="405"/>
      <c r="C1041" s="405"/>
      <c r="D1041" s="406"/>
      <c r="E1041" s="1036" t="s">
        <v>484</v>
      </c>
      <c r="F1041" s="1037"/>
      <c r="G1041" s="1037"/>
      <c r="H1041" s="473"/>
      <c r="I1041" s="473"/>
      <c r="J1041" s="473"/>
      <c r="K1041" s="473"/>
      <c r="L1041" s="473"/>
      <c r="M1041" s="473"/>
      <c r="N1041" s="473"/>
      <c r="O1041" s="471"/>
      <c r="P1041" s="464"/>
    </row>
    <row r="1042" spans="1:17">
      <c r="A1042" s="474"/>
      <c r="B1042" s="399" t="s">
        <v>384</v>
      </c>
      <c r="C1042" s="399"/>
      <c r="D1042" s="408"/>
      <c r="E1042" s="475"/>
      <c r="F1042" s="476"/>
      <c r="G1042" s="1038" t="str">
        <f>'0422Master'!B31</f>
        <v>Uma  Mahesh P</v>
      </c>
      <c r="H1042" s="1038"/>
      <c r="I1042" s="1038"/>
      <c r="J1042" s="476"/>
      <c r="K1042" s="476"/>
      <c r="L1042" s="476"/>
      <c r="M1042" s="476"/>
      <c r="N1042" s="476"/>
      <c r="P1042" s="464"/>
    </row>
    <row r="1043" spans="1:17" ht="15.75" thickBot="1">
      <c r="A1043" s="410"/>
      <c r="B1043" s="411" t="s">
        <v>385</v>
      </c>
      <c r="C1043" s="411"/>
      <c r="D1043" s="412"/>
      <c r="E1043" s="475"/>
      <c r="F1043" s="476"/>
      <c r="G1043" s="476"/>
      <c r="H1043" s="476"/>
      <c r="I1043" s="476"/>
      <c r="J1043" s="476"/>
      <c r="K1043" s="476"/>
      <c r="L1043" s="476"/>
      <c r="M1043" s="476"/>
      <c r="N1043" s="476"/>
      <c r="O1043" s="471"/>
      <c r="P1043" s="464"/>
    </row>
    <row r="1044" spans="1:17">
      <c r="A1044" s="404" t="s">
        <v>485</v>
      </c>
      <c r="B1044" s="405"/>
      <c r="C1044" s="405"/>
      <c r="D1044" s="406"/>
      <c r="E1044" s="404" t="s">
        <v>452</v>
      </c>
      <c r="F1044" s="405"/>
      <c r="G1044" s="477" t="str">
        <f>'0422Master'!N31</f>
        <v>10/2/2022</v>
      </c>
      <c r="H1044" s="405"/>
      <c r="I1044" s="405"/>
      <c r="J1044" s="405"/>
      <c r="K1044" s="405"/>
      <c r="L1044" s="405"/>
      <c r="M1044" s="405"/>
      <c r="N1044" s="405"/>
      <c r="O1044" s="471"/>
      <c r="P1044" s="464"/>
    </row>
    <row r="1045" spans="1:17">
      <c r="A1045" s="474"/>
      <c r="B1045" s="399"/>
      <c r="C1045" s="399" t="s">
        <v>374</v>
      </c>
      <c r="D1045" s="408"/>
      <c r="E1045" s="407"/>
      <c r="F1045" s="399"/>
      <c r="G1045" s="399"/>
      <c r="H1045" s="399"/>
      <c r="I1045" s="399"/>
      <c r="J1045" s="399"/>
      <c r="K1045" s="399"/>
      <c r="L1045" s="399"/>
      <c r="M1045" s="399"/>
      <c r="N1045" s="399"/>
      <c r="O1045" s="471"/>
      <c r="P1045" s="464"/>
    </row>
    <row r="1046" spans="1:17">
      <c r="A1046" s="474"/>
      <c r="B1046" s="399"/>
      <c r="C1046" s="399"/>
      <c r="D1046" s="408"/>
      <c r="E1046" s="478"/>
      <c r="F1046" s="399"/>
      <c r="G1046" s="399"/>
      <c r="H1046" s="399"/>
      <c r="I1046" s="399"/>
      <c r="J1046" s="399"/>
      <c r="K1046" s="399"/>
      <c r="L1046" s="399"/>
      <c r="M1046" s="399"/>
      <c r="N1046" s="399"/>
      <c r="O1046" s="471"/>
      <c r="P1046" s="464"/>
    </row>
    <row r="1047" spans="1:17" ht="15.75" thickBot="1">
      <c r="A1047" s="479"/>
      <c r="B1047" s="402"/>
      <c r="C1047" s="402"/>
      <c r="D1047" s="480"/>
      <c r="E1047" s="410"/>
      <c r="F1047" s="411"/>
      <c r="G1047" s="411"/>
      <c r="H1047" s="411"/>
      <c r="I1047" s="411"/>
      <c r="J1047" s="411"/>
      <c r="K1047" s="411"/>
      <c r="L1047" s="411"/>
      <c r="M1047" s="411"/>
      <c r="N1047" s="411"/>
      <c r="O1047" s="481"/>
      <c r="P1047" s="468"/>
    </row>
    <row r="1048" spans="1:17">
      <c r="A1048" s="1039" t="s">
        <v>5</v>
      </c>
      <c r="B1048" s="1041" t="s">
        <v>453</v>
      </c>
      <c r="C1048" s="1042"/>
      <c r="D1048" s="1041" t="s">
        <v>454</v>
      </c>
      <c r="E1048" s="1044"/>
      <c r="F1048" s="989" t="s">
        <v>455</v>
      </c>
      <c r="G1048" s="1043" t="s">
        <v>456</v>
      </c>
      <c r="H1048" s="1047"/>
      <c r="I1048" s="1048" t="s">
        <v>457</v>
      </c>
      <c r="J1048" s="1047"/>
      <c r="K1048" s="1049"/>
      <c r="L1048" s="1048" t="s">
        <v>458</v>
      </c>
      <c r="M1048" s="1047"/>
      <c r="N1048" s="1047"/>
      <c r="O1048" s="1027" t="s">
        <v>459</v>
      </c>
      <c r="P1048" s="1027" t="s">
        <v>40</v>
      </c>
    </row>
    <row r="1049" spans="1:17" ht="15.75" thickBot="1">
      <c r="A1049" s="1040"/>
      <c r="B1049" s="1043"/>
      <c r="C1049" s="1044"/>
      <c r="D1049" s="1043"/>
      <c r="E1049" s="1044"/>
      <c r="F1049" s="985"/>
      <c r="G1049" s="1043"/>
      <c r="H1049" s="1047"/>
      <c r="I1049" s="1050"/>
      <c r="J1049" s="1051"/>
      <c r="K1049" s="1052"/>
      <c r="L1049" s="1050"/>
      <c r="M1049" s="1051"/>
      <c r="N1049" s="1051"/>
      <c r="O1049" s="1028"/>
      <c r="P1049" s="1028"/>
    </row>
    <row r="1050" spans="1:17">
      <c r="A1050" s="482">
        <v>1</v>
      </c>
      <c r="B1050" s="1045"/>
      <c r="C1050" s="1046"/>
      <c r="D1050" s="1045"/>
      <c r="E1050" s="1046"/>
      <c r="F1050" s="414">
        <v>6</v>
      </c>
      <c r="G1050" s="1045"/>
      <c r="H1050" s="1046"/>
      <c r="I1050" s="483">
        <v>9</v>
      </c>
      <c r="J1050" s="483"/>
      <c r="K1050" s="483"/>
      <c r="L1050" s="483">
        <v>9</v>
      </c>
      <c r="M1050" s="483"/>
      <c r="N1050" s="483"/>
      <c r="O1050" s="484" t="s">
        <v>460</v>
      </c>
      <c r="P1050" s="485"/>
    </row>
    <row r="1051" spans="1:17" ht="51">
      <c r="A1051" s="459"/>
      <c r="B1051" s="394" t="s">
        <v>461</v>
      </c>
      <c r="C1051" s="394" t="s">
        <v>462</v>
      </c>
      <c r="D1051" s="394" t="s">
        <v>463</v>
      </c>
      <c r="E1051" s="394" t="s">
        <v>134</v>
      </c>
      <c r="F1051" s="394"/>
      <c r="G1051" s="394" t="s">
        <v>464</v>
      </c>
      <c r="H1051" s="394" t="s">
        <v>465</v>
      </c>
      <c r="I1051" s="394" t="s">
        <v>466</v>
      </c>
      <c r="J1051" s="394" t="s">
        <v>467</v>
      </c>
      <c r="K1051" s="394" t="s">
        <v>468</v>
      </c>
      <c r="L1051" s="394" t="s">
        <v>469</v>
      </c>
      <c r="M1051" s="394" t="s">
        <v>470</v>
      </c>
      <c r="N1051" s="486" t="s">
        <v>471</v>
      </c>
      <c r="O1051" s="487"/>
      <c r="P1051" s="488"/>
    </row>
    <row r="1052" spans="1:17">
      <c r="A1052" s="459"/>
      <c r="B1052" s="489"/>
      <c r="C1052" s="394"/>
      <c r="D1052" s="394"/>
      <c r="E1052" s="394"/>
      <c r="F1052" s="394"/>
      <c r="G1052" s="394"/>
      <c r="H1052" s="394"/>
      <c r="I1052" s="394"/>
      <c r="J1052" s="394"/>
      <c r="K1052" s="394"/>
      <c r="L1052" s="394"/>
      <c r="M1052" s="394"/>
      <c r="N1052" s="394"/>
      <c r="O1052" s="460"/>
      <c r="P1052" s="461"/>
    </row>
    <row r="1053" spans="1:17">
      <c r="A1053" s="490" t="s">
        <v>871</v>
      </c>
      <c r="B1053" s="394">
        <v>1.5</v>
      </c>
      <c r="C1053" s="394">
        <v>0</v>
      </c>
      <c r="D1053" s="394">
        <v>0</v>
      </c>
      <c r="E1053" s="394">
        <v>0</v>
      </c>
      <c r="F1053" s="394">
        <f>F1052+B1053-C1053</f>
        <v>1.5</v>
      </c>
      <c r="G1053" s="394"/>
      <c r="H1053" s="394"/>
      <c r="I1053" s="394" t="s">
        <v>493</v>
      </c>
      <c r="J1053" s="394" t="s">
        <v>493</v>
      </c>
      <c r="K1053" s="394" t="s">
        <v>493</v>
      </c>
      <c r="L1053" s="394"/>
      <c r="M1053" s="394"/>
      <c r="N1053" s="394"/>
      <c r="O1053" s="460"/>
      <c r="P1053" s="461"/>
    </row>
    <row r="1054" spans="1:17">
      <c r="A1054" s="537" t="s">
        <v>894</v>
      </c>
      <c r="B1054" s="394">
        <v>1.5</v>
      </c>
      <c r="C1054" s="394">
        <v>0</v>
      </c>
      <c r="D1054" s="394">
        <v>0</v>
      </c>
      <c r="E1054" s="394">
        <v>0</v>
      </c>
      <c r="F1054" s="394">
        <f>F1053+B1054-C1054</f>
        <v>3</v>
      </c>
      <c r="G1054" s="394"/>
      <c r="H1054" s="394"/>
      <c r="I1054" s="394" t="s">
        <v>493</v>
      </c>
      <c r="J1054" s="394" t="s">
        <v>493</v>
      </c>
      <c r="K1054" s="394" t="s">
        <v>493</v>
      </c>
      <c r="L1054" s="553"/>
      <c r="M1054" s="553"/>
      <c r="N1054" s="553"/>
      <c r="O1054" s="460"/>
      <c r="P1054" s="461"/>
    </row>
    <row r="1055" spans="1:17">
      <c r="A1055" s="1359" t="s">
        <v>901</v>
      </c>
      <c r="B1055" s="394">
        <v>1.5</v>
      </c>
      <c r="C1055" s="394">
        <v>1</v>
      </c>
      <c r="D1055" s="491">
        <v>44669</v>
      </c>
      <c r="E1055" s="491">
        <v>44669</v>
      </c>
      <c r="F1055" s="1364">
        <f>F1054+B1055-C1055</f>
        <v>3.5</v>
      </c>
      <c r="G1055" s="394"/>
      <c r="H1055" s="394"/>
      <c r="I1055" s="394" t="s">
        <v>493</v>
      </c>
      <c r="J1055" s="394" t="s">
        <v>493</v>
      </c>
      <c r="K1055" s="394" t="s">
        <v>493</v>
      </c>
      <c r="L1055" s="394"/>
      <c r="M1055" s="394"/>
      <c r="N1055" s="394"/>
      <c r="O1055" s="460"/>
      <c r="P1055" s="461"/>
      <c r="Q1055" s="8">
        <v>16</v>
      </c>
    </row>
    <row r="1056" spans="1:17">
      <c r="A1056" s="490"/>
      <c r="B1056" s="394"/>
      <c r="C1056" s="394"/>
      <c r="D1056" s="726"/>
      <c r="E1056" s="726"/>
      <c r="F1056" s="394"/>
      <c r="G1056" s="394"/>
      <c r="H1056" s="394"/>
      <c r="I1056" s="394"/>
      <c r="J1056" s="394"/>
      <c r="K1056" s="394"/>
      <c r="L1056" s="394"/>
      <c r="M1056" s="394"/>
      <c r="N1056" s="394"/>
      <c r="O1056" s="460"/>
      <c r="P1056" s="461"/>
    </row>
    <row r="1057" spans="1:16">
      <c r="A1057" s="492"/>
      <c r="B1057" s="394"/>
      <c r="C1057" s="394"/>
      <c r="D1057" s="394"/>
      <c r="E1057" s="394"/>
      <c r="F1057" s="394"/>
      <c r="G1057" s="394"/>
      <c r="H1057" s="394"/>
      <c r="I1057" s="394"/>
      <c r="J1057" s="394"/>
      <c r="K1057" s="394"/>
      <c r="L1057" s="394"/>
      <c r="M1057" s="394"/>
      <c r="N1057" s="394"/>
      <c r="O1057" s="460"/>
      <c r="P1057" s="461"/>
    </row>
    <row r="1058" spans="1:16">
      <c r="A1058" s="492"/>
      <c r="B1058" s="394"/>
      <c r="C1058" s="394"/>
      <c r="D1058" s="394"/>
      <c r="E1058" s="394"/>
      <c r="F1058" s="394"/>
      <c r="G1058" s="394"/>
      <c r="H1058" s="394"/>
      <c r="I1058" s="394"/>
      <c r="J1058" s="394"/>
      <c r="K1058" s="394"/>
      <c r="L1058" s="394"/>
      <c r="M1058" s="394"/>
      <c r="N1058" s="394"/>
      <c r="O1058" s="460"/>
      <c r="P1058" s="461"/>
    </row>
    <row r="1059" spans="1:16">
      <c r="A1059" s="492"/>
      <c r="B1059" s="394"/>
      <c r="C1059" s="394"/>
      <c r="D1059" s="394"/>
      <c r="E1059" s="394"/>
      <c r="F1059" s="394"/>
      <c r="G1059" s="394"/>
      <c r="H1059" s="394"/>
      <c r="I1059" s="394"/>
      <c r="J1059" s="394"/>
      <c r="K1059" s="394"/>
      <c r="L1059" s="394"/>
      <c r="M1059" s="394"/>
      <c r="N1059" s="394"/>
      <c r="O1059" s="460"/>
      <c r="P1059" s="461"/>
    </row>
    <row r="1060" spans="1:16">
      <c r="A1060" s="492"/>
      <c r="B1060" s="394"/>
      <c r="C1060" s="394"/>
      <c r="D1060" s="394"/>
      <c r="E1060" s="394"/>
      <c r="F1060" s="394"/>
      <c r="G1060" s="394"/>
      <c r="H1060" s="394"/>
      <c r="I1060" s="394"/>
      <c r="J1060" s="394"/>
      <c r="K1060" s="394"/>
      <c r="L1060" s="394"/>
      <c r="M1060" s="394"/>
      <c r="N1060" s="394"/>
      <c r="O1060" s="460"/>
      <c r="P1060" s="461"/>
    </row>
    <row r="1061" spans="1:16">
      <c r="A1061" s="492"/>
      <c r="B1061" s="394"/>
      <c r="C1061" s="394"/>
      <c r="D1061" s="394"/>
      <c r="E1061" s="394"/>
      <c r="F1061" s="394"/>
      <c r="G1061" s="394"/>
      <c r="H1061" s="394"/>
      <c r="I1061" s="394"/>
      <c r="J1061" s="394"/>
      <c r="K1061" s="394"/>
      <c r="L1061" s="394"/>
      <c r="M1061" s="394"/>
      <c r="N1061" s="394"/>
      <c r="O1061" s="460"/>
      <c r="P1061" s="461"/>
    </row>
    <row r="1062" spans="1:16">
      <c r="A1062" s="492"/>
      <c r="B1062" s="394"/>
      <c r="C1062" s="394"/>
      <c r="D1062" s="491"/>
      <c r="E1062" s="491"/>
      <c r="F1062" s="394"/>
      <c r="G1062" s="394"/>
      <c r="H1062" s="394"/>
      <c r="I1062" s="394"/>
      <c r="J1062" s="394"/>
      <c r="K1062" s="394"/>
      <c r="L1062" s="394"/>
      <c r="M1062" s="394"/>
      <c r="N1062" s="394"/>
      <c r="O1062" s="460"/>
      <c r="P1062" s="461"/>
    </row>
    <row r="1063" spans="1:16">
      <c r="A1063" s="492"/>
      <c r="B1063" s="394"/>
      <c r="C1063" s="394"/>
      <c r="D1063" s="491"/>
      <c r="E1063" s="491"/>
      <c r="F1063" s="394"/>
      <c r="G1063" s="394"/>
      <c r="H1063" s="394"/>
      <c r="I1063" s="394"/>
      <c r="J1063" s="394"/>
      <c r="K1063" s="394"/>
      <c r="L1063" s="394"/>
      <c r="M1063" s="394"/>
      <c r="N1063" s="394"/>
      <c r="O1063" s="460"/>
      <c r="P1063" s="461"/>
    </row>
    <row r="1064" spans="1:16">
      <c r="A1064" s="492"/>
      <c r="B1064" s="394"/>
      <c r="C1064" s="394"/>
      <c r="D1064" s="491"/>
      <c r="E1064" s="491"/>
      <c r="F1064" s="394"/>
      <c r="G1064" s="394"/>
      <c r="H1064" s="394"/>
      <c r="I1064" s="394"/>
      <c r="J1064" s="394"/>
      <c r="K1064" s="394"/>
      <c r="L1064" s="394"/>
      <c r="M1064" s="394"/>
      <c r="N1064" s="394"/>
      <c r="O1064" s="460"/>
      <c r="P1064" s="461"/>
    </row>
    <row r="1065" spans="1:16">
      <c r="A1065" s="492"/>
      <c r="B1065" s="394"/>
      <c r="C1065" s="394"/>
      <c r="D1065" s="491"/>
      <c r="E1065" s="491"/>
      <c r="F1065" s="394"/>
      <c r="G1065" s="394"/>
      <c r="H1065" s="394"/>
      <c r="I1065" s="394"/>
      <c r="J1065" s="394"/>
      <c r="K1065" s="394"/>
      <c r="L1065" s="394"/>
      <c r="M1065" s="394"/>
      <c r="N1065" s="394"/>
      <c r="O1065" s="460"/>
      <c r="P1065" s="461"/>
    </row>
    <row r="1066" spans="1:16">
      <c r="A1066" s="492"/>
      <c r="B1066" s="394"/>
      <c r="C1066" s="394"/>
      <c r="D1066" s="491"/>
      <c r="E1066" s="491"/>
      <c r="F1066" s="394"/>
      <c r="G1066" s="394"/>
      <c r="H1066" s="394"/>
      <c r="I1066" s="394"/>
      <c r="J1066" s="394"/>
      <c r="K1066" s="394"/>
      <c r="L1066" s="394"/>
      <c r="M1066" s="394"/>
      <c r="N1066" s="394"/>
      <c r="O1066" s="460"/>
      <c r="P1066" s="461"/>
    </row>
    <row r="1067" spans="1:16">
      <c r="A1067" s="492"/>
      <c r="B1067" s="394"/>
      <c r="C1067" s="394"/>
      <c r="D1067" s="491"/>
      <c r="E1067" s="491"/>
      <c r="F1067" s="394"/>
      <c r="G1067" s="394"/>
      <c r="H1067" s="394"/>
      <c r="I1067" s="394"/>
      <c r="J1067" s="394"/>
      <c r="K1067" s="394"/>
      <c r="L1067" s="394"/>
      <c r="M1067" s="394"/>
      <c r="N1067" s="394"/>
      <c r="O1067" s="460"/>
      <c r="P1067" s="461"/>
    </row>
    <row r="1068" spans="1:16">
      <c r="A1068" s="459"/>
      <c r="B1068" s="394"/>
      <c r="C1068" s="394"/>
      <c r="D1068" s="394"/>
      <c r="E1068" s="394"/>
      <c r="F1068" s="394"/>
      <c r="G1068" s="394"/>
      <c r="H1068" s="394"/>
      <c r="I1068" s="394"/>
      <c r="J1068" s="394"/>
      <c r="K1068" s="394"/>
      <c r="L1068" s="394"/>
      <c r="M1068" s="394"/>
      <c r="N1068" s="394"/>
      <c r="O1068" s="460"/>
      <c r="P1068" s="461"/>
    </row>
    <row r="1069" spans="1:16">
      <c r="A1069" s="459"/>
      <c r="B1069" s="394"/>
      <c r="C1069" s="394"/>
      <c r="D1069" s="394"/>
      <c r="E1069" s="394"/>
      <c r="F1069" s="394"/>
      <c r="G1069" s="394"/>
      <c r="H1069" s="394"/>
      <c r="I1069" s="394"/>
      <c r="J1069" s="394"/>
      <c r="K1069" s="394"/>
      <c r="L1069" s="394"/>
      <c r="M1069" s="394"/>
      <c r="N1069" s="394"/>
      <c r="O1069" s="460"/>
      <c r="P1069" s="461"/>
    </row>
    <row r="1070" spans="1:16">
      <c r="A1070" s="459"/>
      <c r="B1070" s="394"/>
      <c r="C1070" s="394"/>
      <c r="D1070" s="394"/>
      <c r="E1070" s="394"/>
      <c r="F1070" s="394"/>
      <c r="G1070" s="394"/>
      <c r="H1070" s="394"/>
      <c r="I1070" s="394"/>
      <c r="J1070" s="394"/>
      <c r="K1070" s="394"/>
      <c r="L1070" s="394"/>
      <c r="M1070" s="394"/>
      <c r="N1070" s="394"/>
      <c r="O1070" s="460"/>
      <c r="P1070" s="461"/>
    </row>
    <row r="1071" spans="1:16">
      <c r="A1071" s="459"/>
      <c r="B1071" s="394"/>
      <c r="C1071" s="394"/>
      <c r="D1071" s="394"/>
      <c r="E1071" s="394"/>
      <c r="F1071" s="394"/>
      <c r="G1071" s="394"/>
      <c r="H1071" s="394"/>
      <c r="I1071" s="394"/>
      <c r="J1071" s="394"/>
      <c r="K1071" s="394"/>
      <c r="L1071" s="394"/>
      <c r="M1071" s="394"/>
      <c r="N1071" s="394"/>
      <c r="O1071" s="460"/>
      <c r="P1071" s="461"/>
    </row>
    <row r="1072" spans="1:16">
      <c r="A1072" s="459"/>
      <c r="B1072" s="394"/>
      <c r="C1072" s="394"/>
      <c r="D1072" s="394"/>
      <c r="E1072" s="394"/>
      <c r="F1072" s="394"/>
      <c r="G1072" s="394"/>
      <c r="H1072" s="394"/>
      <c r="I1072" s="394"/>
      <c r="J1072" s="394"/>
      <c r="K1072" s="394"/>
      <c r="L1072" s="394"/>
      <c r="M1072" s="394"/>
      <c r="N1072" s="394"/>
      <c r="O1072" s="460"/>
      <c r="P1072" s="461"/>
    </row>
    <row r="1073" spans="1:16">
      <c r="A1073" s="474"/>
      <c r="B1073" s="399"/>
      <c r="C1073" s="399"/>
      <c r="D1073" s="399"/>
      <c r="E1073" s="399"/>
      <c r="F1073" s="399"/>
      <c r="G1073" s="399"/>
      <c r="H1073" s="399"/>
      <c r="I1073" s="399"/>
      <c r="J1073" s="399"/>
      <c r="K1073" s="399"/>
      <c r="L1073" s="399"/>
      <c r="M1073" s="399"/>
      <c r="N1073" s="399"/>
      <c r="O1073" s="494"/>
      <c r="P1073" s="495"/>
    </row>
    <row r="1074" spans="1:16">
      <c r="A1074" s="474"/>
      <c r="B1074" s="399"/>
      <c r="C1074" s="399"/>
      <c r="D1074" s="399"/>
      <c r="E1074" s="399"/>
      <c r="F1074" s="399"/>
      <c r="G1074" s="399"/>
      <c r="H1074" s="399"/>
      <c r="I1074" s="399"/>
      <c r="J1074" s="399"/>
      <c r="K1074" s="399"/>
      <c r="L1074" s="399"/>
      <c r="M1074" s="399"/>
      <c r="N1074" s="399"/>
      <c r="O1074" s="494"/>
      <c r="P1074" s="495"/>
    </row>
    <row r="1075" spans="1:16">
      <c r="A1075" s="474"/>
      <c r="B1075" s="399"/>
      <c r="C1075" s="399"/>
      <c r="D1075" s="399"/>
      <c r="E1075" s="399"/>
      <c r="F1075" s="399"/>
      <c r="G1075" s="399"/>
      <c r="H1075" s="399"/>
      <c r="I1075" s="399"/>
      <c r="J1075" s="399"/>
      <c r="K1075" s="399"/>
      <c r="L1075" s="399"/>
      <c r="M1075" s="399"/>
      <c r="N1075" s="399"/>
      <c r="O1075" s="494"/>
      <c r="P1075" s="495"/>
    </row>
    <row r="1076" spans="1:16">
      <c r="A1076" s="463"/>
      <c r="B1076" s="462"/>
      <c r="C1076" s="462"/>
      <c r="D1076" s="462"/>
      <c r="E1076" s="462"/>
      <c r="F1076" s="462"/>
      <c r="G1076" s="462"/>
      <c r="H1076" s="462"/>
      <c r="I1076" s="462"/>
      <c r="J1076" s="462"/>
      <c r="K1076" s="462"/>
      <c r="L1076" s="462"/>
      <c r="M1076" s="462"/>
      <c r="N1076" s="462"/>
      <c r="O1076" s="371"/>
      <c r="P1076" s="464"/>
    </row>
    <row r="1077" spans="1:16">
      <c r="A1077" s="463"/>
      <c r="B1077" s="462"/>
      <c r="C1077" s="462"/>
      <c r="D1077" s="462"/>
      <c r="E1077" s="462"/>
      <c r="F1077" s="462"/>
      <c r="G1077" s="462"/>
      <c r="H1077" s="462"/>
      <c r="I1077" s="462"/>
      <c r="J1077" s="462"/>
      <c r="K1077" s="462"/>
      <c r="L1077" s="462"/>
      <c r="M1077" s="462"/>
      <c r="N1077" s="462"/>
      <c r="O1077" s="371"/>
      <c r="P1077" s="464"/>
    </row>
    <row r="1078" spans="1:16">
      <c r="A1078" s="463"/>
      <c r="B1078" s="462"/>
      <c r="C1078" s="462"/>
      <c r="D1078" s="462"/>
      <c r="E1078" s="462"/>
      <c r="F1078" s="462"/>
      <c r="G1078" s="462"/>
      <c r="H1078" s="462"/>
      <c r="I1078" s="462"/>
      <c r="J1078" s="462"/>
      <c r="K1078" s="462"/>
      <c r="L1078" s="462"/>
      <c r="M1078" s="462"/>
      <c r="N1078" s="462"/>
      <c r="O1078" s="371"/>
      <c r="P1078" s="464"/>
    </row>
    <row r="1079" spans="1:16" ht="15.75" thickBot="1">
      <c r="A1079" s="465"/>
      <c r="B1079" s="466"/>
      <c r="C1079" s="466"/>
      <c r="D1079" s="466"/>
      <c r="E1079" s="466"/>
      <c r="F1079" s="466"/>
      <c r="G1079" s="1029" t="s">
        <v>38</v>
      </c>
      <c r="H1079" s="1029"/>
      <c r="I1079" s="1029"/>
      <c r="J1079" s="1029"/>
      <c r="K1079" s="1029"/>
      <c r="L1079" s="1029"/>
      <c r="M1079" s="1029"/>
      <c r="N1079" s="1029"/>
      <c r="O1079" s="467"/>
      <c r="P1079" s="468"/>
    </row>
    <row r="1109" spans="1:16" ht="15.75" thickBot="1">
      <c r="O1109" s="471"/>
    </row>
    <row r="1110" spans="1:16">
      <c r="A1110" s="1030" t="s">
        <v>450</v>
      </c>
      <c r="B1110" s="1031"/>
      <c r="C1110" s="1031"/>
      <c r="D1110" s="1031"/>
      <c r="E1110" s="1031"/>
      <c r="F1110" s="1031"/>
      <c r="G1110" s="1031"/>
      <c r="H1110" s="1031"/>
      <c r="I1110" s="1031"/>
      <c r="J1110" s="1031"/>
      <c r="K1110" s="1031"/>
      <c r="L1110" s="1031"/>
      <c r="M1110" s="1031"/>
      <c r="N1110" s="1031"/>
      <c r="O1110" s="469"/>
      <c r="P1110" s="470"/>
    </row>
    <row r="1111" spans="1:16" ht="15.75" thickBot="1">
      <c r="A1111" s="1032"/>
      <c r="B1111" s="1033"/>
      <c r="C1111" s="1033"/>
      <c r="D1111" s="1033"/>
      <c r="E1111" s="1033"/>
      <c r="F1111" s="1033"/>
      <c r="G1111" s="1033"/>
      <c r="H1111" s="1033"/>
      <c r="I1111" s="1033"/>
      <c r="J1111" s="1033"/>
      <c r="K1111" s="1033"/>
      <c r="L1111" s="1033"/>
      <c r="M1111" s="1033"/>
      <c r="N1111" s="1033"/>
      <c r="O1111" s="471"/>
      <c r="P1111" s="464"/>
    </row>
    <row r="1112" spans="1:16" ht="15.75" thickBot="1">
      <c r="A1112" s="1034" t="s">
        <v>451</v>
      </c>
      <c r="B1112" s="1035"/>
      <c r="C1112" s="1035"/>
      <c r="D1112" s="1035"/>
      <c r="E1112" s="1035"/>
      <c r="F1112" s="1035"/>
      <c r="G1112" s="1035"/>
      <c r="H1112" s="1035"/>
      <c r="I1112" s="1035"/>
      <c r="J1112" s="1035"/>
      <c r="K1112" s="1035"/>
      <c r="L1112" s="1035"/>
      <c r="M1112" s="1035"/>
      <c r="N1112" s="1035"/>
      <c r="O1112" s="471"/>
      <c r="P1112" s="464"/>
    </row>
    <row r="1113" spans="1:16">
      <c r="A1113" s="472" t="s">
        <v>483</v>
      </c>
      <c r="B1113" s="405"/>
      <c r="C1113" s="405"/>
      <c r="D1113" s="406"/>
      <c r="E1113" s="1036" t="s">
        <v>484</v>
      </c>
      <c r="F1113" s="1037"/>
      <c r="G1113" s="1037"/>
      <c r="H1113" s="473"/>
      <c r="I1113" s="473"/>
      <c r="J1113" s="473"/>
      <c r="K1113" s="473"/>
      <c r="L1113" s="473"/>
      <c r="M1113" s="473"/>
      <c r="N1113" s="473"/>
      <c r="O1113" s="471"/>
      <c r="P1113" s="464"/>
    </row>
    <row r="1114" spans="1:16">
      <c r="A1114" s="474"/>
      <c r="B1114" s="399" t="s">
        <v>384</v>
      </c>
      <c r="C1114" s="399"/>
      <c r="D1114" s="408"/>
      <c r="E1114" s="475"/>
      <c r="F1114" s="476"/>
      <c r="G1114" s="1038" t="str">
        <f>'0422Master'!B32</f>
        <v>NAGA SAI TEJA NUTHI</v>
      </c>
      <c r="H1114" s="1038"/>
      <c r="I1114" s="1038"/>
      <c r="J1114" s="476"/>
      <c r="K1114" s="476"/>
      <c r="L1114" s="476"/>
      <c r="M1114" s="476"/>
      <c r="N1114" s="476"/>
      <c r="P1114" s="464"/>
    </row>
    <row r="1115" spans="1:16" ht="15.75" thickBot="1">
      <c r="A1115" s="410"/>
      <c r="B1115" s="411" t="s">
        <v>385</v>
      </c>
      <c r="C1115" s="411"/>
      <c r="D1115" s="412"/>
      <c r="E1115" s="475"/>
      <c r="F1115" s="476"/>
      <c r="G1115" s="476"/>
      <c r="H1115" s="476"/>
      <c r="I1115" s="476"/>
      <c r="J1115" s="476"/>
      <c r="K1115" s="476"/>
      <c r="L1115" s="476"/>
      <c r="M1115" s="476"/>
      <c r="N1115" s="476"/>
      <c r="O1115" s="471"/>
      <c r="P1115" s="464"/>
    </row>
    <row r="1116" spans="1:16">
      <c r="A1116" s="404" t="s">
        <v>485</v>
      </c>
      <c r="B1116" s="405"/>
      <c r="C1116" s="405"/>
      <c r="D1116" s="406"/>
      <c r="E1116" s="404" t="s">
        <v>452</v>
      </c>
      <c r="F1116" s="405"/>
      <c r="G1116" s="477">
        <f>'0422Master'!N32</f>
        <v>44602</v>
      </c>
      <c r="H1116" s="405"/>
      <c r="I1116" s="405"/>
      <c r="J1116" s="405"/>
      <c r="K1116" s="405"/>
      <c r="L1116" s="405"/>
      <c r="M1116" s="405"/>
      <c r="N1116" s="405"/>
      <c r="O1116" s="471"/>
      <c r="P1116" s="464"/>
    </row>
    <row r="1117" spans="1:16">
      <c r="A1117" s="474"/>
      <c r="B1117" s="399"/>
      <c r="C1117" s="399" t="s">
        <v>374</v>
      </c>
      <c r="D1117" s="408"/>
      <c r="E1117" s="407"/>
      <c r="F1117" s="399"/>
      <c r="G1117" s="399"/>
      <c r="H1117" s="399"/>
      <c r="I1117" s="399"/>
      <c r="J1117" s="399"/>
      <c r="K1117" s="399"/>
      <c r="L1117" s="399"/>
      <c r="M1117" s="399"/>
      <c r="N1117" s="399"/>
      <c r="O1117" s="471"/>
      <c r="P1117" s="464"/>
    </row>
    <row r="1118" spans="1:16">
      <c r="A1118" s="474"/>
      <c r="B1118" s="399"/>
      <c r="C1118" s="399"/>
      <c r="D1118" s="408"/>
      <c r="E1118" s="478"/>
      <c r="F1118" s="399"/>
      <c r="G1118" s="399"/>
      <c r="H1118" s="399"/>
      <c r="I1118" s="399"/>
      <c r="J1118" s="399"/>
      <c r="K1118" s="399"/>
      <c r="L1118" s="399"/>
      <c r="M1118" s="399"/>
      <c r="N1118" s="399"/>
      <c r="O1118" s="471"/>
      <c r="P1118" s="464"/>
    </row>
    <row r="1119" spans="1:16" ht="15.75" thickBot="1">
      <c r="A1119" s="479"/>
      <c r="B1119" s="402"/>
      <c r="C1119" s="402"/>
      <c r="D1119" s="480"/>
      <c r="E1119" s="410"/>
      <c r="F1119" s="411"/>
      <c r="G1119" s="411"/>
      <c r="H1119" s="411"/>
      <c r="I1119" s="411"/>
      <c r="J1119" s="411"/>
      <c r="K1119" s="411"/>
      <c r="L1119" s="411"/>
      <c r="M1119" s="411"/>
      <c r="N1119" s="411"/>
      <c r="O1119" s="481"/>
      <c r="P1119" s="468"/>
    </row>
    <row r="1120" spans="1:16">
      <c r="A1120" s="1039" t="s">
        <v>5</v>
      </c>
      <c r="B1120" s="1041" t="s">
        <v>453</v>
      </c>
      <c r="C1120" s="1042"/>
      <c r="D1120" s="1041" t="s">
        <v>454</v>
      </c>
      <c r="E1120" s="1044"/>
      <c r="F1120" s="989" t="s">
        <v>455</v>
      </c>
      <c r="G1120" s="1043" t="s">
        <v>456</v>
      </c>
      <c r="H1120" s="1047"/>
      <c r="I1120" s="1048" t="s">
        <v>457</v>
      </c>
      <c r="J1120" s="1047"/>
      <c r="K1120" s="1049"/>
      <c r="L1120" s="1048" t="s">
        <v>458</v>
      </c>
      <c r="M1120" s="1047"/>
      <c r="N1120" s="1047"/>
      <c r="O1120" s="1027" t="s">
        <v>459</v>
      </c>
      <c r="P1120" s="1027" t="s">
        <v>40</v>
      </c>
    </row>
    <row r="1121" spans="1:17" ht="15.75" thickBot="1">
      <c r="A1121" s="1040"/>
      <c r="B1121" s="1043"/>
      <c r="C1121" s="1044"/>
      <c r="D1121" s="1043"/>
      <c r="E1121" s="1044"/>
      <c r="F1121" s="985"/>
      <c r="G1121" s="1043"/>
      <c r="H1121" s="1047"/>
      <c r="I1121" s="1050"/>
      <c r="J1121" s="1051"/>
      <c r="K1121" s="1052"/>
      <c r="L1121" s="1050"/>
      <c r="M1121" s="1051"/>
      <c r="N1121" s="1051"/>
      <c r="O1121" s="1028"/>
      <c r="P1121" s="1028"/>
    </row>
    <row r="1122" spans="1:17">
      <c r="A1122" s="482">
        <v>1</v>
      </c>
      <c r="B1122" s="1045"/>
      <c r="C1122" s="1046"/>
      <c r="D1122" s="1045"/>
      <c r="E1122" s="1046"/>
      <c r="F1122" s="414">
        <v>6</v>
      </c>
      <c r="G1122" s="1045"/>
      <c r="H1122" s="1046"/>
      <c r="I1122" s="483">
        <v>9</v>
      </c>
      <c r="J1122" s="483"/>
      <c r="K1122" s="483"/>
      <c r="L1122" s="483">
        <v>9</v>
      </c>
      <c r="M1122" s="483"/>
      <c r="N1122" s="483"/>
      <c r="O1122" s="484" t="s">
        <v>460</v>
      </c>
      <c r="P1122" s="485"/>
    </row>
    <row r="1123" spans="1:17" ht="51">
      <c r="A1123" s="459"/>
      <c r="B1123" s="394" t="s">
        <v>461</v>
      </c>
      <c r="C1123" s="394" t="s">
        <v>462</v>
      </c>
      <c r="D1123" s="394" t="s">
        <v>463</v>
      </c>
      <c r="E1123" s="394" t="s">
        <v>134</v>
      </c>
      <c r="F1123" s="394"/>
      <c r="G1123" s="394" t="s">
        <v>464</v>
      </c>
      <c r="H1123" s="394" t="s">
        <v>465</v>
      </c>
      <c r="I1123" s="394" t="s">
        <v>466</v>
      </c>
      <c r="J1123" s="394" t="s">
        <v>467</v>
      </c>
      <c r="K1123" s="394" t="s">
        <v>468</v>
      </c>
      <c r="L1123" s="394" t="s">
        <v>469</v>
      </c>
      <c r="M1123" s="394" t="s">
        <v>470</v>
      </c>
      <c r="N1123" s="486" t="s">
        <v>471</v>
      </c>
      <c r="O1123" s="487"/>
      <c r="P1123" s="488"/>
    </row>
    <row r="1124" spans="1:17">
      <c r="A1124" s="459"/>
      <c r="B1124" s="489"/>
      <c r="C1124" s="394"/>
      <c r="D1124" s="394"/>
      <c r="E1124" s="394"/>
      <c r="F1124" s="394"/>
      <c r="G1124" s="394"/>
      <c r="H1124" s="394"/>
      <c r="I1124" s="394"/>
      <c r="J1124" s="394"/>
      <c r="K1124" s="394"/>
      <c r="L1124" s="394"/>
      <c r="M1124" s="394"/>
      <c r="N1124" s="394"/>
      <c r="O1124" s="460"/>
      <c r="P1124" s="461"/>
    </row>
    <row r="1125" spans="1:17">
      <c r="A1125" s="490" t="s">
        <v>871</v>
      </c>
      <c r="B1125" s="394">
        <v>1.5</v>
      </c>
      <c r="C1125" s="394">
        <v>0</v>
      </c>
      <c r="D1125" s="394">
        <v>0</v>
      </c>
      <c r="E1125" s="394">
        <v>0</v>
      </c>
      <c r="F1125" s="394">
        <f>F1124+B1125-C1125</f>
        <v>1.5</v>
      </c>
      <c r="G1125" s="394"/>
      <c r="H1125" s="394"/>
      <c r="I1125" s="394" t="s">
        <v>493</v>
      </c>
      <c r="J1125" s="394" t="s">
        <v>493</v>
      </c>
      <c r="K1125" s="394" t="s">
        <v>493</v>
      </c>
      <c r="L1125" s="394"/>
      <c r="M1125" s="394"/>
      <c r="N1125" s="394"/>
      <c r="O1125" s="460"/>
      <c r="P1125" s="461"/>
    </row>
    <row r="1126" spans="1:17">
      <c r="A1126" s="537" t="s">
        <v>894</v>
      </c>
      <c r="B1126" s="394">
        <v>1.5</v>
      </c>
      <c r="C1126" s="394">
        <v>1</v>
      </c>
      <c r="D1126" s="491">
        <v>44641</v>
      </c>
      <c r="E1126" s="491">
        <v>44641</v>
      </c>
      <c r="F1126" s="394">
        <f>F1125+B1126-C1126</f>
        <v>2</v>
      </c>
      <c r="G1126" s="394"/>
      <c r="H1126" s="394"/>
      <c r="I1126" s="394" t="s">
        <v>493</v>
      </c>
      <c r="J1126" s="394" t="s">
        <v>493</v>
      </c>
      <c r="K1126" s="394" t="s">
        <v>493</v>
      </c>
      <c r="L1126" s="553"/>
      <c r="M1126" s="553"/>
      <c r="N1126" s="553"/>
      <c r="O1126" s="460"/>
      <c r="P1126" s="461"/>
    </row>
    <row r="1127" spans="1:17">
      <c r="A1127" s="1359" t="s">
        <v>901</v>
      </c>
      <c r="B1127" s="394">
        <v>1.5</v>
      </c>
      <c r="C1127" s="394">
        <v>1</v>
      </c>
      <c r="D1127" s="491">
        <v>44676</v>
      </c>
      <c r="E1127" s="491">
        <v>44676</v>
      </c>
      <c r="F1127" s="1364">
        <f>F1126+B1127-C1127</f>
        <v>2.5</v>
      </c>
      <c r="G1127" s="394"/>
      <c r="H1127" s="394"/>
      <c r="I1127" s="394" t="s">
        <v>493</v>
      </c>
      <c r="J1127" s="394" t="s">
        <v>493</v>
      </c>
      <c r="K1127" s="394" t="s">
        <v>493</v>
      </c>
      <c r="L1127" s="394"/>
      <c r="M1127" s="394"/>
      <c r="N1127" s="394"/>
      <c r="O1127" s="460"/>
      <c r="P1127" s="461"/>
      <c r="Q1127" s="8">
        <v>17</v>
      </c>
    </row>
    <row r="1128" spans="1:17">
      <c r="A1128" s="490"/>
      <c r="B1128" s="394"/>
      <c r="C1128" s="394"/>
      <c r="D1128" s="726"/>
      <c r="E1128" s="726"/>
      <c r="F1128" s="394"/>
      <c r="G1128" s="394"/>
      <c r="H1128" s="394"/>
      <c r="I1128" s="394"/>
      <c r="J1128" s="394"/>
      <c r="K1128" s="394"/>
      <c r="L1128" s="394"/>
      <c r="M1128" s="394"/>
      <c r="N1128" s="394"/>
      <c r="O1128" s="460"/>
      <c r="P1128" s="461"/>
    </row>
    <row r="1129" spans="1:17">
      <c r="A1129" s="492"/>
      <c r="B1129" s="394"/>
      <c r="C1129" s="394"/>
      <c r="D1129" s="394"/>
      <c r="E1129" s="394"/>
      <c r="F1129" s="394"/>
      <c r="G1129" s="394"/>
      <c r="H1129" s="394"/>
      <c r="I1129" s="394"/>
      <c r="J1129" s="394"/>
      <c r="K1129" s="394"/>
      <c r="L1129" s="394"/>
      <c r="M1129" s="394"/>
      <c r="N1129" s="394"/>
      <c r="O1129" s="460"/>
      <c r="P1129" s="461"/>
    </row>
    <row r="1130" spans="1:17">
      <c r="A1130" s="492"/>
      <c r="B1130" s="394"/>
      <c r="C1130" s="394"/>
      <c r="D1130" s="394"/>
      <c r="E1130" s="394"/>
      <c r="F1130" s="394"/>
      <c r="G1130" s="394"/>
      <c r="H1130" s="394"/>
      <c r="I1130" s="394"/>
      <c r="J1130" s="394"/>
      <c r="K1130" s="394"/>
      <c r="L1130" s="394"/>
      <c r="M1130" s="394"/>
      <c r="N1130" s="394"/>
      <c r="O1130" s="460"/>
      <c r="P1130" s="461"/>
    </row>
    <row r="1131" spans="1:17">
      <c r="A1131" s="492"/>
      <c r="B1131" s="394"/>
      <c r="C1131" s="394"/>
      <c r="D1131" s="394"/>
      <c r="E1131" s="394"/>
      <c r="F1131" s="394"/>
      <c r="G1131" s="394"/>
      <c r="H1131" s="394"/>
      <c r="I1131" s="394"/>
      <c r="J1131" s="394"/>
      <c r="K1131" s="394"/>
      <c r="L1131" s="394"/>
      <c r="M1131" s="394"/>
      <c r="N1131" s="394"/>
      <c r="O1131" s="460"/>
      <c r="P1131" s="461"/>
    </row>
    <row r="1132" spans="1:17">
      <c r="A1132" s="492"/>
      <c r="B1132" s="394"/>
      <c r="C1132" s="394"/>
      <c r="D1132" s="394"/>
      <c r="E1132" s="394"/>
      <c r="F1132" s="394"/>
      <c r="G1132" s="394"/>
      <c r="H1132" s="394"/>
      <c r="I1132" s="394"/>
      <c r="J1132" s="394"/>
      <c r="K1132" s="394"/>
      <c r="L1132" s="394"/>
      <c r="M1132" s="394"/>
      <c r="N1132" s="394"/>
      <c r="O1132" s="460"/>
      <c r="P1132" s="461"/>
    </row>
    <row r="1133" spans="1:17">
      <c r="A1133" s="492"/>
      <c r="B1133" s="394"/>
      <c r="C1133" s="394"/>
      <c r="D1133" s="394"/>
      <c r="E1133" s="394"/>
      <c r="F1133" s="394"/>
      <c r="G1133" s="394"/>
      <c r="H1133" s="394"/>
      <c r="I1133" s="394"/>
      <c r="J1133" s="394"/>
      <c r="K1133" s="394"/>
      <c r="L1133" s="394"/>
      <c r="M1133" s="394"/>
      <c r="N1133" s="394"/>
      <c r="O1133" s="460"/>
      <c r="P1133" s="461"/>
    </row>
    <row r="1134" spans="1:17">
      <c r="A1134" s="492"/>
      <c r="B1134" s="394"/>
      <c r="C1134" s="394"/>
      <c r="D1134" s="491"/>
      <c r="E1134" s="491"/>
      <c r="F1134" s="394"/>
      <c r="G1134" s="394"/>
      <c r="H1134" s="394"/>
      <c r="I1134" s="394"/>
      <c r="J1134" s="394"/>
      <c r="K1134" s="394"/>
      <c r="L1134" s="394"/>
      <c r="M1134" s="394"/>
      <c r="N1134" s="394"/>
      <c r="O1134" s="460"/>
      <c r="P1134" s="461"/>
    </row>
    <row r="1135" spans="1:17">
      <c r="A1135" s="492"/>
      <c r="B1135" s="394"/>
      <c r="C1135" s="394"/>
      <c r="D1135" s="491"/>
      <c r="E1135" s="491"/>
      <c r="F1135" s="394"/>
      <c r="G1135" s="394"/>
      <c r="H1135" s="394"/>
      <c r="I1135" s="394"/>
      <c r="J1135" s="394"/>
      <c r="K1135" s="394"/>
      <c r="L1135" s="394"/>
      <c r="M1135" s="394"/>
      <c r="N1135" s="394"/>
      <c r="O1135" s="460"/>
      <c r="P1135" s="461"/>
    </row>
    <row r="1136" spans="1:17">
      <c r="A1136" s="492"/>
      <c r="B1136" s="394"/>
      <c r="C1136" s="394"/>
      <c r="D1136" s="491"/>
      <c r="E1136" s="491"/>
      <c r="F1136" s="394"/>
      <c r="G1136" s="394"/>
      <c r="H1136" s="394"/>
      <c r="I1136" s="394"/>
      <c r="J1136" s="394"/>
      <c r="K1136" s="394"/>
      <c r="L1136" s="394"/>
      <c r="M1136" s="394"/>
      <c r="N1136" s="394"/>
      <c r="O1136" s="460"/>
      <c r="P1136" s="461"/>
    </row>
    <row r="1137" spans="1:16">
      <c r="A1137" s="492"/>
      <c r="B1137" s="394"/>
      <c r="C1137" s="394"/>
      <c r="D1137" s="491"/>
      <c r="E1137" s="491"/>
      <c r="F1137" s="394"/>
      <c r="G1137" s="394"/>
      <c r="H1137" s="394"/>
      <c r="I1137" s="394"/>
      <c r="J1137" s="394"/>
      <c r="K1137" s="394"/>
      <c r="L1137" s="394"/>
      <c r="M1137" s="394"/>
      <c r="N1137" s="394"/>
      <c r="O1137" s="460"/>
      <c r="P1137" s="461"/>
    </row>
    <row r="1138" spans="1:16">
      <c r="A1138" s="492"/>
      <c r="B1138" s="394"/>
      <c r="C1138" s="394"/>
      <c r="D1138" s="491"/>
      <c r="E1138" s="491"/>
      <c r="F1138" s="394"/>
      <c r="G1138" s="394"/>
      <c r="H1138" s="394"/>
      <c r="I1138" s="394"/>
      <c r="J1138" s="394"/>
      <c r="K1138" s="394"/>
      <c r="L1138" s="394"/>
      <c r="M1138" s="394"/>
      <c r="N1138" s="394"/>
      <c r="O1138" s="460"/>
      <c r="P1138" s="461"/>
    </row>
    <row r="1139" spans="1:16">
      <c r="A1139" s="492"/>
      <c r="B1139" s="394"/>
      <c r="C1139" s="394"/>
      <c r="D1139" s="491"/>
      <c r="E1139" s="491"/>
      <c r="F1139" s="394"/>
      <c r="G1139" s="394"/>
      <c r="H1139" s="394"/>
      <c r="I1139" s="394"/>
      <c r="J1139" s="394"/>
      <c r="K1139" s="394"/>
      <c r="L1139" s="394"/>
      <c r="M1139" s="394"/>
      <c r="N1139" s="394"/>
      <c r="O1139" s="460"/>
      <c r="P1139" s="461"/>
    </row>
    <row r="1140" spans="1:16">
      <c r="A1140" s="459"/>
      <c r="B1140" s="394"/>
      <c r="C1140" s="394"/>
      <c r="D1140" s="394"/>
      <c r="E1140" s="394"/>
      <c r="F1140" s="394"/>
      <c r="G1140" s="394"/>
      <c r="H1140" s="394"/>
      <c r="I1140" s="394"/>
      <c r="J1140" s="394"/>
      <c r="K1140" s="394"/>
      <c r="L1140" s="394"/>
      <c r="M1140" s="394"/>
      <c r="N1140" s="394"/>
      <c r="O1140" s="460"/>
      <c r="P1140" s="461"/>
    </row>
    <row r="1141" spans="1:16">
      <c r="A1141" s="459"/>
      <c r="B1141" s="394"/>
      <c r="C1141" s="394"/>
      <c r="D1141" s="394"/>
      <c r="E1141" s="394"/>
      <c r="F1141" s="394"/>
      <c r="G1141" s="394"/>
      <c r="H1141" s="394"/>
      <c r="I1141" s="394"/>
      <c r="J1141" s="394"/>
      <c r="K1141" s="394"/>
      <c r="L1141" s="394"/>
      <c r="M1141" s="394"/>
      <c r="N1141" s="394"/>
      <c r="O1141" s="460"/>
      <c r="P1141" s="461"/>
    </row>
    <row r="1142" spans="1:16">
      <c r="A1142" s="459"/>
      <c r="B1142" s="394"/>
      <c r="C1142" s="394"/>
      <c r="D1142" s="394"/>
      <c r="E1142" s="394"/>
      <c r="F1142" s="394"/>
      <c r="G1142" s="394"/>
      <c r="H1142" s="394"/>
      <c r="I1142" s="394"/>
      <c r="J1142" s="394"/>
      <c r="K1142" s="394"/>
      <c r="L1142" s="394"/>
      <c r="M1142" s="394"/>
      <c r="N1142" s="394"/>
      <c r="O1142" s="460"/>
      <c r="P1142" s="461"/>
    </row>
    <row r="1143" spans="1:16">
      <c r="A1143" s="459"/>
      <c r="B1143" s="394"/>
      <c r="C1143" s="394"/>
      <c r="D1143" s="394"/>
      <c r="E1143" s="394"/>
      <c r="F1143" s="394"/>
      <c r="G1143" s="394"/>
      <c r="H1143" s="394"/>
      <c r="I1143" s="394"/>
      <c r="J1143" s="394"/>
      <c r="K1143" s="394"/>
      <c r="L1143" s="394"/>
      <c r="M1143" s="394"/>
      <c r="N1143" s="394"/>
      <c r="O1143" s="460"/>
      <c r="P1143" s="461"/>
    </row>
    <row r="1144" spans="1:16">
      <c r="A1144" s="459"/>
      <c r="B1144" s="394"/>
      <c r="C1144" s="394"/>
      <c r="D1144" s="394"/>
      <c r="E1144" s="394"/>
      <c r="F1144" s="394"/>
      <c r="G1144" s="394"/>
      <c r="H1144" s="394"/>
      <c r="I1144" s="394"/>
      <c r="J1144" s="394"/>
      <c r="K1144" s="394"/>
      <c r="L1144" s="394"/>
      <c r="M1144" s="394"/>
      <c r="N1144" s="394"/>
      <c r="O1144" s="460"/>
      <c r="P1144" s="461"/>
    </row>
    <row r="1145" spans="1:16">
      <c r="A1145" s="474"/>
      <c r="B1145" s="399"/>
      <c r="C1145" s="399"/>
      <c r="D1145" s="399"/>
      <c r="E1145" s="399"/>
      <c r="F1145" s="399"/>
      <c r="G1145" s="399"/>
      <c r="H1145" s="399"/>
      <c r="I1145" s="399"/>
      <c r="J1145" s="399"/>
      <c r="K1145" s="399"/>
      <c r="L1145" s="399"/>
      <c r="M1145" s="399"/>
      <c r="N1145" s="399"/>
      <c r="O1145" s="494"/>
      <c r="P1145" s="495"/>
    </row>
    <row r="1146" spans="1:16">
      <c r="A1146" s="474"/>
      <c r="B1146" s="399"/>
      <c r="C1146" s="399"/>
      <c r="D1146" s="399"/>
      <c r="E1146" s="399"/>
      <c r="F1146" s="399"/>
      <c r="G1146" s="399"/>
      <c r="H1146" s="399"/>
      <c r="I1146" s="399"/>
      <c r="J1146" s="399"/>
      <c r="K1146" s="399"/>
      <c r="L1146" s="399"/>
      <c r="M1146" s="399"/>
      <c r="N1146" s="399"/>
      <c r="O1146" s="494"/>
      <c r="P1146" s="495"/>
    </row>
    <row r="1147" spans="1:16">
      <c r="A1147" s="474"/>
      <c r="B1147" s="399"/>
      <c r="C1147" s="399"/>
      <c r="D1147" s="399"/>
      <c r="E1147" s="399"/>
      <c r="F1147" s="399"/>
      <c r="G1147" s="399"/>
      <c r="H1147" s="399"/>
      <c r="I1147" s="399"/>
      <c r="J1147" s="399"/>
      <c r="K1147" s="399"/>
      <c r="L1147" s="399"/>
      <c r="M1147" s="399"/>
      <c r="N1147" s="399"/>
      <c r="O1147" s="494"/>
      <c r="P1147" s="495"/>
    </row>
    <row r="1148" spans="1:16">
      <c r="A1148" s="463"/>
      <c r="B1148" s="462"/>
      <c r="C1148" s="462"/>
      <c r="D1148" s="462"/>
      <c r="E1148" s="462"/>
      <c r="F1148" s="462"/>
      <c r="G1148" s="462"/>
      <c r="H1148" s="462"/>
      <c r="I1148" s="462"/>
      <c r="J1148" s="462"/>
      <c r="K1148" s="462"/>
      <c r="L1148" s="462"/>
      <c r="M1148" s="462"/>
      <c r="N1148" s="462"/>
      <c r="O1148" s="371"/>
      <c r="P1148" s="464"/>
    </row>
    <row r="1149" spans="1:16">
      <c r="A1149" s="463"/>
      <c r="B1149" s="462"/>
      <c r="C1149" s="462"/>
      <c r="D1149" s="462"/>
      <c r="E1149" s="462"/>
      <c r="F1149" s="462"/>
      <c r="G1149" s="462"/>
      <c r="H1149" s="462"/>
      <c r="I1149" s="462"/>
      <c r="J1149" s="462"/>
      <c r="K1149" s="462"/>
      <c r="L1149" s="462"/>
      <c r="M1149" s="462"/>
      <c r="N1149" s="462"/>
      <c r="O1149" s="371"/>
      <c r="P1149" s="464"/>
    </row>
    <row r="1150" spans="1:16">
      <c r="A1150" s="463"/>
      <c r="B1150" s="462"/>
      <c r="C1150" s="462"/>
      <c r="D1150" s="462"/>
      <c r="E1150" s="462"/>
      <c r="F1150" s="462"/>
      <c r="G1150" s="462"/>
      <c r="H1150" s="462"/>
      <c r="I1150" s="462"/>
      <c r="J1150" s="462"/>
      <c r="K1150" s="462"/>
      <c r="L1150" s="462"/>
      <c r="M1150" s="462"/>
      <c r="N1150" s="462"/>
      <c r="O1150" s="371"/>
      <c r="P1150" s="464"/>
    </row>
    <row r="1151" spans="1:16" ht="15.75" thickBot="1">
      <c r="A1151" s="465"/>
      <c r="B1151" s="466"/>
      <c r="C1151" s="466"/>
      <c r="D1151" s="466"/>
      <c r="E1151" s="466"/>
      <c r="F1151" s="466"/>
      <c r="G1151" s="1029" t="s">
        <v>38</v>
      </c>
      <c r="H1151" s="1029"/>
      <c r="I1151" s="1029"/>
      <c r="J1151" s="1029"/>
      <c r="K1151" s="1029"/>
      <c r="L1151" s="1029"/>
      <c r="M1151" s="1029"/>
      <c r="N1151" s="1029"/>
      <c r="O1151" s="467"/>
      <c r="P1151" s="468"/>
    </row>
    <row r="1185" spans="1:16" ht="15.75" thickBot="1">
      <c r="O1185" s="471"/>
    </row>
    <row r="1186" spans="1:16">
      <c r="A1186" s="1030" t="s">
        <v>450</v>
      </c>
      <c r="B1186" s="1031"/>
      <c r="C1186" s="1031"/>
      <c r="D1186" s="1031"/>
      <c r="E1186" s="1031"/>
      <c r="F1186" s="1031"/>
      <c r="G1186" s="1031"/>
      <c r="H1186" s="1031"/>
      <c r="I1186" s="1031"/>
      <c r="J1186" s="1031"/>
      <c r="K1186" s="1031"/>
      <c r="L1186" s="1031"/>
      <c r="M1186" s="1031"/>
      <c r="N1186" s="1031"/>
      <c r="O1186" s="469"/>
      <c r="P1186" s="470"/>
    </row>
    <row r="1187" spans="1:16" ht="15.75" thickBot="1">
      <c r="A1187" s="1032"/>
      <c r="B1187" s="1033"/>
      <c r="C1187" s="1033"/>
      <c r="D1187" s="1033"/>
      <c r="E1187" s="1033"/>
      <c r="F1187" s="1033"/>
      <c r="G1187" s="1033"/>
      <c r="H1187" s="1033"/>
      <c r="I1187" s="1033"/>
      <c r="J1187" s="1033"/>
      <c r="K1187" s="1033"/>
      <c r="L1187" s="1033"/>
      <c r="M1187" s="1033"/>
      <c r="N1187" s="1033"/>
      <c r="O1187" s="471"/>
      <c r="P1187" s="464"/>
    </row>
    <row r="1188" spans="1:16" ht="15.75" thickBot="1">
      <c r="A1188" s="1034" t="s">
        <v>451</v>
      </c>
      <c r="B1188" s="1035"/>
      <c r="C1188" s="1035"/>
      <c r="D1188" s="1035"/>
      <c r="E1188" s="1035"/>
      <c r="F1188" s="1035"/>
      <c r="G1188" s="1035"/>
      <c r="H1188" s="1035"/>
      <c r="I1188" s="1035"/>
      <c r="J1188" s="1035"/>
      <c r="K1188" s="1035"/>
      <c r="L1188" s="1035"/>
      <c r="M1188" s="1035"/>
      <c r="N1188" s="1035"/>
      <c r="O1188" s="471"/>
      <c r="P1188" s="464"/>
    </row>
    <row r="1189" spans="1:16">
      <c r="A1189" s="472" t="s">
        <v>483</v>
      </c>
      <c r="B1189" s="405"/>
      <c r="C1189" s="405"/>
      <c r="D1189" s="406"/>
      <c r="E1189" s="1036" t="s">
        <v>484</v>
      </c>
      <c r="F1189" s="1037"/>
      <c r="G1189" s="1037"/>
      <c r="H1189" s="473"/>
      <c r="I1189" s="473"/>
      <c r="J1189" s="473"/>
      <c r="K1189" s="473"/>
      <c r="L1189" s="473"/>
      <c r="M1189" s="473"/>
      <c r="N1189" s="473"/>
      <c r="O1189" s="471"/>
      <c r="P1189" s="464"/>
    </row>
    <row r="1190" spans="1:16">
      <c r="A1190" s="474"/>
      <c r="B1190" s="399" t="s">
        <v>384</v>
      </c>
      <c r="C1190" s="399"/>
      <c r="D1190" s="408"/>
      <c r="E1190" s="475"/>
      <c r="F1190" s="476"/>
      <c r="G1190" s="1038" t="str">
        <f>'0422Master'!B33</f>
        <v>Mani Krishna Nandineedi</v>
      </c>
      <c r="H1190" s="1038"/>
      <c r="I1190" s="1038"/>
      <c r="J1190" s="476"/>
      <c r="K1190" s="476"/>
      <c r="L1190" s="476"/>
      <c r="M1190" s="476"/>
      <c r="N1190" s="476"/>
      <c r="P1190" s="464"/>
    </row>
    <row r="1191" spans="1:16" ht="15.75" thickBot="1">
      <c r="A1191" s="410"/>
      <c r="B1191" s="411" t="s">
        <v>385</v>
      </c>
      <c r="C1191" s="411"/>
      <c r="D1191" s="412"/>
      <c r="E1191" s="475"/>
      <c r="F1191" s="476"/>
      <c r="G1191" s="476"/>
      <c r="H1191" s="476"/>
      <c r="I1191" s="476"/>
      <c r="J1191" s="476"/>
      <c r="K1191" s="476"/>
      <c r="L1191" s="476"/>
      <c r="M1191" s="476"/>
      <c r="N1191" s="476"/>
      <c r="O1191" s="471"/>
      <c r="P1191" s="464"/>
    </row>
    <row r="1192" spans="1:16">
      <c r="A1192" s="404" t="s">
        <v>485</v>
      </c>
      <c r="B1192" s="405"/>
      <c r="C1192" s="405"/>
      <c r="D1192" s="406"/>
      <c r="E1192" s="404" t="s">
        <v>452</v>
      </c>
      <c r="F1192" s="405"/>
      <c r="G1192" s="477">
        <f>'0422Master'!N33</f>
        <v>44602</v>
      </c>
      <c r="H1192" s="405"/>
      <c r="I1192" s="405"/>
      <c r="J1192" s="405"/>
      <c r="K1192" s="405"/>
      <c r="L1192" s="405"/>
      <c r="M1192" s="405"/>
      <c r="N1192" s="405"/>
      <c r="O1192" s="471"/>
      <c r="P1192" s="464"/>
    </row>
    <row r="1193" spans="1:16">
      <c r="A1193" s="474"/>
      <c r="B1193" s="399"/>
      <c r="C1193" s="399" t="s">
        <v>374</v>
      </c>
      <c r="D1193" s="408"/>
      <c r="E1193" s="407"/>
      <c r="F1193" s="399"/>
      <c r="G1193" s="399"/>
      <c r="H1193" s="399"/>
      <c r="I1193" s="399"/>
      <c r="J1193" s="399"/>
      <c r="K1193" s="399"/>
      <c r="L1193" s="399"/>
      <c r="M1193" s="399"/>
      <c r="N1193" s="399"/>
      <c r="O1193" s="471"/>
      <c r="P1193" s="464"/>
    </row>
    <row r="1194" spans="1:16">
      <c r="A1194" s="474"/>
      <c r="B1194" s="399"/>
      <c r="C1194" s="399"/>
      <c r="D1194" s="408"/>
      <c r="E1194" s="478"/>
      <c r="F1194" s="399"/>
      <c r="G1194" s="399"/>
      <c r="H1194" s="399"/>
      <c r="I1194" s="399"/>
      <c r="J1194" s="399"/>
      <c r="K1194" s="399"/>
      <c r="L1194" s="399"/>
      <c r="M1194" s="399"/>
      <c r="N1194" s="399"/>
      <c r="O1194" s="471"/>
      <c r="P1194" s="464"/>
    </row>
    <row r="1195" spans="1:16" ht="15.75" thickBot="1">
      <c r="A1195" s="479"/>
      <c r="B1195" s="402"/>
      <c r="C1195" s="402"/>
      <c r="D1195" s="480"/>
      <c r="E1195" s="410"/>
      <c r="F1195" s="411"/>
      <c r="G1195" s="411"/>
      <c r="H1195" s="411"/>
      <c r="I1195" s="411"/>
      <c r="J1195" s="411"/>
      <c r="K1195" s="411"/>
      <c r="L1195" s="411"/>
      <c r="M1195" s="411"/>
      <c r="N1195" s="411"/>
      <c r="O1195" s="481"/>
      <c r="P1195" s="468"/>
    </row>
    <row r="1196" spans="1:16">
      <c r="A1196" s="1039" t="s">
        <v>5</v>
      </c>
      <c r="B1196" s="1041" t="s">
        <v>453</v>
      </c>
      <c r="C1196" s="1042"/>
      <c r="D1196" s="1041" t="s">
        <v>454</v>
      </c>
      <c r="E1196" s="1044"/>
      <c r="F1196" s="989" t="s">
        <v>455</v>
      </c>
      <c r="G1196" s="1043" t="s">
        <v>456</v>
      </c>
      <c r="H1196" s="1047"/>
      <c r="I1196" s="1048" t="s">
        <v>457</v>
      </c>
      <c r="J1196" s="1047"/>
      <c r="K1196" s="1049"/>
      <c r="L1196" s="1048" t="s">
        <v>458</v>
      </c>
      <c r="M1196" s="1047"/>
      <c r="N1196" s="1047"/>
      <c r="O1196" s="1027" t="s">
        <v>459</v>
      </c>
      <c r="P1196" s="1027" t="s">
        <v>40</v>
      </c>
    </row>
    <row r="1197" spans="1:16" ht="15.75" thickBot="1">
      <c r="A1197" s="1040"/>
      <c r="B1197" s="1043"/>
      <c r="C1197" s="1044"/>
      <c r="D1197" s="1043"/>
      <c r="E1197" s="1044"/>
      <c r="F1197" s="985"/>
      <c r="G1197" s="1043"/>
      <c r="H1197" s="1047"/>
      <c r="I1197" s="1050"/>
      <c r="J1197" s="1051"/>
      <c r="K1197" s="1052"/>
      <c r="L1197" s="1050"/>
      <c r="M1197" s="1051"/>
      <c r="N1197" s="1051"/>
      <c r="O1197" s="1028"/>
      <c r="P1197" s="1028"/>
    </row>
    <row r="1198" spans="1:16">
      <c r="A1198" s="482">
        <v>1</v>
      </c>
      <c r="B1198" s="1045"/>
      <c r="C1198" s="1046"/>
      <c r="D1198" s="1045"/>
      <c r="E1198" s="1046"/>
      <c r="F1198" s="414">
        <v>6</v>
      </c>
      <c r="G1198" s="1045"/>
      <c r="H1198" s="1046"/>
      <c r="I1198" s="483">
        <v>9</v>
      </c>
      <c r="J1198" s="483"/>
      <c r="K1198" s="483"/>
      <c r="L1198" s="483">
        <v>9</v>
      </c>
      <c r="M1198" s="483"/>
      <c r="N1198" s="483"/>
      <c r="O1198" s="484" t="s">
        <v>460</v>
      </c>
      <c r="P1198" s="485"/>
    </row>
    <row r="1199" spans="1:16" ht="51">
      <c r="A1199" s="459"/>
      <c r="B1199" s="394" t="s">
        <v>461</v>
      </c>
      <c r="C1199" s="394" t="s">
        <v>462</v>
      </c>
      <c r="D1199" s="394" t="s">
        <v>463</v>
      </c>
      <c r="E1199" s="394" t="s">
        <v>134</v>
      </c>
      <c r="F1199" s="394"/>
      <c r="G1199" s="394" t="s">
        <v>464</v>
      </c>
      <c r="H1199" s="394" t="s">
        <v>465</v>
      </c>
      <c r="I1199" s="394" t="s">
        <v>466</v>
      </c>
      <c r="J1199" s="394" t="s">
        <v>467</v>
      </c>
      <c r="K1199" s="394" t="s">
        <v>468</v>
      </c>
      <c r="L1199" s="394" t="s">
        <v>469</v>
      </c>
      <c r="M1199" s="394" t="s">
        <v>470</v>
      </c>
      <c r="N1199" s="486" t="s">
        <v>471</v>
      </c>
      <c r="O1199" s="487"/>
      <c r="P1199" s="488"/>
    </row>
    <row r="1200" spans="1:16">
      <c r="A1200" s="459"/>
      <c r="B1200" s="489"/>
      <c r="C1200" s="394"/>
      <c r="D1200" s="394"/>
      <c r="E1200" s="394"/>
      <c r="F1200" s="394"/>
      <c r="G1200" s="394"/>
      <c r="H1200" s="394"/>
      <c r="I1200" s="394"/>
      <c r="J1200" s="394"/>
      <c r="K1200" s="394"/>
      <c r="L1200" s="394"/>
      <c r="M1200" s="394"/>
      <c r="N1200" s="394"/>
      <c r="O1200" s="460"/>
      <c r="P1200" s="461"/>
    </row>
    <row r="1201" spans="1:17">
      <c r="A1201" s="490" t="s">
        <v>871</v>
      </c>
      <c r="B1201" s="394">
        <v>1.5</v>
      </c>
      <c r="C1201" s="394">
        <v>0</v>
      </c>
      <c r="D1201" s="394">
        <v>0</v>
      </c>
      <c r="E1201" s="394">
        <v>0</v>
      </c>
      <c r="F1201" s="394">
        <f>F1200+B1201-C1201</f>
        <v>1.5</v>
      </c>
      <c r="G1201" s="394"/>
      <c r="H1201" s="394"/>
      <c r="I1201" s="394" t="s">
        <v>493</v>
      </c>
      <c r="J1201" s="394" t="s">
        <v>493</v>
      </c>
      <c r="K1201" s="394" t="s">
        <v>493</v>
      </c>
      <c r="L1201" s="394"/>
      <c r="M1201" s="394"/>
      <c r="N1201" s="394"/>
      <c r="O1201" s="460"/>
      <c r="P1201" s="461"/>
    </row>
    <row r="1202" spans="1:17">
      <c r="A1202" s="537" t="s">
        <v>894</v>
      </c>
      <c r="B1202" s="394">
        <v>1.5</v>
      </c>
      <c r="C1202" s="394">
        <v>0</v>
      </c>
      <c r="D1202" s="394">
        <v>0</v>
      </c>
      <c r="E1202" s="394">
        <v>0</v>
      </c>
      <c r="F1202" s="394">
        <f>F1201+B1202-C1202</f>
        <v>3</v>
      </c>
      <c r="G1202" s="394"/>
      <c r="H1202" s="394"/>
      <c r="I1202" s="394" t="s">
        <v>493</v>
      </c>
      <c r="J1202" s="394" t="s">
        <v>493</v>
      </c>
      <c r="K1202" s="394" t="s">
        <v>493</v>
      </c>
      <c r="L1202" s="553"/>
      <c r="M1202" s="553"/>
      <c r="N1202" s="553"/>
      <c r="O1202" s="460"/>
      <c r="P1202" s="461"/>
    </row>
    <row r="1203" spans="1:17">
      <c r="A1203" s="1359" t="s">
        <v>901</v>
      </c>
      <c r="B1203" s="394">
        <v>1.5</v>
      </c>
      <c r="C1203" s="394">
        <v>0</v>
      </c>
      <c r="D1203" s="394">
        <v>0</v>
      </c>
      <c r="E1203" s="394">
        <v>0</v>
      </c>
      <c r="F1203" s="1364">
        <f>F1202+B1203-C1203</f>
        <v>4.5</v>
      </c>
      <c r="G1203" s="394"/>
      <c r="H1203" s="394"/>
      <c r="I1203" s="394" t="s">
        <v>493</v>
      </c>
      <c r="J1203" s="394" t="s">
        <v>493</v>
      </c>
      <c r="K1203" s="394" t="s">
        <v>493</v>
      </c>
      <c r="L1203" s="394"/>
      <c r="M1203" s="394"/>
      <c r="N1203" s="394"/>
      <c r="O1203" s="460"/>
      <c r="P1203" s="461"/>
      <c r="Q1203" s="8">
        <v>18</v>
      </c>
    </row>
    <row r="1204" spans="1:17">
      <c r="A1204" s="490"/>
      <c r="B1204" s="394"/>
      <c r="C1204" s="394"/>
      <c r="D1204" s="726"/>
      <c r="E1204" s="726"/>
      <c r="F1204" s="394"/>
      <c r="G1204" s="394"/>
      <c r="H1204" s="394"/>
      <c r="I1204" s="394"/>
      <c r="J1204" s="394"/>
      <c r="K1204" s="394"/>
      <c r="L1204" s="394"/>
      <c r="M1204" s="394"/>
      <c r="N1204" s="394"/>
      <c r="O1204" s="460"/>
      <c r="P1204" s="461"/>
    </row>
    <row r="1205" spans="1:17">
      <c r="A1205" s="492"/>
      <c r="B1205" s="394"/>
      <c r="C1205" s="394"/>
      <c r="D1205" s="394"/>
      <c r="E1205" s="394"/>
      <c r="F1205" s="394"/>
      <c r="G1205" s="394"/>
      <c r="H1205" s="394"/>
      <c r="I1205" s="394"/>
      <c r="J1205" s="394"/>
      <c r="K1205" s="394"/>
      <c r="L1205" s="394"/>
      <c r="M1205" s="394"/>
      <c r="N1205" s="394"/>
      <c r="O1205" s="460"/>
      <c r="P1205" s="461"/>
    </row>
    <row r="1206" spans="1:17">
      <c r="A1206" s="492"/>
      <c r="B1206" s="394"/>
      <c r="C1206" s="394"/>
      <c r="D1206" s="394"/>
      <c r="E1206" s="394"/>
      <c r="F1206" s="394"/>
      <c r="G1206" s="394"/>
      <c r="H1206" s="394"/>
      <c r="I1206" s="394"/>
      <c r="J1206" s="394"/>
      <c r="K1206" s="394"/>
      <c r="L1206" s="394"/>
      <c r="M1206" s="394"/>
      <c r="N1206" s="394"/>
      <c r="O1206" s="460"/>
      <c r="P1206" s="461"/>
    </row>
    <row r="1207" spans="1:17">
      <c r="A1207" s="492"/>
      <c r="B1207" s="394"/>
      <c r="C1207" s="394"/>
      <c r="D1207" s="394"/>
      <c r="E1207" s="394"/>
      <c r="F1207" s="394"/>
      <c r="G1207" s="394"/>
      <c r="H1207" s="394"/>
      <c r="I1207" s="394"/>
      <c r="J1207" s="394"/>
      <c r="K1207" s="394"/>
      <c r="L1207" s="394"/>
      <c r="M1207" s="394"/>
      <c r="N1207" s="394"/>
      <c r="O1207" s="460"/>
      <c r="P1207" s="461"/>
    </row>
    <row r="1208" spans="1:17">
      <c r="A1208" s="492"/>
      <c r="B1208" s="394"/>
      <c r="C1208" s="394"/>
      <c r="D1208" s="394"/>
      <c r="E1208" s="394"/>
      <c r="F1208" s="394"/>
      <c r="G1208" s="394"/>
      <c r="H1208" s="394"/>
      <c r="I1208" s="394"/>
      <c r="J1208" s="394"/>
      <c r="K1208" s="394"/>
      <c r="L1208" s="394"/>
      <c r="M1208" s="394"/>
      <c r="N1208" s="394"/>
      <c r="O1208" s="460"/>
      <c r="P1208" s="461"/>
    </row>
    <row r="1209" spans="1:17">
      <c r="A1209" s="492"/>
      <c r="B1209" s="394"/>
      <c r="C1209" s="394"/>
      <c r="D1209" s="394"/>
      <c r="E1209" s="394"/>
      <c r="F1209" s="394"/>
      <c r="G1209" s="394"/>
      <c r="H1209" s="394"/>
      <c r="I1209" s="394"/>
      <c r="J1209" s="394"/>
      <c r="K1209" s="394"/>
      <c r="L1209" s="394"/>
      <c r="M1209" s="394"/>
      <c r="N1209" s="394"/>
      <c r="O1209" s="460"/>
      <c r="P1209" s="461"/>
    </row>
    <row r="1210" spans="1:17">
      <c r="A1210" s="492"/>
      <c r="B1210" s="394"/>
      <c r="C1210" s="394"/>
      <c r="D1210" s="491"/>
      <c r="E1210" s="491"/>
      <c r="F1210" s="394"/>
      <c r="G1210" s="394"/>
      <c r="H1210" s="394"/>
      <c r="I1210" s="394"/>
      <c r="J1210" s="394"/>
      <c r="K1210" s="394"/>
      <c r="L1210" s="394"/>
      <c r="M1210" s="394"/>
      <c r="N1210" s="394"/>
      <c r="O1210" s="460"/>
      <c r="P1210" s="461"/>
    </row>
    <row r="1211" spans="1:17">
      <c r="A1211" s="492"/>
      <c r="B1211" s="394"/>
      <c r="C1211" s="394"/>
      <c r="D1211" s="491"/>
      <c r="E1211" s="491"/>
      <c r="F1211" s="394"/>
      <c r="G1211" s="394"/>
      <c r="H1211" s="394"/>
      <c r="I1211" s="394"/>
      <c r="J1211" s="394"/>
      <c r="K1211" s="394"/>
      <c r="L1211" s="394"/>
      <c r="M1211" s="394"/>
      <c r="N1211" s="394"/>
      <c r="O1211" s="460"/>
      <c r="P1211" s="461"/>
    </row>
    <row r="1212" spans="1:17">
      <c r="A1212" s="492"/>
      <c r="B1212" s="394"/>
      <c r="C1212" s="394"/>
      <c r="D1212" s="491"/>
      <c r="E1212" s="491"/>
      <c r="F1212" s="394"/>
      <c r="G1212" s="394"/>
      <c r="H1212" s="394"/>
      <c r="I1212" s="394"/>
      <c r="J1212" s="394"/>
      <c r="K1212" s="394"/>
      <c r="L1212" s="394"/>
      <c r="M1212" s="394"/>
      <c r="N1212" s="394"/>
      <c r="O1212" s="460"/>
      <c r="P1212" s="461"/>
    </row>
    <row r="1213" spans="1:17">
      <c r="A1213" s="492"/>
      <c r="B1213" s="394"/>
      <c r="C1213" s="394"/>
      <c r="D1213" s="491"/>
      <c r="E1213" s="491"/>
      <c r="F1213" s="394"/>
      <c r="G1213" s="394"/>
      <c r="H1213" s="394"/>
      <c r="I1213" s="394"/>
      <c r="J1213" s="394"/>
      <c r="K1213" s="394"/>
      <c r="L1213" s="394"/>
      <c r="M1213" s="394"/>
      <c r="N1213" s="394"/>
      <c r="O1213" s="460"/>
      <c r="P1213" s="461"/>
    </row>
    <row r="1214" spans="1:17">
      <c r="A1214" s="492"/>
      <c r="B1214" s="394"/>
      <c r="C1214" s="394"/>
      <c r="D1214" s="491"/>
      <c r="E1214" s="491"/>
      <c r="F1214" s="394"/>
      <c r="G1214" s="394"/>
      <c r="H1214" s="394"/>
      <c r="I1214" s="394"/>
      <c r="J1214" s="394"/>
      <c r="K1214" s="394"/>
      <c r="L1214" s="394"/>
      <c r="M1214" s="394"/>
      <c r="N1214" s="394"/>
      <c r="O1214" s="460"/>
      <c r="P1214" s="461"/>
    </row>
    <row r="1215" spans="1:17">
      <c r="A1215" s="492"/>
      <c r="B1215" s="394"/>
      <c r="C1215" s="394"/>
      <c r="D1215" s="491"/>
      <c r="E1215" s="491"/>
      <c r="F1215" s="394"/>
      <c r="G1215" s="394"/>
      <c r="H1215" s="394"/>
      <c r="I1215" s="394"/>
      <c r="J1215" s="394"/>
      <c r="K1215" s="394"/>
      <c r="L1215" s="394"/>
      <c r="M1215" s="394"/>
      <c r="N1215" s="394"/>
      <c r="O1215" s="460"/>
      <c r="P1215" s="461"/>
    </row>
    <row r="1216" spans="1:17">
      <c r="A1216" s="459"/>
      <c r="B1216" s="394"/>
      <c r="C1216" s="394"/>
      <c r="D1216" s="394"/>
      <c r="E1216" s="394"/>
      <c r="F1216" s="394"/>
      <c r="G1216" s="394"/>
      <c r="H1216" s="394"/>
      <c r="I1216" s="394"/>
      <c r="J1216" s="394"/>
      <c r="K1216" s="394"/>
      <c r="L1216" s="394"/>
      <c r="M1216" s="394"/>
      <c r="N1216" s="394"/>
      <c r="O1216" s="460"/>
      <c r="P1216" s="461"/>
    </row>
    <row r="1217" spans="1:16">
      <c r="A1217" s="459"/>
      <c r="B1217" s="394"/>
      <c r="C1217" s="394"/>
      <c r="D1217" s="394"/>
      <c r="E1217" s="394"/>
      <c r="F1217" s="394"/>
      <c r="G1217" s="394"/>
      <c r="H1217" s="394"/>
      <c r="I1217" s="394"/>
      <c r="J1217" s="394"/>
      <c r="K1217" s="394"/>
      <c r="L1217" s="394"/>
      <c r="M1217" s="394"/>
      <c r="N1217" s="394"/>
      <c r="O1217" s="460"/>
      <c r="P1217" s="461"/>
    </row>
    <row r="1218" spans="1:16">
      <c r="A1218" s="459"/>
      <c r="B1218" s="394"/>
      <c r="C1218" s="394"/>
      <c r="D1218" s="394"/>
      <c r="E1218" s="394"/>
      <c r="F1218" s="394"/>
      <c r="G1218" s="394"/>
      <c r="H1218" s="394"/>
      <c r="I1218" s="394"/>
      <c r="J1218" s="394"/>
      <c r="K1218" s="394"/>
      <c r="L1218" s="394"/>
      <c r="M1218" s="394"/>
      <c r="N1218" s="394"/>
      <c r="O1218" s="460"/>
      <c r="P1218" s="461"/>
    </row>
    <row r="1219" spans="1:16">
      <c r="A1219" s="459"/>
      <c r="B1219" s="394"/>
      <c r="C1219" s="394"/>
      <c r="D1219" s="394"/>
      <c r="E1219" s="394"/>
      <c r="F1219" s="394"/>
      <c r="G1219" s="394"/>
      <c r="H1219" s="394"/>
      <c r="I1219" s="394"/>
      <c r="J1219" s="394"/>
      <c r="K1219" s="394"/>
      <c r="L1219" s="394"/>
      <c r="M1219" s="394"/>
      <c r="N1219" s="394"/>
      <c r="O1219" s="460"/>
      <c r="P1219" s="461"/>
    </row>
    <row r="1220" spans="1:16">
      <c r="A1220" s="459"/>
      <c r="B1220" s="394"/>
      <c r="C1220" s="394"/>
      <c r="D1220" s="394"/>
      <c r="E1220" s="394"/>
      <c r="F1220" s="394"/>
      <c r="G1220" s="394"/>
      <c r="H1220" s="394"/>
      <c r="I1220" s="394"/>
      <c r="J1220" s="394"/>
      <c r="K1220" s="394"/>
      <c r="L1220" s="394"/>
      <c r="M1220" s="394"/>
      <c r="N1220" s="394"/>
      <c r="O1220" s="460"/>
      <c r="P1220" s="461"/>
    </row>
    <row r="1221" spans="1:16">
      <c r="A1221" s="474"/>
      <c r="B1221" s="399"/>
      <c r="C1221" s="399"/>
      <c r="D1221" s="399"/>
      <c r="E1221" s="399"/>
      <c r="F1221" s="399"/>
      <c r="G1221" s="399"/>
      <c r="H1221" s="399"/>
      <c r="I1221" s="399"/>
      <c r="J1221" s="399"/>
      <c r="K1221" s="399"/>
      <c r="L1221" s="399"/>
      <c r="M1221" s="399"/>
      <c r="N1221" s="399"/>
      <c r="O1221" s="494"/>
      <c r="P1221" s="495"/>
    </row>
    <row r="1222" spans="1:16">
      <c r="A1222" s="474"/>
      <c r="B1222" s="399"/>
      <c r="C1222" s="399"/>
      <c r="D1222" s="399"/>
      <c r="E1222" s="399"/>
      <c r="F1222" s="399"/>
      <c r="G1222" s="399"/>
      <c r="H1222" s="399"/>
      <c r="I1222" s="399"/>
      <c r="J1222" s="399"/>
      <c r="K1222" s="399"/>
      <c r="L1222" s="399"/>
      <c r="M1222" s="399"/>
      <c r="N1222" s="399"/>
      <c r="O1222" s="494"/>
      <c r="P1222" s="495"/>
    </row>
    <row r="1223" spans="1:16">
      <c r="A1223" s="474"/>
      <c r="B1223" s="399"/>
      <c r="C1223" s="399"/>
      <c r="D1223" s="399"/>
      <c r="E1223" s="399"/>
      <c r="F1223" s="399"/>
      <c r="G1223" s="399"/>
      <c r="H1223" s="399"/>
      <c r="I1223" s="399"/>
      <c r="J1223" s="399"/>
      <c r="K1223" s="399"/>
      <c r="L1223" s="399"/>
      <c r="M1223" s="399"/>
      <c r="N1223" s="399"/>
      <c r="O1223" s="494"/>
      <c r="P1223" s="495"/>
    </row>
    <row r="1224" spans="1:16">
      <c r="A1224" s="463"/>
      <c r="B1224" s="462"/>
      <c r="C1224" s="462"/>
      <c r="D1224" s="462"/>
      <c r="E1224" s="462"/>
      <c r="F1224" s="462"/>
      <c r="G1224" s="462"/>
      <c r="H1224" s="462"/>
      <c r="I1224" s="462"/>
      <c r="J1224" s="462"/>
      <c r="K1224" s="462"/>
      <c r="L1224" s="462"/>
      <c r="M1224" s="462"/>
      <c r="N1224" s="462"/>
      <c r="O1224" s="371"/>
      <c r="P1224" s="464"/>
    </row>
    <row r="1225" spans="1:16">
      <c r="A1225" s="463"/>
      <c r="B1225" s="462"/>
      <c r="C1225" s="462"/>
      <c r="D1225" s="462"/>
      <c r="E1225" s="462"/>
      <c r="F1225" s="462"/>
      <c r="G1225" s="462"/>
      <c r="H1225" s="462"/>
      <c r="I1225" s="462"/>
      <c r="J1225" s="462"/>
      <c r="K1225" s="462"/>
      <c r="L1225" s="462"/>
      <c r="M1225" s="462"/>
      <c r="N1225" s="462"/>
      <c r="O1225" s="371"/>
      <c r="P1225" s="464"/>
    </row>
    <row r="1226" spans="1:16">
      <c r="A1226" s="463"/>
      <c r="B1226" s="462"/>
      <c r="C1226" s="462"/>
      <c r="D1226" s="462"/>
      <c r="E1226" s="462"/>
      <c r="F1226" s="462"/>
      <c r="G1226" s="462"/>
      <c r="H1226" s="462"/>
      <c r="I1226" s="462"/>
      <c r="J1226" s="462"/>
      <c r="K1226" s="462"/>
      <c r="L1226" s="462"/>
      <c r="M1226" s="462"/>
      <c r="N1226" s="462"/>
      <c r="O1226" s="371"/>
      <c r="P1226" s="464"/>
    </row>
    <row r="1227" spans="1:16" ht="15.75" thickBot="1">
      <c r="A1227" s="465"/>
      <c r="B1227" s="466"/>
      <c r="C1227" s="466"/>
      <c r="D1227" s="466"/>
      <c r="E1227" s="466"/>
      <c r="F1227" s="466"/>
      <c r="G1227" s="1029" t="s">
        <v>38</v>
      </c>
      <c r="H1227" s="1029"/>
      <c r="I1227" s="1029"/>
      <c r="J1227" s="1029"/>
      <c r="K1227" s="1029"/>
      <c r="L1227" s="1029"/>
      <c r="M1227" s="1029"/>
      <c r="N1227" s="1029"/>
      <c r="O1227" s="467"/>
      <c r="P1227" s="468"/>
    </row>
    <row r="1257" spans="1:16" ht="15.75" thickBot="1">
      <c r="O1257" s="471"/>
    </row>
    <row r="1258" spans="1:16">
      <c r="A1258" s="1030" t="s">
        <v>450</v>
      </c>
      <c r="B1258" s="1031"/>
      <c r="C1258" s="1031"/>
      <c r="D1258" s="1031"/>
      <c r="E1258" s="1031"/>
      <c r="F1258" s="1031"/>
      <c r="G1258" s="1031"/>
      <c r="H1258" s="1031"/>
      <c r="I1258" s="1031"/>
      <c r="J1258" s="1031"/>
      <c r="K1258" s="1031"/>
      <c r="L1258" s="1031"/>
      <c r="M1258" s="1031"/>
      <c r="N1258" s="1031"/>
      <c r="O1258" s="469"/>
      <c r="P1258" s="470"/>
    </row>
    <row r="1259" spans="1:16" ht="15.75" thickBot="1">
      <c r="A1259" s="1032"/>
      <c r="B1259" s="1033"/>
      <c r="C1259" s="1033"/>
      <c r="D1259" s="1033"/>
      <c r="E1259" s="1033"/>
      <c r="F1259" s="1033"/>
      <c r="G1259" s="1033"/>
      <c r="H1259" s="1033"/>
      <c r="I1259" s="1033"/>
      <c r="J1259" s="1033"/>
      <c r="K1259" s="1033"/>
      <c r="L1259" s="1033"/>
      <c r="M1259" s="1033"/>
      <c r="N1259" s="1033"/>
      <c r="O1259" s="471"/>
      <c r="P1259" s="464"/>
    </row>
    <row r="1260" spans="1:16" ht="15.75" thickBot="1">
      <c r="A1260" s="1034" t="s">
        <v>451</v>
      </c>
      <c r="B1260" s="1035"/>
      <c r="C1260" s="1035"/>
      <c r="D1260" s="1035"/>
      <c r="E1260" s="1035"/>
      <c r="F1260" s="1035"/>
      <c r="G1260" s="1035"/>
      <c r="H1260" s="1035"/>
      <c r="I1260" s="1035"/>
      <c r="J1260" s="1035"/>
      <c r="K1260" s="1035"/>
      <c r="L1260" s="1035"/>
      <c r="M1260" s="1035"/>
      <c r="N1260" s="1035"/>
      <c r="O1260" s="471"/>
      <c r="P1260" s="464"/>
    </row>
    <row r="1261" spans="1:16">
      <c r="A1261" s="472" t="s">
        <v>483</v>
      </c>
      <c r="B1261" s="405"/>
      <c r="C1261" s="405"/>
      <c r="D1261" s="406"/>
      <c r="E1261" s="1036" t="s">
        <v>484</v>
      </c>
      <c r="F1261" s="1037"/>
      <c r="G1261" s="1037"/>
      <c r="H1261" s="473"/>
      <c r="I1261" s="473"/>
      <c r="J1261" s="473"/>
      <c r="K1261" s="473"/>
      <c r="L1261" s="473"/>
      <c r="M1261" s="473"/>
      <c r="N1261" s="473"/>
      <c r="O1261" s="471"/>
      <c r="P1261" s="464"/>
    </row>
    <row r="1262" spans="1:16">
      <c r="A1262" s="474"/>
      <c r="B1262" s="399" t="s">
        <v>384</v>
      </c>
      <c r="C1262" s="399"/>
      <c r="D1262" s="408"/>
      <c r="E1262" s="475"/>
      <c r="F1262" s="476"/>
      <c r="G1262" s="1038" t="str">
        <f>'0422Master'!B34</f>
        <v>Sushma P</v>
      </c>
      <c r="H1262" s="1038"/>
      <c r="I1262" s="1038"/>
      <c r="J1262" s="476"/>
      <c r="K1262" s="476"/>
      <c r="L1262" s="476"/>
      <c r="M1262" s="476"/>
      <c r="N1262" s="476"/>
      <c r="P1262" s="464"/>
    </row>
    <row r="1263" spans="1:16" ht="15.75" thickBot="1">
      <c r="A1263" s="410"/>
      <c r="B1263" s="411" t="s">
        <v>385</v>
      </c>
      <c r="C1263" s="411"/>
      <c r="D1263" s="412"/>
      <c r="E1263" s="475"/>
      <c r="F1263" s="476"/>
      <c r="G1263" s="476"/>
      <c r="H1263" s="476"/>
      <c r="I1263" s="476"/>
      <c r="J1263" s="476"/>
      <c r="K1263" s="476"/>
      <c r="L1263" s="476"/>
      <c r="M1263" s="476"/>
      <c r="N1263" s="476"/>
      <c r="O1263" s="471"/>
      <c r="P1263" s="464"/>
    </row>
    <row r="1264" spans="1:16">
      <c r="A1264" s="404" t="s">
        <v>485</v>
      </c>
      <c r="B1264" s="405"/>
      <c r="C1264" s="405"/>
      <c r="D1264" s="406"/>
      <c r="E1264" s="404" t="s">
        <v>452</v>
      </c>
      <c r="F1264" s="405"/>
      <c r="G1264" s="477">
        <f>'0422Master'!N34</f>
        <v>44602</v>
      </c>
      <c r="H1264" s="405"/>
      <c r="I1264" s="405"/>
      <c r="J1264" s="405"/>
      <c r="K1264" s="405"/>
      <c r="L1264" s="405"/>
      <c r="M1264" s="405"/>
      <c r="N1264" s="405"/>
      <c r="O1264" s="471"/>
      <c r="P1264" s="464"/>
    </row>
    <row r="1265" spans="1:17">
      <c r="A1265" s="474"/>
      <c r="B1265" s="399"/>
      <c r="C1265" s="399" t="s">
        <v>374</v>
      </c>
      <c r="D1265" s="408"/>
      <c r="E1265" s="407"/>
      <c r="F1265" s="399"/>
      <c r="G1265" s="399"/>
      <c r="H1265" s="399"/>
      <c r="I1265" s="399"/>
      <c r="J1265" s="399"/>
      <c r="K1265" s="399"/>
      <c r="L1265" s="399"/>
      <c r="M1265" s="399"/>
      <c r="N1265" s="399"/>
      <c r="O1265" s="471"/>
      <c r="P1265" s="464"/>
    </row>
    <row r="1266" spans="1:17">
      <c r="A1266" s="474"/>
      <c r="B1266" s="399"/>
      <c r="C1266" s="399"/>
      <c r="D1266" s="408"/>
      <c r="E1266" s="478"/>
      <c r="F1266" s="399"/>
      <c r="G1266" s="399"/>
      <c r="H1266" s="399"/>
      <c r="I1266" s="399"/>
      <c r="J1266" s="399"/>
      <c r="K1266" s="399"/>
      <c r="L1266" s="399"/>
      <c r="M1266" s="399"/>
      <c r="N1266" s="399"/>
      <c r="O1266" s="471"/>
      <c r="P1266" s="464"/>
    </row>
    <row r="1267" spans="1:17" ht="15.75" thickBot="1">
      <c r="A1267" s="479"/>
      <c r="B1267" s="402"/>
      <c r="C1267" s="402"/>
      <c r="D1267" s="480"/>
      <c r="E1267" s="410"/>
      <c r="F1267" s="411"/>
      <c r="G1267" s="411"/>
      <c r="H1267" s="411"/>
      <c r="I1267" s="411"/>
      <c r="J1267" s="411"/>
      <c r="K1267" s="411"/>
      <c r="L1267" s="411"/>
      <c r="M1267" s="411"/>
      <c r="N1267" s="411"/>
      <c r="O1267" s="481"/>
      <c r="P1267" s="468"/>
    </row>
    <row r="1268" spans="1:17">
      <c r="A1268" s="1039" t="s">
        <v>5</v>
      </c>
      <c r="B1268" s="1041" t="s">
        <v>453</v>
      </c>
      <c r="C1268" s="1042"/>
      <c r="D1268" s="1041" t="s">
        <v>454</v>
      </c>
      <c r="E1268" s="1044"/>
      <c r="F1268" s="989" t="s">
        <v>455</v>
      </c>
      <c r="G1268" s="1043" t="s">
        <v>456</v>
      </c>
      <c r="H1268" s="1047"/>
      <c r="I1268" s="1048" t="s">
        <v>457</v>
      </c>
      <c r="J1268" s="1047"/>
      <c r="K1268" s="1049"/>
      <c r="L1268" s="1048" t="s">
        <v>458</v>
      </c>
      <c r="M1268" s="1047"/>
      <c r="N1268" s="1047"/>
      <c r="O1268" s="1027" t="s">
        <v>459</v>
      </c>
      <c r="P1268" s="1027" t="s">
        <v>40</v>
      </c>
    </row>
    <row r="1269" spans="1:17" ht="15.75" thickBot="1">
      <c r="A1269" s="1040"/>
      <c r="B1269" s="1043"/>
      <c r="C1269" s="1044"/>
      <c r="D1269" s="1043"/>
      <c r="E1269" s="1044"/>
      <c r="F1269" s="985"/>
      <c r="G1269" s="1043"/>
      <c r="H1269" s="1047"/>
      <c r="I1269" s="1050"/>
      <c r="J1269" s="1051"/>
      <c r="K1269" s="1052"/>
      <c r="L1269" s="1050"/>
      <c r="M1269" s="1051"/>
      <c r="N1269" s="1051"/>
      <c r="O1269" s="1028"/>
      <c r="P1269" s="1028"/>
    </row>
    <row r="1270" spans="1:17">
      <c r="A1270" s="482">
        <v>1</v>
      </c>
      <c r="B1270" s="1045"/>
      <c r="C1270" s="1046"/>
      <c r="D1270" s="1045"/>
      <c r="E1270" s="1046"/>
      <c r="F1270" s="414">
        <v>6</v>
      </c>
      <c r="G1270" s="1045"/>
      <c r="H1270" s="1046"/>
      <c r="I1270" s="483">
        <v>9</v>
      </c>
      <c r="J1270" s="483"/>
      <c r="K1270" s="483"/>
      <c r="L1270" s="483">
        <v>9</v>
      </c>
      <c r="M1270" s="483"/>
      <c r="N1270" s="483"/>
      <c r="O1270" s="484" t="s">
        <v>460</v>
      </c>
      <c r="P1270" s="485"/>
    </row>
    <row r="1271" spans="1:17" ht="51">
      <c r="A1271" s="459"/>
      <c r="B1271" s="394" t="s">
        <v>461</v>
      </c>
      <c r="C1271" s="394" t="s">
        <v>462</v>
      </c>
      <c r="D1271" s="394" t="s">
        <v>463</v>
      </c>
      <c r="E1271" s="394" t="s">
        <v>134</v>
      </c>
      <c r="F1271" s="394"/>
      <c r="G1271" s="394" t="s">
        <v>464</v>
      </c>
      <c r="H1271" s="394" t="s">
        <v>465</v>
      </c>
      <c r="I1271" s="394" t="s">
        <v>466</v>
      </c>
      <c r="J1271" s="394" t="s">
        <v>467</v>
      </c>
      <c r="K1271" s="394" t="s">
        <v>468</v>
      </c>
      <c r="L1271" s="394" t="s">
        <v>469</v>
      </c>
      <c r="M1271" s="394" t="s">
        <v>470</v>
      </c>
      <c r="N1271" s="486" t="s">
        <v>471</v>
      </c>
      <c r="O1271" s="487"/>
      <c r="P1271" s="488"/>
    </row>
    <row r="1272" spans="1:17">
      <c r="A1272" s="459"/>
      <c r="B1272" s="489"/>
      <c r="C1272" s="394"/>
      <c r="D1272" s="394"/>
      <c r="E1272" s="394"/>
      <c r="F1272" s="394"/>
      <c r="G1272" s="394"/>
      <c r="H1272" s="394"/>
      <c r="I1272" s="394"/>
      <c r="J1272" s="394"/>
      <c r="K1272" s="394"/>
      <c r="L1272" s="394"/>
      <c r="M1272" s="394"/>
      <c r="N1272" s="394"/>
      <c r="O1272" s="460"/>
      <c r="P1272" s="461"/>
    </row>
    <row r="1273" spans="1:17">
      <c r="A1273" s="490" t="s">
        <v>871</v>
      </c>
      <c r="B1273" s="394">
        <v>1.5</v>
      </c>
      <c r="C1273" s="394">
        <v>0</v>
      </c>
      <c r="D1273" s="394">
        <v>0</v>
      </c>
      <c r="E1273" s="394">
        <v>0</v>
      </c>
      <c r="F1273" s="394">
        <f>F1272+B1273-C1273</f>
        <v>1.5</v>
      </c>
      <c r="G1273" s="394"/>
      <c r="H1273" s="394"/>
      <c r="I1273" s="394" t="s">
        <v>493</v>
      </c>
      <c r="J1273" s="394" t="s">
        <v>493</v>
      </c>
      <c r="K1273" s="394" t="s">
        <v>493</v>
      </c>
      <c r="L1273" s="394"/>
      <c r="M1273" s="394"/>
      <c r="N1273" s="394"/>
      <c r="O1273" s="460"/>
      <c r="P1273" s="461"/>
    </row>
    <row r="1274" spans="1:17">
      <c r="A1274" s="537" t="s">
        <v>894</v>
      </c>
      <c r="B1274" s="394">
        <v>1.5</v>
      </c>
      <c r="C1274" s="394">
        <v>0</v>
      </c>
      <c r="D1274" s="394">
        <v>0</v>
      </c>
      <c r="E1274" s="394">
        <v>0</v>
      </c>
      <c r="F1274" s="394">
        <f>F1273+B1274-C1274</f>
        <v>3</v>
      </c>
      <c r="G1274" s="394"/>
      <c r="H1274" s="394"/>
      <c r="I1274" s="394" t="s">
        <v>493</v>
      </c>
      <c r="J1274" s="394" t="s">
        <v>493</v>
      </c>
      <c r="K1274" s="394" t="s">
        <v>493</v>
      </c>
      <c r="L1274" s="553"/>
      <c r="M1274" s="553"/>
      <c r="N1274" s="553"/>
      <c r="O1274" s="460"/>
      <c r="P1274" s="461"/>
    </row>
    <row r="1275" spans="1:17">
      <c r="A1275" s="1359" t="s">
        <v>901</v>
      </c>
      <c r="B1275" s="394">
        <v>1.5</v>
      </c>
      <c r="C1275" s="394">
        <v>0</v>
      </c>
      <c r="D1275" s="394">
        <v>0</v>
      </c>
      <c r="E1275" s="394">
        <v>0</v>
      </c>
      <c r="F1275" s="1364">
        <f>F1274+B1275-C1275</f>
        <v>4.5</v>
      </c>
      <c r="G1275" s="394"/>
      <c r="H1275" s="394"/>
      <c r="I1275" s="394" t="s">
        <v>493</v>
      </c>
      <c r="J1275" s="394" t="s">
        <v>493</v>
      </c>
      <c r="K1275" s="394" t="s">
        <v>493</v>
      </c>
      <c r="L1275" s="394"/>
      <c r="M1275" s="394"/>
      <c r="N1275" s="394"/>
      <c r="O1275" s="460"/>
      <c r="P1275" s="461"/>
      <c r="Q1275" s="8">
        <v>19</v>
      </c>
    </row>
    <row r="1276" spans="1:17">
      <c r="A1276" s="490"/>
      <c r="B1276" s="394"/>
      <c r="C1276" s="394"/>
      <c r="D1276" s="726"/>
      <c r="E1276" s="726"/>
      <c r="F1276" s="394"/>
      <c r="G1276" s="394"/>
      <c r="H1276" s="394"/>
      <c r="I1276" s="394"/>
      <c r="J1276" s="394"/>
      <c r="K1276" s="394"/>
      <c r="L1276" s="394"/>
      <c r="M1276" s="394"/>
      <c r="N1276" s="394"/>
      <c r="O1276" s="460"/>
      <c r="P1276" s="461"/>
    </row>
    <row r="1277" spans="1:17">
      <c r="A1277" s="492"/>
      <c r="B1277" s="394"/>
      <c r="C1277" s="394"/>
      <c r="D1277" s="394"/>
      <c r="E1277" s="394"/>
      <c r="F1277" s="394"/>
      <c r="G1277" s="394"/>
      <c r="H1277" s="394"/>
      <c r="I1277" s="394"/>
      <c r="J1277" s="394"/>
      <c r="K1277" s="394"/>
      <c r="L1277" s="394"/>
      <c r="M1277" s="394"/>
      <c r="N1277" s="394"/>
      <c r="O1277" s="460"/>
      <c r="P1277" s="461"/>
    </row>
    <row r="1278" spans="1:17">
      <c r="A1278" s="492"/>
      <c r="B1278" s="394"/>
      <c r="C1278" s="394"/>
      <c r="D1278" s="394"/>
      <c r="E1278" s="394"/>
      <c r="F1278" s="394"/>
      <c r="G1278" s="394"/>
      <c r="H1278" s="394"/>
      <c r="I1278" s="394"/>
      <c r="J1278" s="394"/>
      <c r="K1278" s="394"/>
      <c r="L1278" s="394"/>
      <c r="M1278" s="394"/>
      <c r="N1278" s="394"/>
      <c r="O1278" s="460"/>
      <c r="P1278" s="461"/>
    </row>
    <row r="1279" spans="1:17">
      <c r="A1279" s="492"/>
      <c r="B1279" s="394"/>
      <c r="C1279" s="394"/>
      <c r="D1279" s="394"/>
      <c r="E1279" s="394"/>
      <c r="F1279" s="394"/>
      <c r="G1279" s="394"/>
      <c r="H1279" s="394"/>
      <c r="I1279" s="394"/>
      <c r="J1279" s="394"/>
      <c r="K1279" s="394"/>
      <c r="L1279" s="394"/>
      <c r="M1279" s="394"/>
      <c r="N1279" s="394"/>
      <c r="O1279" s="460"/>
      <c r="P1279" s="461"/>
    </row>
    <row r="1280" spans="1:17">
      <c r="A1280" s="492"/>
      <c r="B1280" s="394"/>
      <c r="C1280" s="394"/>
      <c r="D1280" s="394"/>
      <c r="E1280" s="394"/>
      <c r="F1280" s="394"/>
      <c r="G1280" s="394"/>
      <c r="H1280" s="394"/>
      <c r="I1280" s="394"/>
      <c r="J1280" s="394"/>
      <c r="K1280" s="394"/>
      <c r="L1280" s="394"/>
      <c r="M1280" s="394"/>
      <c r="N1280" s="394"/>
      <c r="O1280" s="460"/>
      <c r="P1280" s="461"/>
    </row>
    <row r="1281" spans="1:16">
      <c r="A1281" s="492"/>
      <c r="B1281" s="394"/>
      <c r="C1281" s="394"/>
      <c r="D1281" s="394"/>
      <c r="E1281" s="394"/>
      <c r="F1281" s="394"/>
      <c r="G1281" s="394"/>
      <c r="H1281" s="394"/>
      <c r="I1281" s="394"/>
      <c r="J1281" s="394"/>
      <c r="K1281" s="394"/>
      <c r="L1281" s="394"/>
      <c r="M1281" s="394"/>
      <c r="N1281" s="394"/>
      <c r="O1281" s="460"/>
      <c r="P1281" s="461"/>
    </row>
    <row r="1282" spans="1:16">
      <c r="A1282" s="492"/>
      <c r="B1282" s="394"/>
      <c r="C1282" s="394"/>
      <c r="D1282" s="491"/>
      <c r="E1282" s="491"/>
      <c r="F1282" s="394"/>
      <c r="G1282" s="394"/>
      <c r="H1282" s="394"/>
      <c r="I1282" s="394"/>
      <c r="J1282" s="394"/>
      <c r="K1282" s="394"/>
      <c r="L1282" s="394"/>
      <c r="M1282" s="394"/>
      <c r="N1282" s="394"/>
      <c r="O1282" s="460"/>
      <c r="P1282" s="461"/>
    </row>
    <row r="1283" spans="1:16">
      <c r="A1283" s="492"/>
      <c r="B1283" s="394"/>
      <c r="C1283" s="394"/>
      <c r="D1283" s="491"/>
      <c r="E1283" s="491"/>
      <c r="F1283" s="394"/>
      <c r="G1283" s="394"/>
      <c r="H1283" s="394"/>
      <c r="I1283" s="394"/>
      <c r="J1283" s="394"/>
      <c r="K1283" s="394"/>
      <c r="L1283" s="394"/>
      <c r="M1283" s="394"/>
      <c r="N1283" s="394"/>
      <c r="O1283" s="460"/>
      <c r="P1283" s="461"/>
    </row>
    <row r="1284" spans="1:16">
      <c r="A1284" s="492"/>
      <c r="B1284" s="394"/>
      <c r="C1284" s="394"/>
      <c r="D1284" s="491"/>
      <c r="E1284" s="491"/>
      <c r="F1284" s="394"/>
      <c r="G1284" s="394"/>
      <c r="H1284" s="394"/>
      <c r="I1284" s="394"/>
      <c r="J1284" s="394"/>
      <c r="K1284" s="394"/>
      <c r="L1284" s="394"/>
      <c r="M1284" s="394"/>
      <c r="N1284" s="394"/>
      <c r="O1284" s="460"/>
      <c r="P1284" s="461"/>
    </row>
    <row r="1285" spans="1:16">
      <c r="A1285" s="492"/>
      <c r="B1285" s="394"/>
      <c r="C1285" s="394"/>
      <c r="D1285" s="491"/>
      <c r="E1285" s="491"/>
      <c r="F1285" s="394"/>
      <c r="G1285" s="394"/>
      <c r="H1285" s="394"/>
      <c r="I1285" s="394"/>
      <c r="J1285" s="394"/>
      <c r="K1285" s="394"/>
      <c r="L1285" s="394"/>
      <c r="M1285" s="394"/>
      <c r="N1285" s="394"/>
      <c r="O1285" s="460"/>
      <c r="P1285" s="461"/>
    </row>
    <row r="1286" spans="1:16">
      <c r="A1286" s="492"/>
      <c r="B1286" s="394"/>
      <c r="C1286" s="394"/>
      <c r="D1286" s="491"/>
      <c r="E1286" s="491"/>
      <c r="F1286" s="394"/>
      <c r="G1286" s="394"/>
      <c r="H1286" s="394"/>
      <c r="I1286" s="394"/>
      <c r="J1286" s="394"/>
      <c r="K1286" s="394"/>
      <c r="L1286" s="394"/>
      <c r="M1286" s="394"/>
      <c r="N1286" s="394"/>
      <c r="O1286" s="460"/>
      <c r="P1286" s="461"/>
    </row>
    <row r="1287" spans="1:16">
      <c r="A1287" s="492"/>
      <c r="B1287" s="394"/>
      <c r="C1287" s="394"/>
      <c r="D1287" s="491"/>
      <c r="E1287" s="491"/>
      <c r="F1287" s="394"/>
      <c r="G1287" s="394"/>
      <c r="H1287" s="394"/>
      <c r="I1287" s="394"/>
      <c r="J1287" s="394"/>
      <c r="K1287" s="394"/>
      <c r="L1287" s="394"/>
      <c r="M1287" s="394"/>
      <c r="N1287" s="394"/>
      <c r="O1287" s="460"/>
      <c r="P1287" s="461"/>
    </row>
    <row r="1288" spans="1:16">
      <c r="A1288" s="459"/>
      <c r="B1288" s="394"/>
      <c r="C1288" s="394"/>
      <c r="D1288" s="394"/>
      <c r="E1288" s="394"/>
      <c r="F1288" s="394"/>
      <c r="G1288" s="394"/>
      <c r="H1288" s="394"/>
      <c r="I1288" s="394"/>
      <c r="J1288" s="394"/>
      <c r="K1288" s="394"/>
      <c r="L1288" s="394"/>
      <c r="M1288" s="394"/>
      <c r="N1288" s="394"/>
      <c r="O1288" s="460"/>
      <c r="P1288" s="461"/>
    </row>
    <row r="1289" spans="1:16">
      <c r="A1289" s="459"/>
      <c r="B1289" s="394"/>
      <c r="C1289" s="394"/>
      <c r="D1289" s="394"/>
      <c r="E1289" s="394"/>
      <c r="F1289" s="394"/>
      <c r="G1289" s="394"/>
      <c r="H1289" s="394"/>
      <c r="I1289" s="394"/>
      <c r="J1289" s="394"/>
      <c r="K1289" s="394"/>
      <c r="L1289" s="394"/>
      <c r="M1289" s="394"/>
      <c r="N1289" s="394"/>
      <c r="O1289" s="460"/>
      <c r="P1289" s="461"/>
    </row>
    <row r="1290" spans="1:16">
      <c r="A1290" s="459"/>
      <c r="B1290" s="394"/>
      <c r="C1290" s="394"/>
      <c r="D1290" s="394"/>
      <c r="E1290" s="394"/>
      <c r="F1290" s="394"/>
      <c r="G1290" s="394"/>
      <c r="H1290" s="394"/>
      <c r="I1290" s="394"/>
      <c r="J1290" s="394"/>
      <c r="K1290" s="394"/>
      <c r="L1290" s="394"/>
      <c r="M1290" s="394"/>
      <c r="N1290" s="394"/>
      <c r="O1290" s="460"/>
      <c r="P1290" s="461"/>
    </row>
    <row r="1291" spans="1:16">
      <c r="A1291" s="459"/>
      <c r="B1291" s="394"/>
      <c r="C1291" s="394"/>
      <c r="D1291" s="394"/>
      <c r="E1291" s="394"/>
      <c r="F1291" s="394"/>
      <c r="G1291" s="394"/>
      <c r="H1291" s="394"/>
      <c r="I1291" s="394"/>
      <c r="J1291" s="394"/>
      <c r="K1291" s="394"/>
      <c r="L1291" s="394"/>
      <c r="M1291" s="394"/>
      <c r="N1291" s="394"/>
      <c r="O1291" s="460"/>
      <c r="P1291" s="461"/>
    </row>
    <row r="1292" spans="1:16">
      <c r="A1292" s="459"/>
      <c r="B1292" s="394"/>
      <c r="C1292" s="394"/>
      <c r="D1292" s="394"/>
      <c r="E1292" s="394"/>
      <c r="F1292" s="394"/>
      <c r="G1292" s="394"/>
      <c r="H1292" s="394"/>
      <c r="I1292" s="394"/>
      <c r="J1292" s="394"/>
      <c r="K1292" s="394"/>
      <c r="L1292" s="394"/>
      <c r="M1292" s="394"/>
      <c r="N1292" s="394"/>
      <c r="O1292" s="460"/>
      <c r="P1292" s="461"/>
    </row>
    <row r="1293" spans="1:16">
      <c r="A1293" s="474"/>
      <c r="B1293" s="399"/>
      <c r="C1293" s="399"/>
      <c r="D1293" s="399"/>
      <c r="E1293" s="399"/>
      <c r="F1293" s="399"/>
      <c r="G1293" s="399"/>
      <c r="H1293" s="399"/>
      <c r="I1293" s="399"/>
      <c r="J1293" s="399"/>
      <c r="K1293" s="399"/>
      <c r="L1293" s="399"/>
      <c r="M1293" s="399"/>
      <c r="N1293" s="399"/>
      <c r="O1293" s="494"/>
      <c r="P1293" s="495"/>
    </row>
    <row r="1294" spans="1:16">
      <c r="A1294" s="474"/>
      <c r="B1294" s="399"/>
      <c r="C1294" s="399"/>
      <c r="D1294" s="399"/>
      <c r="E1294" s="399"/>
      <c r="F1294" s="399"/>
      <c r="G1294" s="399"/>
      <c r="H1294" s="399"/>
      <c r="I1294" s="399"/>
      <c r="J1294" s="399"/>
      <c r="K1294" s="399"/>
      <c r="L1294" s="399"/>
      <c r="M1294" s="399"/>
      <c r="N1294" s="399"/>
      <c r="O1294" s="494"/>
      <c r="P1294" s="495"/>
    </row>
    <row r="1295" spans="1:16">
      <c r="A1295" s="474"/>
      <c r="B1295" s="399"/>
      <c r="C1295" s="399"/>
      <c r="D1295" s="399"/>
      <c r="E1295" s="399"/>
      <c r="F1295" s="399"/>
      <c r="G1295" s="399"/>
      <c r="H1295" s="399"/>
      <c r="I1295" s="399"/>
      <c r="J1295" s="399"/>
      <c r="K1295" s="399"/>
      <c r="L1295" s="399"/>
      <c r="M1295" s="399"/>
      <c r="N1295" s="399"/>
      <c r="O1295" s="494"/>
      <c r="P1295" s="495"/>
    </row>
    <row r="1296" spans="1:16">
      <c r="A1296" s="463"/>
      <c r="B1296" s="462"/>
      <c r="C1296" s="462"/>
      <c r="D1296" s="462"/>
      <c r="E1296" s="462"/>
      <c r="F1296" s="462"/>
      <c r="G1296" s="462"/>
      <c r="H1296" s="462"/>
      <c r="I1296" s="462"/>
      <c r="J1296" s="462"/>
      <c r="K1296" s="462"/>
      <c r="L1296" s="462"/>
      <c r="M1296" s="462"/>
      <c r="N1296" s="462"/>
      <c r="O1296" s="371"/>
      <c r="P1296" s="464"/>
    </row>
    <row r="1297" spans="1:16">
      <c r="A1297" s="463"/>
      <c r="B1297" s="462"/>
      <c r="C1297" s="462"/>
      <c r="D1297" s="462"/>
      <c r="E1297" s="462"/>
      <c r="F1297" s="462"/>
      <c r="G1297" s="462"/>
      <c r="H1297" s="462"/>
      <c r="I1297" s="462"/>
      <c r="J1297" s="462"/>
      <c r="K1297" s="462"/>
      <c r="L1297" s="462"/>
      <c r="M1297" s="462"/>
      <c r="N1297" s="462"/>
      <c r="O1297" s="371"/>
      <c r="P1297" s="464"/>
    </row>
    <row r="1298" spans="1:16">
      <c r="A1298" s="463"/>
      <c r="B1298" s="462"/>
      <c r="C1298" s="462"/>
      <c r="D1298" s="462"/>
      <c r="E1298" s="462"/>
      <c r="F1298" s="462"/>
      <c r="G1298" s="462"/>
      <c r="H1298" s="462"/>
      <c r="I1298" s="462"/>
      <c r="J1298" s="462"/>
      <c r="K1298" s="462"/>
      <c r="L1298" s="462"/>
      <c r="M1298" s="462"/>
      <c r="N1298" s="462"/>
      <c r="O1298" s="371"/>
      <c r="P1298" s="464"/>
    </row>
    <row r="1299" spans="1:16" ht="15.75" thickBot="1">
      <c r="A1299" s="465"/>
      <c r="B1299" s="466"/>
      <c r="C1299" s="466"/>
      <c r="D1299" s="466"/>
      <c r="E1299" s="466"/>
      <c r="F1299" s="466"/>
      <c r="G1299" s="1029" t="s">
        <v>38</v>
      </c>
      <c r="H1299" s="1029"/>
      <c r="I1299" s="1029"/>
      <c r="J1299" s="1029"/>
      <c r="K1299" s="1029"/>
      <c r="L1299" s="1029"/>
      <c r="M1299" s="1029"/>
      <c r="N1299" s="1029"/>
      <c r="O1299" s="467"/>
      <c r="P1299" s="468"/>
    </row>
    <row r="1329" spans="1:16" ht="15.75" thickBot="1">
      <c r="O1329" s="471"/>
    </row>
    <row r="1330" spans="1:16">
      <c r="A1330" s="1030" t="s">
        <v>450</v>
      </c>
      <c r="B1330" s="1031"/>
      <c r="C1330" s="1031"/>
      <c r="D1330" s="1031"/>
      <c r="E1330" s="1031"/>
      <c r="F1330" s="1031"/>
      <c r="G1330" s="1031"/>
      <c r="H1330" s="1031"/>
      <c r="I1330" s="1031"/>
      <c r="J1330" s="1031"/>
      <c r="K1330" s="1031"/>
      <c r="L1330" s="1031"/>
      <c r="M1330" s="1031"/>
      <c r="N1330" s="1031"/>
      <c r="O1330" s="469"/>
      <c r="P1330" s="470"/>
    </row>
    <row r="1331" spans="1:16" ht="15.75" thickBot="1">
      <c r="A1331" s="1032"/>
      <c r="B1331" s="1033"/>
      <c r="C1331" s="1033"/>
      <c r="D1331" s="1033"/>
      <c r="E1331" s="1033"/>
      <c r="F1331" s="1033"/>
      <c r="G1331" s="1033"/>
      <c r="H1331" s="1033"/>
      <c r="I1331" s="1033"/>
      <c r="J1331" s="1033"/>
      <c r="K1331" s="1033"/>
      <c r="L1331" s="1033"/>
      <c r="M1331" s="1033"/>
      <c r="N1331" s="1033"/>
      <c r="O1331" s="471"/>
      <c r="P1331" s="464"/>
    </row>
    <row r="1332" spans="1:16" ht="15.75" thickBot="1">
      <c r="A1332" s="1034" t="s">
        <v>451</v>
      </c>
      <c r="B1332" s="1035"/>
      <c r="C1332" s="1035"/>
      <c r="D1332" s="1035"/>
      <c r="E1332" s="1035"/>
      <c r="F1332" s="1035"/>
      <c r="G1332" s="1035"/>
      <c r="H1332" s="1035"/>
      <c r="I1332" s="1035"/>
      <c r="J1332" s="1035"/>
      <c r="K1332" s="1035"/>
      <c r="L1332" s="1035"/>
      <c r="M1332" s="1035"/>
      <c r="N1332" s="1035"/>
      <c r="O1332" s="471"/>
      <c r="P1332" s="464"/>
    </row>
    <row r="1333" spans="1:16">
      <c r="A1333" s="472" t="s">
        <v>483</v>
      </c>
      <c r="B1333" s="405"/>
      <c r="C1333" s="405"/>
      <c r="D1333" s="406"/>
      <c r="E1333" s="1036" t="s">
        <v>484</v>
      </c>
      <c r="F1333" s="1037"/>
      <c r="G1333" s="1037"/>
      <c r="H1333" s="473"/>
      <c r="I1333" s="473"/>
      <c r="J1333" s="473"/>
      <c r="K1333" s="473"/>
      <c r="L1333" s="473"/>
      <c r="M1333" s="473"/>
      <c r="N1333" s="473"/>
      <c r="O1333" s="471"/>
      <c r="P1333" s="464"/>
    </row>
    <row r="1334" spans="1:16">
      <c r="A1334" s="474"/>
      <c r="B1334" s="399" t="s">
        <v>384</v>
      </c>
      <c r="C1334" s="399"/>
      <c r="D1334" s="408"/>
      <c r="E1334" s="475"/>
      <c r="F1334" s="476"/>
      <c r="G1334" s="1038" t="str">
        <f>'0422Master'!B35</f>
        <v>susheelKumar Gandla</v>
      </c>
      <c r="H1334" s="1038"/>
      <c r="I1334" s="1038"/>
      <c r="J1334" s="476"/>
      <c r="K1334" s="476"/>
      <c r="L1334" s="476"/>
      <c r="M1334" s="476"/>
      <c r="N1334" s="476"/>
      <c r="P1334" s="464"/>
    </row>
    <row r="1335" spans="1:16" ht="15.75" thickBot="1">
      <c r="A1335" s="410"/>
      <c r="B1335" s="411" t="s">
        <v>385</v>
      </c>
      <c r="C1335" s="411"/>
      <c r="D1335" s="412"/>
      <c r="E1335" s="475"/>
      <c r="F1335" s="476"/>
      <c r="G1335" s="476"/>
      <c r="H1335" s="476"/>
      <c r="I1335" s="476"/>
      <c r="J1335" s="476"/>
      <c r="K1335" s="476"/>
      <c r="L1335" s="476"/>
      <c r="M1335" s="476"/>
      <c r="N1335" s="476"/>
      <c r="O1335" s="471"/>
      <c r="P1335" s="464"/>
    </row>
    <row r="1336" spans="1:16">
      <c r="A1336" s="404" t="s">
        <v>485</v>
      </c>
      <c r="B1336" s="405"/>
      <c r="C1336" s="405"/>
      <c r="D1336" s="406"/>
      <c r="E1336" s="404" t="s">
        <v>452</v>
      </c>
      <c r="F1336" s="405"/>
      <c r="G1336" s="477">
        <f>'0422Master'!N35</f>
        <v>44652</v>
      </c>
      <c r="H1336" s="405"/>
      <c r="I1336" s="405"/>
      <c r="J1336" s="405"/>
      <c r="K1336" s="405"/>
      <c r="L1336" s="405"/>
      <c r="M1336" s="405"/>
      <c r="N1336" s="405"/>
      <c r="O1336" s="471"/>
      <c r="P1336" s="464"/>
    </row>
    <row r="1337" spans="1:16">
      <c r="A1337" s="474"/>
      <c r="B1337" s="399"/>
      <c r="C1337" s="399" t="s">
        <v>374</v>
      </c>
      <c r="D1337" s="408"/>
      <c r="E1337" s="407"/>
      <c r="F1337" s="399"/>
      <c r="G1337" s="399"/>
      <c r="H1337" s="399"/>
      <c r="I1337" s="399"/>
      <c r="J1337" s="399"/>
      <c r="K1337" s="399"/>
      <c r="L1337" s="399"/>
      <c r="M1337" s="399"/>
      <c r="N1337" s="399"/>
      <c r="O1337" s="471"/>
      <c r="P1337" s="464"/>
    </row>
    <row r="1338" spans="1:16">
      <c r="A1338" s="474"/>
      <c r="B1338" s="399"/>
      <c r="C1338" s="399"/>
      <c r="D1338" s="408"/>
      <c r="E1338" s="478"/>
      <c r="F1338" s="399"/>
      <c r="G1338" s="399"/>
      <c r="H1338" s="399"/>
      <c r="I1338" s="399"/>
      <c r="J1338" s="399"/>
      <c r="K1338" s="399"/>
      <c r="L1338" s="399"/>
      <c r="M1338" s="399"/>
      <c r="N1338" s="399"/>
      <c r="O1338" s="471"/>
      <c r="P1338" s="464"/>
    </row>
    <row r="1339" spans="1:16" ht="15.75" thickBot="1">
      <c r="A1339" s="479"/>
      <c r="B1339" s="402"/>
      <c r="C1339" s="402"/>
      <c r="D1339" s="480"/>
      <c r="E1339" s="410"/>
      <c r="F1339" s="411"/>
      <c r="G1339" s="411"/>
      <c r="H1339" s="411"/>
      <c r="I1339" s="411"/>
      <c r="J1339" s="411"/>
      <c r="K1339" s="411"/>
      <c r="L1339" s="411"/>
      <c r="M1339" s="411"/>
      <c r="N1339" s="411"/>
      <c r="O1339" s="481"/>
      <c r="P1339" s="468"/>
    </row>
    <row r="1340" spans="1:16">
      <c r="A1340" s="1039" t="s">
        <v>5</v>
      </c>
      <c r="B1340" s="1041" t="s">
        <v>453</v>
      </c>
      <c r="C1340" s="1042"/>
      <c r="D1340" s="1041" t="s">
        <v>454</v>
      </c>
      <c r="E1340" s="1044"/>
      <c r="F1340" s="989" t="s">
        <v>455</v>
      </c>
      <c r="G1340" s="1043" t="s">
        <v>456</v>
      </c>
      <c r="H1340" s="1047"/>
      <c r="I1340" s="1048" t="s">
        <v>457</v>
      </c>
      <c r="J1340" s="1047"/>
      <c r="K1340" s="1049"/>
      <c r="L1340" s="1048" t="s">
        <v>458</v>
      </c>
      <c r="M1340" s="1047"/>
      <c r="N1340" s="1047"/>
      <c r="O1340" s="1027" t="s">
        <v>459</v>
      </c>
      <c r="P1340" s="1027" t="s">
        <v>40</v>
      </c>
    </row>
    <row r="1341" spans="1:16" ht="15.75" thickBot="1">
      <c r="A1341" s="1040"/>
      <c r="B1341" s="1043"/>
      <c r="C1341" s="1044"/>
      <c r="D1341" s="1043"/>
      <c r="E1341" s="1044"/>
      <c r="F1341" s="985"/>
      <c r="G1341" s="1043"/>
      <c r="H1341" s="1047"/>
      <c r="I1341" s="1050"/>
      <c r="J1341" s="1051"/>
      <c r="K1341" s="1052"/>
      <c r="L1341" s="1050"/>
      <c r="M1341" s="1051"/>
      <c r="N1341" s="1051"/>
      <c r="O1341" s="1028"/>
      <c r="P1341" s="1028"/>
    </row>
    <row r="1342" spans="1:16">
      <c r="A1342" s="482">
        <v>1</v>
      </c>
      <c r="B1342" s="1045"/>
      <c r="C1342" s="1046"/>
      <c r="D1342" s="1045"/>
      <c r="E1342" s="1046"/>
      <c r="F1342" s="414">
        <v>6</v>
      </c>
      <c r="G1342" s="1045"/>
      <c r="H1342" s="1046"/>
      <c r="I1342" s="483">
        <v>9</v>
      </c>
      <c r="J1342" s="483"/>
      <c r="K1342" s="483"/>
      <c r="L1342" s="483">
        <v>9</v>
      </c>
      <c r="M1342" s="483"/>
      <c r="N1342" s="483"/>
      <c r="O1342" s="484" t="s">
        <v>460</v>
      </c>
      <c r="P1342" s="485"/>
    </row>
    <row r="1343" spans="1:16" ht="51">
      <c r="A1343" s="459"/>
      <c r="B1343" s="394" t="s">
        <v>461</v>
      </c>
      <c r="C1343" s="394" t="s">
        <v>462</v>
      </c>
      <c r="D1343" s="394" t="s">
        <v>463</v>
      </c>
      <c r="E1343" s="394" t="s">
        <v>134</v>
      </c>
      <c r="F1343" s="394"/>
      <c r="G1343" s="394" t="s">
        <v>464</v>
      </c>
      <c r="H1343" s="394" t="s">
        <v>465</v>
      </c>
      <c r="I1343" s="394" t="s">
        <v>466</v>
      </c>
      <c r="J1343" s="394" t="s">
        <v>467</v>
      </c>
      <c r="K1343" s="394" t="s">
        <v>468</v>
      </c>
      <c r="L1343" s="394" t="s">
        <v>469</v>
      </c>
      <c r="M1343" s="394" t="s">
        <v>470</v>
      </c>
      <c r="N1343" s="486" t="s">
        <v>471</v>
      </c>
      <c r="O1343" s="487"/>
      <c r="P1343" s="488"/>
    </row>
    <row r="1344" spans="1:16">
      <c r="A1344" s="459"/>
      <c r="B1344" s="489"/>
      <c r="C1344" s="394"/>
      <c r="D1344" s="394"/>
      <c r="E1344" s="394"/>
      <c r="F1344" s="394"/>
      <c r="G1344" s="394"/>
      <c r="H1344" s="394"/>
      <c r="I1344" s="394"/>
      <c r="J1344" s="394"/>
      <c r="K1344" s="394"/>
      <c r="L1344" s="394"/>
      <c r="M1344" s="394"/>
      <c r="N1344" s="394"/>
      <c r="O1344" s="460"/>
      <c r="P1344" s="461"/>
    </row>
    <row r="1345" spans="1:17">
      <c r="A1345" s="537" t="s">
        <v>894</v>
      </c>
      <c r="B1345" s="394">
        <v>0</v>
      </c>
      <c r="C1345" s="394">
        <v>0</v>
      </c>
      <c r="D1345" s="394">
        <v>0</v>
      </c>
      <c r="E1345" s="394">
        <v>0</v>
      </c>
      <c r="F1345" s="394">
        <f>F1344+B1345-C1345</f>
        <v>0</v>
      </c>
      <c r="G1345" s="394"/>
      <c r="H1345" s="394"/>
      <c r="I1345" s="394" t="s">
        <v>493</v>
      </c>
      <c r="J1345" s="394" t="s">
        <v>493</v>
      </c>
      <c r="K1345" s="394" t="s">
        <v>493</v>
      </c>
      <c r="L1345" s="553"/>
      <c r="M1345" s="553"/>
      <c r="N1345" s="553" t="s">
        <v>895</v>
      </c>
      <c r="O1345" s="460"/>
      <c r="P1345" s="461"/>
    </row>
    <row r="1346" spans="1:17">
      <c r="A1346" s="1359" t="s">
        <v>901</v>
      </c>
      <c r="B1346" s="394">
        <v>1.5</v>
      </c>
      <c r="C1346" s="394">
        <v>0</v>
      </c>
      <c r="D1346" s="394">
        <v>0</v>
      </c>
      <c r="E1346" s="394">
        <v>0</v>
      </c>
      <c r="F1346" s="1364">
        <f>F1345+B1346-C1346</f>
        <v>1.5</v>
      </c>
      <c r="G1346" s="394"/>
      <c r="H1346" s="394"/>
      <c r="I1346" s="394" t="s">
        <v>493</v>
      </c>
      <c r="J1346" s="394" t="s">
        <v>493</v>
      </c>
      <c r="K1346" s="394" t="s">
        <v>493</v>
      </c>
      <c r="L1346" s="394"/>
      <c r="M1346" s="394"/>
      <c r="N1346" s="394"/>
      <c r="O1346" s="460"/>
      <c r="P1346" s="461"/>
      <c r="Q1346" s="8">
        <v>20</v>
      </c>
    </row>
    <row r="1347" spans="1:17">
      <c r="A1347" s="490"/>
      <c r="B1347" s="394"/>
      <c r="C1347" s="394"/>
      <c r="D1347" s="726"/>
      <c r="E1347" s="726"/>
      <c r="F1347" s="394"/>
      <c r="G1347" s="394"/>
      <c r="H1347" s="394"/>
      <c r="I1347" s="394"/>
      <c r="J1347" s="394"/>
      <c r="K1347" s="394"/>
      <c r="L1347" s="394"/>
      <c r="M1347" s="394"/>
      <c r="N1347" s="394"/>
      <c r="O1347" s="460"/>
      <c r="P1347" s="461"/>
    </row>
    <row r="1348" spans="1:17">
      <c r="A1348" s="490"/>
      <c r="B1348" s="394"/>
      <c r="C1348" s="394"/>
      <c r="D1348" s="726"/>
      <c r="E1348" s="726"/>
      <c r="F1348" s="394"/>
      <c r="G1348" s="394"/>
      <c r="H1348" s="394"/>
      <c r="I1348" s="394"/>
      <c r="J1348" s="394"/>
      <c r="K1348" s="394"/>
      <c r="L1348" s="394"/>
      <c r="M1348" s="394"/>
      <c r="N1348" s="394"/>
      <c r="O1348" s="460"/>
      <c r="P1348" s="461"/>
    </row>
    <row r="1349" spans="1:17">
      <c r="A1349" s="492"/>
      <c r="B1349" s="394"/>
      <c r="C1349" s="394"/>
      <c r="D1349" s="394"/>
      <c r="E1349" s="394"/>
      <c r="F1349" s="394"/>
      <c r="G1349" s="394"/>
      <c r="H1349" s="394"/>
      <c r="I1349" s="394"/>
      <c r="J1349" s="394"/>
      <c r="K1349" s="394"/>
      <c r="L1349" s="394"/>
      <c r="M1349" s="394"/>
      <c r="N1349" s="394"/>
      <c r="O1349" s="460"/>
      <c r="P1349" s="461"/>
    </row>
    <row r="1350" spans="1:17">
      <c r="A1350" s="492"/>
      <c r="B1350" s="394"/>
      <c r="C1350" s="394"/>
      <c r="D1350" s="394"/>
      <c r="E1350" s="394"/>
      <c r="F1350" s="394"/>
      <c r="G1350" s="394"/>
      <c r="H1350" s="394"/>
      <c r="I1350" s="394"/>
      <c r="J1350" s="394"/>
      <c r="K1350" s="394"/>
      <c r="L1350" s="394"/>
      <c r="M1350" s="394"/>
      <c r="N1350" s="394"/>
      <c r="O1350" s="460"/>
      <c r="P1350" s="461"/>
    </row>
    <row r="1351" spans="1:17">
      <c r="A1351" s="492"/>
      <c r="B1351" s="394"/>
      <c r="C1351" s="394"/>
      <c r="D1351" s="394"/>
      <c r="E1351" s="394"/>
      <c r="F1351" s="394"/>
      <c r="G1351" s="394"/>
      <c r="H1351" s="394"/>
      <c r="I1351" s="394"/>
      <c r="J1351" s="394"/>
      <c r="K1351" s="394"/>
      <c r="L1351" s="394"/>
      <c r="M1351" s="394"/>
      <c r="N1351" s="394"/>
      <c r="O1351" s="460"/>
      <c r="P1351" s="461"/>
    </row>
    <row r="1352" spans="1:17">
      <c r="A1352" s="492"/>
      <c r="B1352" s="394"/>
      <c r="C1352" s="394"/>
      <c r="D1352" s="394"/>
      <c r="E1352" s="394"/>
      <c r="F1352" s="394"/>
      <c r="G1352" s="394"/>
      <c r="H1352" s="394"/>
      <c r="I1352" s="394"/>
      <c r="J1352" s="394"/>
      <c r="K1352" s="394"/>
      <c r="L1352" s="394"/>
      <c r="M1352" s="394"/>
      <c r="N1352" s="394"/>
      <c r="O1352" s="460"/>
      <c r="P1352" s="461"/>
    </row>
    <row r="1353" spans="1:17">
      <c r="A1353" s="492"/>
      <c r="B1353" s="394"/>
      <c r="C1353" s="394"/>
      <c r="D1353" s="394"/>
      <c r="E1353" s="394"/>
      <c r="F1353" s="394"/>
      <c r="G1353" s="394"/>
      <c r="H1353" s="394"/>
      <c r="I1353" s="394"/>
      <c r="J1353" s="394"/>
      <c r="K1353" s="394"/>
      <c r="L1353" s="394"/>
      <c r="M1353" s="394"/>
      <c r="N1353" s="394"/>
      <c r="O1353" s="460"/>
      <c r="P1353" s="461"/>
    </row>
    <row r="1354" spans="1:17">
      <c r="A1354" s="492"/>
      <c r="B1354" s="394"/>
      <c r="C1354" s="394"/>
      <c r="D1354" s="491"/>
      <c r="E1354" s="491"/>
      <c r="F1354" s="394"/>
      <c r="G1354" s="394"/>
      <c r="H1354" s="394"/>
      <c r="I1354" s="394"/>
      <c r="J1354" s="394"/>
      <c r="K1354" s="394"/>
      <c r="L1354" s="394"/>
      <c r="M1354" s="394"/>
      <c r="N1354" s="394"/>
      <c r="O1354" s="460"/>
      <c r="P1354" s="461"/>
    </row>
    <row r="1355" spans="1:17">
      <c r="A1355" s="492"/>
      <c r="B1355" s="394"/>
      <c r="C1355" s="394"/>
      <c r="D1355" s="491"/>
      <c r="E1355" s="491"/>
      <c r="F1355" s="394"/>
      <c r="G1355" s="394"/>
      <c r="H1355" s="394"/>
      <c r="I1355" s="394"/>
      <c r="J1355" s="394"/>
      <c r="K1355" s="394"/>
      <c r="L1355" s="394"/>
      <c r="M1355" s="394"/>
      <c r="N1355" s="394"/>
      <c r="O1355" s="460"/>
      <c r="P1355" s="461"/>
    </row>
    <row r="1356" spans="1:17">
      <c r="A1356" s="492"/>
      <c r="B1356" s="394"/>
      <c r="C1356" s="394"/>
      <c r="D1356" s="491"/>
      <c r="E1356" s="491"/>
      <c r="F1356" s="394"/>
      <c r="G1356" s="394"/>
      <c r="H1356" s="394"/>
      <c r="I1356" s="394"/>
      <c r="J1356" s="394"/>
      <c r="K1356" s="394"/>
      <c r="L1356" s="394"/>
      <c r="M1356" s="394"/>
      <c r="N1356" s="394"/>
      <c r="O1356" s="460"/>
      <c r="P1356" s="461"/>
    </row>
    <row r="1357" spans="1:17">
      <c r="A1357" s="492"/>
      <c r="B1357" s="394"/>
      <c r="C1357" s="394"/>
      <c r="D1357" s="491"/>
      <c r="E1357" s="491"/>
      <c r="F1357" s="394"/>
      <c r="G1357" s="394"/>
      <c r="H1357" s="394"/>
      <c r="I1357" s="394"/>
      <c r="J1357" s="394"/>
      <c r="K1357" s="394"/>
      <c r="L1357" s="394"/>
      <c r="M1357" s="394"/>
      <c r="N1357" s="394"/>
      <c r="O1357" s="460"/>
      <c r="P1357" s="461"/>
    </row>
    <row r="1358" spans="1:17">
      <c r="A1358" s="492"/>
      <c r="B1358" s="394"/>
      <c r="C1358" s="394"/>
      <c r="D1358" s="491"/>
      <c r="E1358" s="491"/>
      <c r="F1358" s="394"/>
      <c r="G1358" s="394"/>
      <c r="H1358" s="394"/>
      <c r="I1358" s="394"/>
      <c r="J1358" s="394"/>
      <c r="K1358" s="394"/>
      <c r="L1358" s="394"/>
      <c r="M1358" s="394"/>
      <c r="N1358" s="394"/>
      <c r="O1358" s="460"/>
      <c r="P1358" s="461"/>
    </row>
    <row r="1359" spans="1:17">
      <c r="A1359" s="492"/>
      <c r="B1359" s="394"/>
      <c r="C1359" s="394"/>
      <c r="D1359" s="491"/>
      <c r="E1359" s="491"/>
      <c r="F1359" s="394"/>
      <c r="G1359" s="394"/>
      <c r="H1359" s="394"/>
      <c r="I1359" s="394"/>
      <c r="J1359" s="394"/>
      <c r="K1359" s="394"/>
      <c r="L1359" s="394"/>
      <c r="M1359" s="394"/>
      <c r="N1359" s="394"/>
      <c r="O1359" s="460"/>
      <c r="P1359" s="461"/>
    </row>
    <row r="1360" spans="1:17">
      <c r="A1360" s="459"/>
      <c r="B1360" s="394"/>
      <c r="C1360" s="394"/>
      <c r="D1360" s="394"/>
      <c r="E1360" s="394"/>
      <c r="F1360" s="394"/>
      <c r="G1360" s="394"/>
      <c r="H1360" s="394"/>
      <c r="I1360" s="394"/>
      <c r="J1360" s="394"/>
      <c r="K1360" s="394"/>
      <c r="L1360" s="394"/>
      <c r="M1360" s="394"/>
      <c r="N1360" s="394"/>
      <c r="O1360" s="460"/>
      <c r="P1360" s="461"/>
    </row>
    <row r="1361" spans="1:16">
      <c r="A1361" s="459"/>
      <c r="B1361" s="394"/>
      <c r="C1361" s="394"/>
      <c r="D1361" s="394"/>
      <c r="E1361" s="394"/>
      <c r="F1361" s="394"/>
      <c r="G1361" s="394"/>
      <c r="H1361" s="394"/>
      <c r="I1361" s="394"/>
      <c r="J1361" s="394"/>
      <c r="K1361" s="394"/>
      <c r="L1361" s="394"/>
      <c r="M1361" s="394"/>
      <c r="N1361" s="394"/>
      <c r="O1361" s="460"/>
      <c r="P1361" s="461"/>
    </row>
    <row r="1362" spans="1:16">
      <c r="A1362" s="459"/>
      <c r="B1362" s="394"/>
      <c r="C1362" s="394"/>
      <c r="D1362" s="394"/>
      <c r="E1362" s="394"/>
      <c r="F1362" s="394"/>
      <c r="G1362" s="394"/>
      <c r="H1362" s="394"/>
      <c r="I1362" s="394"/>
      <c r="J1362" s="394"/>
      <c r="K1362" s="394"/>
      <c r="L1362" s="394"/>
      <c r="M1362" s="394"/>
      <c r="N1362" s="394"/>
      <c r="O1362" s="460"/>
      <c r="P1362" s="461"/>
    </row>
    <row r="1363" spans="1:16">
      <c r="A1363" s="459"/>
      <c r="B1363" s="394"/>
      <c r="C1363" s="394"/>
      <c r="D1363" s="394"/>
      <c r="E1363" s="394"/>
      <c r="F1363" s="394"/>
      <c r="G1363" s="394"/>
      <c r="H1363" s="394"/>
      <c r="I1363" s="394"/>
      <c r="J1363" s="394"/>
      <c r="K1363" s="394"/>
      <c r="L1363" s="394"/>
      <c r="M1363" s="394"/>
      <c r="N1363" s="394"/>
      <c r="O1363" s="460"/>
      <c r="P1363" s="461"/>
    </row>
    <row r="1364" spans="1:16">
      <c r="A1364" s="459"/>
      <c r="B1364" s="394"/>
      <c r="C1364" s="394"/>
      <c r="D1364" s="394"/>
      <c r="E1364" s="394"/>
      <c r="F1364" s="394"/>
      <c r="G1364" s="394"/>
      <c r="H1364" s="394"/>
      <c r="I1364" s="394"/>
      <c r="J1364" s="394"/>
      <c r="K1364" s="394"/>
      <c r="L1364" s="394"/>
      <c r="M1364" s="394"/>
      <c r="N1364" s="394"/>
      <c r="O1364" s="460"/>
      <c r="P1364" s="461"/>
    </row>
    <row r="1365" spans="1:16">
      <c r="A1365" s="474"/>
      <c r="B1365" s="399"/>
      <c r="C1365" s="399"/>
      <c r="D1365" s="399"/>
      <c r="E1365" s="399"/>
      <c r="F1365" s="399"/>
      <c r="G1365" s="399"/>
      <c r="H1365" s="399"/>
      <c r="I1365" s="399"/>
      <c r="J1365" s="399"/>
      <c r="K1365" s="399"/>
      <c r="L1365" s="399"/>
      <c r="M1365" s="399"/>
      <c r="N1365" s="399"/>
      <c r="O1365" s="494"/>
      <c r="P1365" s="495"/>
    </row>
    <row r="1366" spans="1:16">
      <c r="A1366" s="474"/>
      <c r="B1366" s="399"/>
      <c r="C1366" s="399"/>
      <c r="D1366" s="399"/>
      <c r="E1366" s="399"/>
      <c r="F1366" s="399"/>
      <c r="G1366" s="399"/>
      <c r="H1366" s="399"/>
      <c r="I1366" s="399"/>
      <c r="J1366" s="399"/>
      <c r="K1366" s="399"/>
      <c r="L1366" s="399"/>
      <c r="M1366" s="399"/>
      <c r="N1366" s="399"/>
      <c r="O1366" s="494"/>
      <c r="P1366" s="495"/>
    </row>
    <row r="1367" spans="1:16">
      <c r="A1367" s="474"/>
      <c r="B1367" s="399"/>
      <c r="C1367" s="399"/>
      <c r="D1367" s="399"/>
      <c r="E1367" s="399"/>
      <c r="F1367" s="399"/>
      <c r="G1367" s="399"/>
      <c r="H1367" s="399"/>
      <c r="I1367" s="399"/>
      <c r="J1367" s="399"/>
      <c r="K1367" s="399"/>
      <c r="L1367" s="399"/>
      <c r="M1367" s="399"/>
      <c r="N1367" s="399"/>
      <c r="O1367" s="494"/>
      <c r="P1367" s="495"/>
    </row>
    <row r="1368" spans="1:16">
      <c r="A1368" s="463"/>
      <c r="B1368" s="462"/>
      <c r="C1368" s="462"/>
      <c r="D1368" s="462"/>
      <c r="E1368" s="462"/>
      <c r="F1368" s="462"/>
      <c r="G1368" s="462"/>
      <c r="H1368" s="462"/>
      <c r="I1368" s="462"/>
      <c r="J1368" s="462"/>
      <c r="K1368" s="462"/>
      <c r="L1368" s="462"/>
      <c r="M1368" s="462"/>
      <c r="N1368" s="462"/>
      <c r="O1368" s="371"/>
      <c r="P1368" s="464"/>
    </row>
    <row r="1369" spans="1:16">
      <c r="A1369" s="463"/>
      <c r="B1369" s="462"/>
      <c r="C1369" s="462"/>
      <c r="D1369" s="462"/>
      <c r="E1369" s="462"/>
      <c r="F1369" s="462"/>
      <c r="G1369" s="462"/>
      <c r="H1369" s="462"/>
      <c r="I1369" s="462"/>
      <c r="J1369" s="462"/>
      <c r="K1369" s="462"/>
      <c r="L1369" s="462"/>
      <c r="M1369" s="462"/>
      <c r="N1369" s="462"/>
      <c r="O1369" s="371"/>
      <c r="P1369" s="464"/>
    </row>
    <row r="1370" spans="1:16">
      <c r="A1370" s="463"/>
      <c r="B1370" s="462"/>
      <c r="C1370" s="462"/>
      <c r="D1370" s="462"/>
      <c r="E1370" s="462"/>
      <c r="F1370" s="462"/>
      <c r="G1370" s="462"/>
      <c r="H1370" s="462"/>
      <c r="I1370" s="462"/>
      <c r="J1370" s="462"/>
      <c r="K1370" s="462"/>
      <c r="L1370" s="462"/>
      <c r="M1370" s="462"/>
      <c r="N1370" s="462"/>
      <c r="O1370" s="371"/>
      <c r="P1370" s="464"/>
    </row>
    <row r="1371" spans="1:16" ht="15.75" thickBot="1">
      <c r="A1371" s="465"/>
      <c r="B1371" s="466"/>
      <c r="C1371" s="466"/>
      <c r="D1371" s="466"/>
      <c r="E1371" s="466"/>
      <c r="F1371" s="466"/>
      <c r="G1371" s="1029" t="s">
        <v>38</v>
      </c>
      <c r="H1371" s="1029"/>
      <c r="I1371" s="1029"/>
      <c r="J1371" s="1029"/>
      <c r="K1371" s="1029"/>
      <c r="L1371" s="1029"/>
      <c r="M1371" s="1029"/>
      <c r="N1371" s="1029"/>
      <c r="O1371" s="467"/>
      <c r="P1371" s="468"/>
    </row>
    <row r="1410" spans="1:16" ht="15.75" thickBot="1">
      <c r="O1410" s="471"/>
    </row>
    <row r="1411" spans="1:16">
      <c r="A1411" s="1030" t="s">
        <v>450</v>
      </c>
      <c r="B1411" s="1031"/>
      <c r="C1411" s="1031"/>
      <c r="D1411" s="1031"/>
      <c r="E1411" s="1031"/>
      <c r="F1411" s="1031"/>
      <c r="G1411" s="1031"/>
      <c r="H1411" s="1031"/>
      <c r="I1411" s="1031"/>
      <c r="J1411" s="1031"/>
      <c r="K1411" s="1031"/>
      <c r="L1411" s="1031"/>
      <c r="M1411" s="1031"/>
      <c r="N1411" s="1031"/>
      <c r="O1411" s="469"/>
      <c r="P1411" s="470"/>
    </row>
    <row r="1412" spans="1:16" ht="15.75" thickBot="1">
      <c r="A1412" s="1032"/>
      <c r="B1412" s="1033"/>
      <c r="C1412" s="1033"/>
      <c r="D1412" s="1033"/>
      <c r="E1412" s="1033"/>
      <c r="F1412" s="1033"/>
      <c r="G1412" s="1033"/>
      <c r="H1412" s="1033"/>
      <c r="I1412" s="1033"/>
      <c r="J1412" s="1033"/>
      <c r="K1412" s="1033"/>
      <c r="L1412" s="1033"/>
      <c r="M1412" s="1033"/>
      <c r="N1412" s="1033"/>
      <c r="O1412" s="471"/>
      <c r="P1412" s="464"/>
    </row>
    <row r="1413" spans="1:16" ht="15.75" thickBot="1">
      <c r="A1413" s="1034" t="s">
        <v>451</v>
      </c>
      <c r="B1413" s="1035"/>
      <c r="C1413" s="1035"/>
      <c r="D1413" s="1035"/>
      <c r="E1413" s="1035"/>
      <c r="F1413" s="1035"/>
      <c r="G1413" s="1035"/>
      <c r="H1413" s="1035"/>
      <c r="I1413" s="1035"/>
      <c r="J1413" s="1035"/>
      <c r="K1413" s="1035"/>
      <c r="L1413" s="1035"/>
      <c r="M1413" s="1035"/>
      <c r="N1413" s="1035"/>
      <c r="O1413" s="471"/>
      <c r="P1413" s="464"/>
    </row>
    <row r="1414" spans="1:16">
      <c r="A1414" s="472" t="s">
        <v>483</v>
      </c>
      <c r="B1414" s="405"/>
      <c r="C1414" s="405"/>
      <c r="D1414" s="406"/>
      <c r="E1414" s="1036" t="s">
        <v>484</v>
      </c>
      <c r="F1414" s="1037"/>
      <c r="G1414" s="1037"/>
      <c r="H1414" s="473"/>
      <c r="I1414" s="473"/>
      <c r="J1414" s="473"/>
      <c r="K1414" s="473"/>
      <c r="L1414" s="473"/>
      <c r="M1414" s="473"/>
      <c r="N1414" s="473"/>
      <c r="O1414" s="471"/>
      <c r="P1414" s="464"/>
    </row>
    <row r="1415" spans="1:16">
      <c r="A1415" s="474"/>
      <c r="B1415" s="399" t="s">
        <v>384</v>
      </c>
      <c r="C1415" s="399"/>
      <c r="D1415" s="408"/>
      <c r="E1415" s="475"/>
      <c r="F1415" s="476"/>
      <c r="G1415" s="1038">
        <f>'0422Master'!B896</f>
        <v>0</v>
      </c>
      <c r="H1415" s="1038"/>
      <c r="I1415" s="1038"/>
      <c r="J1415" s="476"/>
      <c r="K1415" s="476"/>
      <c r="L1415" s="476"/>
      <c r="M1415" s="476"/>
      <c r="N1415" s="476"/>
      <c r="P1415" s="464"/>
    </row>
    <row r="1416" spans="1:16" ht="15.75" thickBot="1">
      <c r="A1416" s="410"/>
      <c r="B1416" s="411" t="s">
        <v>385</v>
      </c>
      <c r="C1416" s="411"/>
      <c r="D1416" s="412"/>
      <c r="E1416" s="475"/>
      <c r="F1416" s="476"/>
      <c r="G1416" s="476"/>
      <c r="H1416" s="476"/>
      <c r="I1416" s="476"/>
      <c r="J1416" s="476"/>
      <c r="K1416" s="476"/>
      <c r="L1416" s="476"/>
      <c r="M1416" s="476"/>
      <c r="N1416" s="476"/>
      <c r="O1416" s="471"/>
      <c r="P1416" s="464"/>
    </row>
    <row r="1417" spans="1:16">
      <c r="A1417" s="404" t="s">
        <v>485</v>
      </c>
      <c r="B1417" s="405"/>
      <c r="C1417" s="405"/>
      <c r="D1417" s="406"/>
      <c r="E1417" s="404" t="s">
        <v>452</v>
      </c>
      <c r="F1417" s="405"/>
      <c r="G1417" s="477">
        <f>'0422Master'!N896</f>
        <v>0</v>
      </c>
      <c r="H1417" s="405"/>
      <c r="I1417" s="405"/>
      <c r="J1417" s="405"/>
      <c r="K1417" s="405"/>
      <c r="L1417" s="405"/>
      <c r="M1417" s="405"/>
      <c r="N1417" s="405"/>
      <c r="O1417" s="471"/>
      <c r="P1417" s="464"/>
    </row>
    <row r="1418" spans="1:16">
      <c r="A1418" s="474"/>
      <c r="B1418" s="399"/>
      <c r="C1418" s="399" t="s">
        <v>374</v>
      </c>
      <c r="D1418" s="408"/>
      <c r="E1418" s="407"/>
      <c r="F1418" s="399"/>
      <c r="G1418" s="399"/>
      <c r="H1418" s="399"/>
      <c r="I1418" s="399"/>
      <c r="J1418" s="399"/>
      <c r="K1418" s="399"/>
      <c r="L1418" s="399"/>
      <c r="M1418" s="399"/>
      <c r="N1418" s="399"/>
      <c r="O1418" s="471"/>
      <c r="P1418" s="464"/>
    </row>
    <row r="1419" spans="1:16">
      <c r="A1419" s="474"/>
      <c r="B1419" s="399"/>
      <c r="C1419" s="399"/>
      <c r="D1419" s="408"/>
      <c r="E1419" s="478"/>
      <c r="F1419" s="399"/>
      <c r="G1419" s="399"/>
      <c r="H1419" s="399"/>
      <c r="I1419" s="399"/>
      <c r="J1419" s="399"/>
      <c r="K1419" s="399"/>
      <c r="L1419" s="399"/>
      <c r="M1419" s="399"/>
      <c r="N1419" s="399"/>
      <c r="O1419" s="471"/>
      <c r="P1419" s="464"/>
    </row>
    <row r="1420" spans="1:16" ht="15.75" thickBot="1">
      <c r="A1420" s="479"/>
      <c r="B1420" s="402"/>
      <c r="C1420" s="402"/>
      <c r="D1420" s="480"/>
      <c r="E1420" s="410"/>
      <c r="F1420" s="411"/>
      <c r="G1420" s="411"/>
      <c r="H1420" s="411"/>
      <c r="I1420" s="411"/>
      <c r="J1420" s="411"/>
      <c r="K1420" s="411"/>
      <c r="L1420" s="411"/>
      <c r="M1420" s="411"/>
      <c r="N1420" s="411"/>
      <c r="O1420" s="481"/>
      <c r="P1420" s="468"/>
    </row>
    <row r="1421" spans="1:16">
      <c r="A1421" s="1039" t="s">
        <v>5</v>
      </c>
      <c r="B1421" s="1041" t="s">
        <v>453</v>
      </c>
      <c r="C1421" s="1042"/>
      <c r="D1421" s="1041" t="s">
        <v>454</v>
      </c>
      <c r="E1421" s="1044"/>
      <c r="F1421" s="989" t="s">
        <v>455</v>
      </c>
      <c r="G1421" s="1043" t="s">
        <v>456</v>
      </c>
      <c r="H1421" s="1047"/>
      <c r="I1421" s="1048" t="s">
        <v>457</v>
      </c>
      <c r="J1421" s="1047"/>
      <c r="K1421" s="1049"/>
      <c r="L1421" s="1048" t="s">
        <v>458</v>
      </c>
      <c r="M1421" s="1047"/>
      <c r="N1421" s="1047"/>
      <c r="O1421" s="1027" t="s">
        <v>459</v>
      </c>
      <c r="P1421" s="1027" t="s">
        <v>40</v>
      </c>
    </row>
    <row r="1422" spans="1:16" ht="15.75" thickBot="1">
      <c r="A1422" s="1040"/>
      <c r="B1422" s="1043"/>
      <c r="C1422" s="1044"/>
      <c r="D1422" s="1043"/>
      <c r="E1422" s="1044"/>
      <c r="F1422" s="985"/>
      <c r="G1422" s="1043"/>
      <c r="H1422" s="1047"/>
      <c r="I1422" s="1050"/>
      <c r="J1422" s="1051"/>
      <c r="K1422" s="1052"/>
      <c r="L1422" s="1050"/>
      <c r="M1422" s="1051"/>
      <c r="N1422" s="1051"/>
      <c r="O1422" s="1028"/>
      <c r="P1422" s="1028"/>
    </row>
    <row r="1423" spans="1:16">
      <c r="A1423" s="482">
        <v>1</v>
      </c>
      <c r="B1423" s="1045"/>
      <c r="C1423" s="1046"/>
      <c r="D1423" s="1045"/>
      <c r="E1423" s="1046"/>
      <c r="F1423" s="414">
        <v>6</v>
      </c>
      <c r="G1423" s="1045"/>
      <c r="H1423" s="1046"/>
      <c r="I1423" s="483">
        <v>9</v>
      </c>
      <c r="J1423" s="483"/>
      <c r="K1423" s="483"/>
      <c r="L1423" s="483">
        <v>9</v>
      </c>
      <c r="M1423" s="483"/>
      <c r="N1423" s="483"/>
      <c r="O1423" s="484" t="s">
        <v>460</v>
      </c>
      <c r="P1423" s="485"/>
    </row>
    <row r="1424" spans="1:16" ht="51">
      <c r="A1424" s="459"/>
      <c r="B1424" s="394" t="s">
        <v>461</v>
      </c>
      <c r="C1424" s="394" t="s">
        <v>462</v>
      </c>
      <c r="D1424" s="394" t="s">
        <v>463</v>
      </c>
      <c r="E1424" s="394" t="s">
        <v>134</v>
      </c>
      <c r="F1424" s="394"/>
      <c r="G1424" s="394" t="s">
        <v>464</v>
      </c>
      <c r="H1424" s="394" t="s">
        <v>465</v>
      </c>
      <c r="I1424" s="394" t="s">
        <v>466</v>
      </c>
      <c r="J1424" s="394" t="s">
        <v>467</v>
      </c>
      <c r="K1424" s="394" t="s">
        <v>468</v>
      </c>
      <c r="L1424" s="394" t="s">
        <v>469</v>
      </c>
      <c r="M1424" s="394" t="s">
        <v>470</v>
      </c>
      <c r="N1424" s="486" t="s">
        <v>471</v>
      </c>
      <c r="O1424" s="487"/>
      <c r="P1424" s="488"/>
    </row>
    <row r="1425" spans="1:16">
      <c r="A1425" s="459"/>
      <c r="B1425" s="489"/>
      <c r="C1425" s="394"/>
      <c r="D1425" s="394"/>
      <c r="E1425" s="394"/>
      <c r="F1425" s="394"/>
      <c r="G1425" s="394"/>
      <c r="H1425" s="394"/>
      <c r="I1425" s="394"/>
      <c r="J1425" s="394"/>
      <c r="K1425" s="394"/>
      <c r="L1425" s="394"/>
      <c r="M1425" s="394"/>
      <c r="N1425" s="394"/>
      <c r="O1425" s="460"/>
      <c r="P1425" s="461"/>
    </row>
    <row r="1426" spans="1:16">
      <c r="A1426" s="632"/>
      <c r="B1426" s="394"/>
      <c r="C1426" s="460"/>
      <c r="D1426" s="460"/>
      <c r="E1426" s="460"/>
      <c r="F1426" s="460"/>
      <c r="G1426" s="460"/>
      <c r="H1426" s="460"/>
      <c r="I1426" s="460"/>
      <c r="J1426" s="460"/>
      <c r="K1426" s="460"/>
      <c r="L1426" s="394"/>
      <c r="M1426" s="394"/>
      <c r="N1426" s="394"/>
      <c r="O1426" s="460"/>
      <c r="P1426" s="461"/>
    </row>
    <row r="1427" spans="1:16">
      <c r="A1427" s="490"/>
      <c r="B1427" s="394"/>
      <c r="C1427" s="394"/>
      <c r="D1427" s="394"/>
      <c r="E1427" s="394"/>
      <c r="F1427" s="394"/>
      <c r="G1427" s="394"/>
      <c r="H1427" s="394"/>
      <c r="I1427" s="394"/>
      <c r="J1427" s="394"/>
      <c r="K1427" s="394"/>
      <c r="L1427" s="394"/>
      <c r="M1427" s="394"/>
      <c r="N1427" s="394"/>
      <c r="O1427" s="460"/>
      <c r="P1427" s="461"/>
    </row>
    <row r="1428" spans="1:16">
      <c r="A1428" s="490"/>
      <c r="B1428" s="394"/>
      <c r="C1428" s="394"/>
      <c r="D1428" s="726"/>
      <c r="E1428" s="726"/>
      <c r="F1428" s="394"/>
      <c r="G1428" s="394"/>
      <c r="H1428" s="394"/>
      <c r="I1428" s="394"/>
      <c r="J1428" s="394"/>
      <c r="K1428" s="394"/>
      <c r="L1428" s="394"/>
      <c r="M1428" s="394"/>
      <c r="N1428" s="394"/>
      <c r="O1428" s="460"/>
      <c r="P1428" s="461"/>
    </row>
    <row r="1429" spans="1:16">
      <c r="A1429" s="490"/>
      <c r="B1429" s="394"/>
      <c r="C1429" s="394"/>
      <c r="D1429" s="726"/>
      <c r="E1429" s="726"/>
      <c r="F1429" s="394"/>
      <c r="G1429" s="394"/>
      <c r="H1429" s="394"/>
      <c r="I1429" s="394"/>
      <c r="J1429" s="394"/>
      <c r="K1429" s="394"/>
      <c r="L1429" s="394"/>
      <c r="M1429" s="394"/>
      <c r="N1429" s="394"/>
      <c r="O1429" s="460"/>
      <c r="P1429" s="461"/>
    </row>
    <row r="1430" spans="1:16">
      <c r="A1430" s="492"/>
      <c r="B1430" s="394"/>
      <c r="C1430" s="394"/>
      <c r="D1430" s="394"/>
      <c r="E1430" s="394"/>
      <c r="F1430" s="394"/>
      <c r="G1430" s="394"/>
      <c r="H1430" s="394"/>
      <c r="I1430" s="394"/>
      <c r="J1430" s="394"/>
      <c r="K1430" s="394"/>
      <c r="L1430" s="394"/>
      <c r="M1430" s="394"/>
      <c r="N1430" s="394"/>
      <c r="O1430" s="460"/>
      <c r="P1430" s="461"/>
    </row>
    <row r="1431" spans="1:16">
      <c r="A1431" s="492"/>
      <c r="B1431" s="394"/>
      <c r="C1431" s="394"/>
      <c r="D1431" s="394"/>
      <c r="E1431" s="394"/>
      <c r="F1431" s="394"/>
      <c r="G1431" s="394"/>
      <c r="H1431" s="394"/>
      <c r="I1431" s="394"/>
      <c r="J1431" s="394"/>
      <c r="K1431" s="394"/>
      <c r="L1431" s="394"/>
      <c r="M1431" s="394"/>
      <c r="N1431" s="394"/>
      <c r="O1431" s="460"/>
      <c r="P1431" s="461"/>
    </row>
    <row r="1432" spans="1:16">
      <c r="A1432" s="492"/>
      <c r="B1432" s="394"/>
      <c r="C1432" s="394"/>
      <c r="D1432" s="394"/>
      <c r="E1432" s="394"/>
      <c r="F1432" s="394"/>
      <c r="G1432" s="394"/>
      <c r="H1432" s="394"/>
      <c r="I1432" s="394"/>
      <c r="J1432" s="394"/>
      <c r="K1432" s="394"/>
      <c r="L1432" s="394"/>
      <c r="M1432" s="394"/>
      <c r="N1432" s="394"/>
      <c r="O1432" s="460"/>
      <c r="P1432" s="461"/>
    </row>
    <row r="1433" spans="1:16">
      <c r="A1433" s="492"/>
      <c r="B1433" s="394"/>
      <c r="C1433" s="394"/>
      <c r="D1433" s="394"/>
      <c r="E1433" s="394"/>
      <c r="F1433" s="394"/>
      <c r="G1433" s="394"/>
      <c r="H1433" s="394"/>
      <c r="I1433" s="394"/>
      <c r="J1433" s="394"/>
      <c r="K1433" s="394"/>
      <c r="L1433" s="394"/>
      <c r="M1433" s="394"/>
      <c r="N1433" s="394"/>
      <c r="O1433" s="460"/>
      <c r="P1433" s="461"/>
    </row>
    <row r="1434" spans="1:16">
      <c r="A1434" s="492"/>
      <c r="B1434" s="394"/>
      <c r="C1434" s="394"/>
      <c r="D1434" s="394"/>
      <c r="E1434" s="394"/>
      <c r="F1434" s="394"/>
      <c r="G1434" s="394"/>
      <c r="H1434" s="394"/>
      <c r="I1434" s="394"/>
      <c r="J1434" s="394"/>
      <c r="K1434" s="394"/>
      <c r="L1434" s="394"/>
      <c r="M1434" s="394"/>
      <c r="N1434" s="394"/>
      <c r="O1434" s="460"/>
      <c r="P1434" s="461"/>
    </row>
    <row r="1435" spans="1:16">
      <c r="A1435" s="492"/>
      <c r="B1435" s="394"/>
      <c r="C1435" s="394"/>
      <c r="D1435" s="491"/>
      <c r="E1435" s="491"/>
      <c r="F1435" s="394"/>
      <c r="G1435" s="394"/>
      <c r="H1435" s="394"/>
      <c r="I1435" s="394"/>
      <c r="J1435" s="394"/>
      <c r="K1435" s="394"/>
      <c r="L1435" s="394"/>
      <c r="M1435" s="394"/>
      <c r="N1435" s="394"/>
      <c r="O1435" s="460"/>
      <c r="P1435" s="461"/>
    </row>
    <row r="1436" spans="1:16">
      <c r="A1436" s="492"/>
      <c r="B1436" s="394"/>
      <c r="C1436" s="394"/>
      <c r="D1436" s="491"/>
      <c r="E1436" s="491"/>
      <c r="F1436" s="394"/>
      <c r="G1436" s="394"/>
      <c r="H1436" s="394"/>
      <c r="I1436" s="394"/>
      <c r="J1436" s="394"/>
      <c r="K1436" s="394"/>
      <c r="L1436" s="394"/>
      <c r="M1436" s="394"/>
      <c r="N1436" s="394"/>
      <c r="O1436" s="460"/>
      <c r="P1436" s="461"/>
    </row>
    <row r="1437" spans="1:16">
      <c r="A1437" s="492"/>
      <c r="B1437" s="394"/>
      <c r="C1437" s="394"/>
      <c r="D1437" s="491"/>
      <c r="E1437" s="491"/>
      <c r="F1437" s="394"/>
      <c r="G1437" s="394"/>
      <c r="H1437" s="394"/>
      <c r="I1437" s="394"/>
      <c r="J1437" s="394"/>
      <c r="K1437" s="394"/>
      <c r="L1437" s="394"/>
      <c r="M1437" s="394"/>
      <c r="N1437" s="394"/>
      <c r="O1437" s="460"/>
      <c r="P1437" s="461"/>
    </row>
    <row r="1438" spans="1:16">
      <c r="A1438" s="492"/>
      <c r="B1438" s="394"/>
      <c r="C1438" s="394"/>
      <c r="D1438" s="491"/>
      <c r="E1438" s="491"/>
      <c r="F1438" s="394"/>
      <c r="G1438" s="394"/>
      <c r="H1438" s="394"/>
      <c r="I1438" s="394"/>
      <c r="J1438" s="394"/>
      <c r="K1438" s="394"/>
      <c r="L1438" s="394"/>
      <c r="M1438" s="394"/>
      <c r="N1438" s="394"/>
      <c r="O1438" s="460"/>
      <c r="P1438" s="461"/>
    </row>
    <row r="1439" spans="1:16">
      <c r="A1439" s="492"/>
      <c r="B1439" s="394"/>
      <c r="C1439" s="394"/>
      <c r="D1439" s="491"/>
      <c r="E1439" s="491"/>
      <c r="F1439" s="394"/>
      <c r="G1439" s="394"/>
      <c r="H1439" s="394"/>
      <c r="I1439" s="394"/>
      <c r="J1439" s="394"/>
      <c r="K1439" s="394"/>
      <c r="L1439" s="394"/>
      <c r="M1439" s="394"/>
      <c r="N1439" s="394"/>
      <c r="O1439" s="460"/>
      <c r="P1439" s="461"/>
    </row>
    <row r="1440" spans="1:16">
      <c r="A1440" s="492"/>
      <c r="B1440" s="394"/>
      <c r="C1440" s="394"/>
      <c r="D1440" s="491"/>
      <c r="E1440" s="491"/>
      <c r="F1440" s="394"/>
      <c r="G1440" s="394"/>
      <c r="H1440" s="394"/>
      <c r="I1440" s="394"/>
      <c r="J1440" s="394"/>
      <c r="K1440" s="394"/>
      <c r="L1440" s="394"/>
      <c r="M1440" s="394"/>
      <c r="N1440" s="394"/>
      <c r="O1440" s="460"/>
      <c r="P1440" s="461"/>
    </row>
    <row r="1441" spans="1:16">
      <c r="A1441" s="459"/>
      <c r="B1441" s="394"/>
      <c r="C1441" s="394"/>
      <c r="D1441" s="394"/>
      <c r="E1441" s="394"/>
      <c r="F1441" s="394"/>
      <c r="G1441" s="394"/>
      <c r="H1441" s="394"/>
      <c r="I1441" s="394"/>
      <c r="J1441" s="394"/>
      <c r="K1441" s="394"/>
      <c r="L1441" s="394"/>
      <c r="M1441" s="394"/>
      <c r="N1441" s="394"/>
      <c r="O1441" s="460"/>
      <c r="P1441" s="461"/>
    </row>
    <row r="1442" spans="1:16">
      <c r="A1442" s="459"/>
      <c r="B1442" s="394"/>
      <c r="C1442" s="394"/>
      <c r="D1442" s="394"/>
      <c r="E1442" s="394"/>
      <c r="F1442" s="394"/>
      <c r="G1442" s="394"/>
      <c r="H1442" s="394"/>
      <c r="I1442" s="394"/>
      <c r="J1442" s="394"/>
      <c r="K1442" s="394"/>
      <c r="L1442" s="394"/>
      <c r="M1442" s="394"/>
      <c r="N1442" s="394"/>
      <c r="O1442" s="460"/>
      <c r="P1442" s="461"/>
    </row>
    <row r="1443" spans="1:16">
      <c r="A1443" s="459"/>
      <c r="B1443" s="394"/>
      <c r="C1443" s="394"/>
      <c r="D1443" s="394"/>
      <c r="E1443" s="394"/>
      <c r="F1443" s="394"/>
      <c r="G1443" s="394"/>
      <c r="H1443" s="394"/>
      <c r="I1443" s="394"/>
      <c r="J1443" s="394"/>
      <c r="K1443" s="394"/>
      <c r="L1443" s="394"/>
      <c r="M1443" s="394"/>
      <c r="N1443" s="394"/>
      <c r="O1443" s="460"/>
      <c r="P1443" s="461"/>
    </row>
    <row r="1444" spans="1:16">
      <c r="A1444" s="459"/>
      <c r="B1444" s="394"/>
      <c r="C1444" s="394"/>
      <c r="D1444" s="394"/>
      <c r="E1444" s="394"/>
      <c r="F1444" s="394"/>
      <c r="G1444" s="394"/>
      <c r="H1444" s="394"/>
      <c r="I1444" s="394"/>
      <c r="J1444" s="394"/>
      <c r="K1444" s="394"/>
      <c r="L1444" s="394"/>
      <c r="M1444" s="394"/>
      <c r="N1444" s="394"/>
      <c r="O1444" s="460"/>
      <c r="P1444" s="461"/>
    </row>
    <row r="1445" spans="1:16">
      <c r="A1445" s="459"/>
      <c r="B1445" s="394"/>
      <c r="C1445" s="394"/>
      <c r="D1445" s="394"/>
      <c r="E1445" s="394"/>
      <c r="F1445" s="394"/>
      <c r="G1445" s="394"/>
      <c r="H1445" s="394"/>
      <c r="I1445" s="394"/>
      <c r="J1445" s="394"/>
      <c r="K1445" s="394"/>
      <c r="L1445" s="394"/>
      <c r="M1445" s="394"/>
      <c r="N1445" s="394"/>
      <c r="O1445" s="460"/>
      <c r="P1445" s="461"/>
    </row>
    <row r="1446" spans="1:16">
      <c r="A1446" s="474"/>
      <c r="B1446" s="399"/>
      <c r="C1446" s="399"/>
      <c r="D1446" s="399"/>
      <c r="E1446" s="399"/>
      <c r="F1446" s="399"/>
      <c r="G1446" s="399"/>
      <c r="H1446" s="399"/>
      <c r="I1446" s="399"/>
      <c r="J1446" s="399"/>
      <c r="K1446" s="399"/>
      <c r="L1446" s="399"/>
      <c r="M1446" s="399"/>
      <c r="N1446" s="399"/>
      <c r="O1446" s="494"/>
      <c r="P1446" s="495"/>
    </row>
    <row r="1447" spans="1:16">
      <c r="A1447" s="474"/>
      <c r="B1447" s="399"/>
      <c r="C1447" s="399"/>
      <c r="D1447" s="399"/>
      <c r="E1447" s="399"/>
      <c r="F1447" s="399"/>
      <c r="G1447" s="399"/>
      <c r="H1447" s="399"/>
      <c r="I1447" s="399"/>
      <c r="J1447" s="399"/>
      <c r="K1447" s="399"/>
      <c r="L1447" s="399"/>
      <c r="M1447" s="399"/>
      <c r="N1447" s="399"/>
      <c r="O1447" s="494"/>
      <c r="P1447" s="495"/>
    </row>
    <row r="1448" spans="1:16">
      <c r="A1448" s="474"/>
      <c r="B1448" s="399"/>
      <c r="C1448" s="399"/>
      <c r="D1448" s="399"/>
      <c r="E1448" s="399"/>
      <c r="F1448" s="399"/>
      <c r="G1448" s="399"/>
      <c r="H1448" s="399"/>
      <c r="I1448" s="399"/>
      <c r="J1448" s="399"/>
      <c r="K1448" s="399"/>
      <c r="L1448" s="399"/>
      <c r="M1448" s="399"/>
      <c r="N1448" s="399"/>
      <c r="O1448" s="494"/>
      <c r="P1448" s="495"/>
    </row>
    <row r="1449" spans="1:16">
      <c r="A1449" s="463"/>
      <c r="B1449" s="462"/>
      <c r="C1449" s="462"/>
      <c r="D1449" s="462"/>
      <c r="E1449" s="462"/>
      <c r="F1449" s="462"/>
      <c r="G1449" s="462"/>
      <c r="H1449" s="462"/>
      <c r="I1449" s="462"/>
      <c r="J1449" s="462"/>
      <c r="K1449" s="462"/>
      <c r="L1449" s="462"/>
      <c r="M1449" s="462"/>
      <c r="N1449" s="462"/>
      <c r="O1449" s="371"/>
      <c r="P1449" s="464"/>
    </row>
    <row r="1450" spans="1:16">
      <c r="A1450" s="463"/>
      <c r="B1450" s="462"/>
      <c r="C1450" s="462"/>
      <c r="D1450" s="462"/>
      <c r="E1450" s="462"/>
      <c r="F1450" s="462"/>
      <c r="G1450" s="462"/>
      <c r="H1450" s="462"/>
      <c r="I1450" s="462"/>
      <c r="J1450" s="462"/>
      <c r="K1450" s="462"/>
      <c r="L1450" s="462"/>
      <c r="M1450" s="462"/>
      <c r="N1450" s="462"/>
      <c r="O1450" s="371"/>
      <c r="P1450" s="464"/>
    </row>
    <row r="1451" spans="1:16">
      <c r="A1451" s="463"/>
      <c r="B1451" s="462"/>
      <c r="C1451" s="462"/>
      <c r="D1451" s="462"/>
      <c r="E1451" s="462"/>
      <c r="F1451" s="462"/>
      <c r="G1451" s="462"/>
      <c r="H1451" s="462"/>
      <c r="I1451" s="462"/>
      <c r="J1451" s="462"/>
      <c r="K1451" s="462"/>
      <c r="L1451" s="462"/>
      <c r="M1451" s="462"/>
      <c r="N1451" s="462"/>
      <c r="O1451" s="371"/>
      <c r="P1451" s="464"/>
    </row>
    <row r="1452" spans="1:16" ht="15.75" thickBot="1">
      <c r="A1452" s="465"/>
      <c r="B1452" s="466"/>
      <c r="C1452" s="466"/>
      <c r="D1452" s="466"/>
      <c r="E1452" s="466"/>
      <c r="F1452" s="466"/>
      <c r="G1452" s="1029" t="s">
        <v>38</v>
      </c>
      <c r="H1452" s="1029"/>
      <c r="I1452" s="1029"/>
      <c r="J1452" s="1029"/>
      <c r="K1452" s="1029"/>
      <c r="L1452" s="1029"/>
      <c r="M1452" s="1029"/>
      <c r="N1452" s="1029"/>
      <c r="O1452" s="467"/>
      <c r="P1452" s="468"/>
    </row>
    <row r="1482" spans="1:16" ht="15.75" thickBot="1">
      <c r="O1482" s="471"/>
    </row>
    <row r="1483" spans="1:16">
      <c r="A1483" s="1030" t="s">
        <v>450</v>
      </c>
      <c r="B1483" s="1031"/>
      <c r="C1483" s="1031"/>
      <c r="D1483" s="1031"/>
      <c r="E1483" s="1031"/>
      <c r="F1483" s="1031"/>
      <c r="G1483" s="1031"/>
      <c r="H1483" s="1031"/>
      <c r="I1483" s="1031"/>
      <c r="J1483" s="1031"/>
      <c r="K1483" s="1031"/>
      <c r="L1483" s="1031"/>
      <c r="M1483" s="1031"/>
      <c r="N1483" s="1031"/>
      <c r="O1483" s="469"/>
      <c r="P1483" s="470"/>
    </row>
    <row r="1484" spans="1:16" ht="15.75" thickBot="1">
      <c r="A1484" s="1032"/>
      <c r="B1484" s="1033"/>
      <c r="C1484" s="1033"/>
      <c r="D1484" s="1033"/>
      <c r="E1484" s="1033"/>
      <c r="F1484" s="1033"/>
      <c r="G1484" s="1033"/>
      <c r="H1484" s="1033"/>
      <c r="I1484" s="1033"/>
      <c r="J1484" s="1033"/>
      <c r="K1484" s="1033"/>
      <c r="L1484" s="1033"/>
      <c r="M1484" s="1033"/>
      <c r="N1484" s="1033"/>
      <c r="O1484" s="471"/>
      <c r="P1484" s="464"/>
    </row>
    <row r="1485" spans="1:16" ht="15.75" thickBot="1">
      <c r="A1485" s="1034" t="s">
        <v>451</v>
      </c>
      <c r="B1485" s="1035"/>
      <c r="C1485" s="1035"/>
      <c r="D1485" s="1035"/>
      <c r="E1485" s="1035"/>
      <c r="F1485" s="1035"/>
      <c r="G1485" s="1035"/>
      <c r="H1485" s="1035"/>
      <c r="I1485" s="1035"/>
      <c r="J1485" s="1035"/>
      <c r="K1485" s="1035"/>
      <c r="L1485" s="1035"/>
      <c r="M1485" s="1035"/>
      <c r="N1485" s="1035"/>
      <c r="O1485" s="471"/>
      <c r="P1485" s="464"/>
    </row>
    <row r="1486" spans="1:16">
      <c r="A1486" s="472" t="s">
        <v>483</v>
      </c>
      <c r="B1486" s="405"/>
      <c r="C1486" s="405"/>
      <c r="D1486" s="406"/>
      <c r="E1486" s="1036" t="s">
        <v>484</v>
      </c>
      <c r="F1486" s="1037"/>
      <c r="G1486" s="1037"/>
      <c r="H1486" s="473"/>
      <c r="I1486" s="473"/>
      <c r="J1486" s="473"/>
      <c r="K1486" s="473"/>
      <c r="L1486" s="473"/>
      <c r="M1486" s="473"/>
      <c r="N1486" s="473"/>
      <c r="O1486" s="471"/>
      <c r="P1486" s="464"/>
    </row>
    <row r="1487" spans="1:16">
      <c r="A1487" s="474"/>
      <c r="B1487" s="399" t="s">
        <v>384</v>
      </c>
      <c r="C1487" s="399"/>
      <c r="D1487" s="408"/>
      <c r="E1487" s="475"/>
      <c r="F1487" s="476"/>
      <c r="G1487" s="1038">
        <f>'0422Master'!B968</f>
        <v>0</v>
      </c>
      <c r="H1487" s="1038"/>
      <c r="I1487" s="1038"/>
      <c r="J1487" s="476"/>
      <c r="K1487" s="476"/>
      <c r="L1487" s="476"/>
      <c r="M1487" s="476"/>
      <c r="N1487" s="476"/>
      <c r="P1487" s="464"/>
    </row>
    <row r="1488" spans="1:16" ht="15.75" thickBot="1">
      <c r="A1488" s="410"/>
      <c r="B1488" s="411" t="s">
        <v>385</v>
      </c>
      <c r="C1488" s="411"/>
      <c r="D1488" s="412"/>
      <c r="E1488" s="475"/>
      <c r="F1488" s="476"/>
      <c r="G1488" s="476"/>
      <c r="H1488" s="476"/>
      <c r="I1488" s="476"/>
      <c r="J1488" s="476"/>
      <c r="K1488" s="476"/>
      <c r="L1488" s="476"/>
      <c r="M1488" s="476"/>
      <c r="N1488" s="476"/>
      <c r="O1488" s="471"/>
      <c r="P1488" s="464"/>
    </row>
    <row r="1489" spans="1:16">
      <c r="A1489" s="404" t="s">
        <v>485</v>
      </c>
      <c r="B1489" s="405"/>
      <c r="C1489" s="405"/>
      <c r="D1489" s="406"/>
      <c r="E1489" s="404" t="s">
        <v>452</v>
      </c>
      <c r="F1489" s="405"/>
      <c r="G1489" s="477">
        <f>'0422Master'!N968</f>
        <v>0</v>
      </c>
      <c r="H1489" s="405"/>
      <c r="I1489" s="405"/>
      <c r="J1489" s="405"/>
      <c r="K1489" s="405"/>
      <c r="L1489" s="405"/>
      <c r="M1489" s="405"/>
      <c r="N1489" s="405"/>
      <c r="O1489" s="471"/>
      <c r="P1489" s="464"/>
    </row>
    <row r="1490" spans="1:16">
      <c r="A1490" s="474"/>
      <c r="B1490" s="399"/>
      <c r="C1490" s="399" t="s">
        <v>374</v>
      </c>
      <c r="D1490" s="408"/>
      <c r="E1490" s="407"/>
      <c r="F1490" s="399"/>
      <c r="G1490" s="399"/>
      <c r="H1490" s="399"/>
      <c r="I1490" s="399"/>
      <c r="J1490" s="399"/>
      <c r="K1490" s="399"/>
      <c r="L1490" s="399"/>
      <c r="M1490" s="399"/>
      <c r="N1490" s="399"/>
      <c r="O1490" s="471"/>
      <c r="P1490" s="464"/>
    </row>
    <row r="1491" spans="1:16">
      <c r="A1491" s="474"/>
      <c r="B1491" s="399"/>
      <c r="C1491" s="399"/>
      <c r="D1491" s="408"/>
      <c r="E1491" s="478"/>
      <c r="F1491" s="399"/>
      <c r="G1491" s="399"/>
      <c r="H1491" s="399"/>
      <c r="I1491" s="399"/>
      <c r="J1491" s="399"/>
      <c r="K1491" s="399"/>
      <c r="L1491" s="399"/>
      <c r="M1491" s="399"/>
      <c r="N1491" s="399"/>
      <c r="O1491" s="471"/>
      <c r="P1491" s="464"/>
    </row>
    <row r="1492" spans="1:16" ht="15.75" thickBot="1">
      <c r="A1492" s="479"/>
      <c r="B1492" s="402"/>
      <c r="C1492" s="402"/>
      <c r="D1492" s="480"/>
      <c r="E1492" s="410"/>
      <c r="F1492" s="411"/>
      <c r="G1492" s="411"/>
      <c r="H1492" s="411"/>
      <c r="I1492" s="411"/>
      <c r="J1492" s="411"/>
      <c r="K1492" s="411"/>
      <c r="L1492" s="411"/>
      <c r="M1492" s="411"/>
      <c r="N1492" s="411"/>
      <c r="O1492" s="481"/>
      <c r="P1492" s="468"/>
    </row>
    <row r="1493" spans="1:16">
      <c r="A1493" s="1039" t="s">
        <v>5</v>
      </c>
      <c r="B1493" s="1041" t="s">
        <v>453</v>
      </c>
      <c r="C1493" s="1042"/>
      <c r="D1493" s="1041" t="s">
        <v>454</v>
      </c>
      <c r="E1493" s="1044"/>
      <c r="F1493" s="989" t="s">
        <v>455</v>
      </c>
      <c r="G1493" s="1043" t="s">
        <v>456</v>
      </c>
      <c r="H1493" s="1047"/>
      <c r="I1493" s="1048" t="s">
        <v>457</v>
      </c>
      <c r="J1493" s="1047"/>
      <c r="K1493" s="1049"/>
      <c r="L1493" s="1048" t="s">
        <v>458</v>
      </c>
      <c r="M1493" s="1047"/>
      <c r="N1493" s="1047"/>
      <c r="O1493" s="1027" t="s">
        <v>459</v>
      </c>
      <c r="P1493" s="1027" t="s">
        <v>40</v>
      </c>
    </row>
    <row r="1494" spans="1:16" ht="15.75" thickBot="1">
      <c r="A1494" s="1040"/>
      <c r="B1494" s="1043"/>
      <c r="C1494" s="1044"/>
      <c r="D1494" s="1043"/>
      <c r="E1494" s="1044"/>
      <c r="F1494" s="985"/>
      <c r="G1494" s="1043"/>
      <c r="H1494" s="1047"/>
      <c r="I1494" s="1050"/>
      <c r="J1494" s="1051"/>
      <c r="K1494" s="1052"/>
      <c r="L1494" s="1050"/>
      <c r="M1494" s="1051"/>
      <c r="N1494" s="1051"/>
      <c r="O1494" s="1028"/>
      <c r="P1494" s="1028"/>
    </row>
    <row r="1495" spans="1:16">
      <c r="A1495" s="482">
        <v>1</v>
      </c>
      <c r="B1495" s="1045"/>
      <c r="C1495" s="1046"/>
      <c r="D1495" s="1045"/>
      <c r="E1495" s="1046"/>
      <c r="F1495" s="414">
        <v>6</v>
      </c>
      <c r="G1495" s="1045"/>
      <c r="H1495" s="1046"/>
      <c r="I1495" s="483">
        <v>9</v>
      </c>
      <c r="J1495" s="483"/>
      <c r="K1495" s="483"/>
      <c r="L1495" s="483">
        <v>9</v>
      </c>
      <c r="M1495" s="483"/>
      <c r="N1495" s="483"/>
      <c r="O1495" s="484" t="s">
        <v>460</v>
      </c>
      <c r="P1495" s="485"/>
    </row>
    <row r="1496" spans="1:16" ht="51">
      <c r="A1496" s="459"/>
      <c r="B1496" s="394" t="s">
        <v>461</v>
      </c>
      <c r="C1496" s="394" t="s">
        <v>462</v>
      </c>
      <c r="D1496" s="394" t="s">
        <v>463</v>
      </c>
      <c r="E1496" s="394" t="s">
        <v>134</v>
      </c>
      <c r="F1496" s="394"/>
      <c r="G1496" s="394" t="s">
        <v>464</v>
      </c>
      <c r="H1496" s="394" t="s">
        <v>465</v>
      </c>
      <c r="I1496" s="394" t="s">
        <v>466</v>
      </c>
      <c r="J1496" s="394" t="s">
        <v>467</v>
      </c>
      <c r="K1496" s="394" t="s">
        <v>468</v>
      </c>
      <c r="L1496" s="394" t="s">
        <v>469</v>
      </c>
      <c r="M1496" s="394" t="s">
        <v>470</v>
      </c>
      <c r="N1496" s="486" t="s">
        <v>471</v>
      </c>
      <c r="O1496" s="487"/>
      <c r="P1496" s="488"/>
    </row>
    <row r="1497" spans="1:16">
      <c r="A1497" s="459"/>
      <c r="B1497" s="489"/>
      <c r="C1497" s="394"/>
      <c r="D1497" s="394"/>
      <c r="E1497" s="394"/>
      <c r="F1497" s="394"/>
      <c r="G1497" s="394"/>
      <c r="H1497" s="394"/>
      <c r="I1497" s="394"/>
      <c r="J1497" s="394"/>
      <c r="K1497" s="394"/>
      <c r="L1497" s="394"/>
      <c r="M1497" s="394"/>
      <c r="N1497" s="394"/>
      <c r="O1497" s="460"/>
      <c r="P1497" s="461"/>
    </row>
    <row r="1498" spans="1:16">
      <c r="A1498" s="632"/>
      <c r="B1498" s="394"/>
      <c r="C1498" s="460"/>
      <c r="D1498" s="460"/>
      <c r="E1498" s="460"/>
      <c r="F1498" s="460"/>
      <c r="G1498" s="460"/>
      <c r="H1498" s="460"/>
      <c r="I1498" s="460"/>
      <c r="J1498" s="460"/>
      <c r="K1498" s="460"/>
      <c r="L1498" s="394"/>
      <c r="M1498" s="394"/>
      <c r="N1498" s="394"/>
      <c r="O1498" s="460"/>
      <c r="P1498" s="461"/>
    </row>
    <row r="1499" spans="1:16">
      <c r="A1499" s="490"/>
      <c r="B1499" s="394"/>
      <c r="C1499" s="394"/>
      <c r="D1499" s="394"/>
      <c r="E1499" s="394"/>
      <c r="F1499" s="394"/>
      <c r="G1499" s="394"/>
      <c r="H1499" s="394"/>
      <c r="I1499" s="394"/>
      <c r="J1499" s="394"/>
      <c r="K1499" s="394"/>
      <c r="L1499" s="394"/>
      <c r="M1499" s="394"/>
      <c r="N1499" s="394"/>
      <c r="O1499" s="460"/>
      <c r="P1499" s="461"/>
    </row>
    <row r="1500" spans="1:16">
      <c r="A1500" s="490"/>
      <c r="B1500" s="394"/>
      <c r="C1500" s="394"/>
      <c r="D1500" s="726"/>
      <c r="E1500" s="726"/>
      <c r="F1500" s="394"/>
      <c r="G1500" s="394"/>
      <c r="H1500" s="394"/>
      <c r="I1500" s="394"/>
      <c r="J1500" s="394"/>
      <c r="K1500" s="394"/>
      <c r="L1500" s="394"/>
      <c r="M1500" s="394"/>
      <c r="N1500" s="394"/>
      <c r="O1500" s="460"/>
      <c r="P1500" s="461"/>
    </row>
    <row r="1501" spans="1:16">
      <c r="A1501" s="490"/>
      <c r="B1501" s="394"/>
      <c r="C1501" s="394"/>
      <c r="D1501" s="726"/>
      <c r="E1501" s="726"/>
      <c r="F1501" s="394"/>
      <c r="G1501" s="394"/>
      <c r="H1501" s="394"/>
      <c r="I1501" s="394"/>
      <c r="J1501" s="394"/>
      <c r="K1501" s="394"/>
      <c r="L1501" s="394"/>
      <c r="M1501" s="394"/>
      <c r="N1501" s="394"/>
      <c r="O1501" s="460"/>
      <c r="P1501" s="461"/>
    </row>
    <row r="1502" spans="1:16">
      <c r="A1502" s="492"/>
      <c r="B1502" s="394"/>
      <c r="C1502" s="394"/>
      <c r="D1502" s="394"/>
      <c r="E1502" s="394"/>
      <c r="F1502" s="394"/>
      <c r="G1502" s="394"/>
      <c r="H1502" s="394"/>
      <c r="I1502" s="394"/>
      <c r="J1502" s="394"/>
      <c r="K1502" s="394"/>
      <c r="L1502" s="394"/>
      <c r="M1502" s="394"/>
      <c r="N1502" s="394"/>
      <c r="O1502" s="460"/>
      <c r="P1502" s="461"/>
    </row>
    <row r="1503" spans="1:16">
      <c r="A1503" s="492"/>
      <c r="B1503" s="394"/>
      <c r="C1503" s="394"/>
      <c r="D1503" s="394"/>
      <c r="E1503" s="394"/>
      <c r="F1503" s="394"/>
      <c r="G1503" s="394"/>
      <c r="H1503" s="394"/>
      <c r="I1503" s="394"/>
      <c r="J1503" s="394"/>
      <c r="K1503" s="394"/>
      <c r="L1503" s="394"/>
      <c r="M1503" s="394"/>
      <c r="N1503" s="394"/>
      <c r="O1503" s="460"/>
      <c r="P1503" s="461"/>
    </row>
    <row r="1504" spans="1:16">
      <c r="A1504" s="492"/>
      <c r="B1504" s="394"/>
      <c r="C1504" s="394"/>
      <c r="D1504" s="394"/>
      <c r="E1504" s="394"/>
      <c r="F1504" s="394"/>
      <c r="G1504" s="394"/>
      <c r="H1504" s="394"/>
      <c r="I1504" s="394"/>
      <c r="J1504" s="394"/>
      <c r="K1504" s="394"/>
      <c r="L1504" s="394"/>
      <c r="M1504" s="394"/>
      <c r="N1504" s="394"/>
      <c r="O1504" s="460"/>
      <c r="P1504" s="461"/>
    </row>
    <row r="1505" spans="1:16">
      <c r="A1505" s="492"/>
      <c r="B1505" s="394"/>
      <c r="C1505" s="394"/>
      <c r="D1505" s="394"/>
      <c r="E1505" s="394"/>
      <c r="F1505" s="394"/>
      <c r="G1505" s="394"/>
      <c r="H1505" s="394"/>
      <c r="I1505" s="394"/>
      <c r="J1505" s="394"/>
      <c r="K1505" s="394"/>
      <c r="L1505" s="394"/>
      <c r="M1505" s="394"/>
      <c r="N1505" s="394"/>
      <c r="O1505" s="460"/>
      <c r="P1505" s="461"/>
    </row>
    <row r="1506" spans="1:16">
      <c r="A1506" s="492"/>
      <c r="B1506" s="394"/>
      <c r="C1506" s="394"/>
      <c r="D1506" s="394"/>
      <c r="E1506" s="394"/>
      <c r="F1506" s="394"/>
      <c r="G1506" s="394"/>
      <c r="H1506" s="394"/>
      <c r="I1506" s="394"/>
      <c r="J1506" s="394"/>
      <c r="K1506" s="394"/>
      <c r="L1506" s="394"/>
      <c r="M1506" s="394"/>
      <c r="N1506" s="394"/>
      <c r="O1506" s="460"/>
      <c r="P1506" s="461"/>
    </row>
    <row r="1507" spans="1:16">
      <c r="A1507" s="492"/>
      <c r="B1507" s="394"/>
      <c r="C1507" s="394"/>
      <c r="D1507" s="491"/>
      <c r="E1507" s="491"/>
      <c r="F1507" s="394"/>
      <c r="G1507" s="394"/>
      <c r="H1507" s="394"/>
      <c r="I1507" s="394"/>
      <c r="J1507" s="394"/>
      <c r="K1507" s="394"/>
      <c r="L1507" s="394"/>
      <c r="M1507" s="394"/>
      <c r="N1507" s="394"/>
      <c r="O1507" s="460"/>
      <c r="P1507" s="461"/>
    </row>
    <row r="1508" spans="1:16">
      <c r="A1508" s="492"/>
      <c r="B1508" s="394"/>
      <c r="C1508" s="394"/>
      <c r="D1508" s="491"/>
      <c r="E1508" s="491"/>
      <c r="F1508" s="394"/>
      <c r="G1508" s="394"/>
      <c r="H1508" s="394"/>
      <c r="I1508" s="394"/>
      <c r="J1508" s="394"/>
      <c r="K1508" s="394"/>
      <c r="L1508" s="394"/>
      <c r="M1508" s="394"/>
      <c r="N1508" s="394"/>
      <c r="O1508" s="460"/>
      <c r="P1508" s="461"/>
    </row>
    <row r="1509" spans="1:16">
      <c r="A1509" s="492"/>
      <c r="B1509" s="394"/>
      <c r="C1509" s="394"/>
      <c r="D1509" s="491"/>
      <c r="E1509" s="491"/>
      <c r="F1509" s="394"/>
      <c r="G1509" s="394"/>
      <c r="H1509" s="394"/>
      <c r="I1509" s="394"/>
      <c r="J1509" s="394"/>
      <c r="K1509" s="394"/>
      <c r="L1509" s="394"/>
      <c r="M1509" s="394"/>
      <c r="N1509" s="394"/>
      <c r="O1509" s="460"/>
      <c r="P1509" s="461"/>
    </row>
    <row r="1510" spans="1:16">
      <c r="A1510" s="492"/>
      <c r="B1510" s="394"/>
      <c r="C1510" s="394"/>
      <c r="D1510" s="491"/>
      <c r="E1510" s="491"/>
      <c r="F1510" s="394"/>
      <c r="G1510" s="394"/>
      <c r="H1510" s="394"/>
      <c r="I1510" s="394"/>
      <c r="J1510" s="394"/>
      <c r="K1510" s="394"/>
      <c r="L1510" s="394"/>
      <c r="M1510" s="394"/>
      <c r="N1510" s="394"/>
      <c r="O1510" s="460"/>
      <c r="P1510" s="461"/>
    </row>
    <row r="1511" spans="1:16">
      <c r="A1511" s="492"/>
      <c r="B1511" s="394"/>
      <c r="C1511" s="394"/>
      <c r="D1511" s="491"/>
      <c r="E1511" s="491"/>
      <c r="F1511" s="394"/>
      <c r="G1511" s="394"/>
      <c r="H1511" s="394"/>
      <c r="I1511" s="394"/>
      <c r="J1511" s="394"/>
      <c r="K1511" s="394"/>
      <c r="L1511" s="394"/>
      <c r="M1511" s="394"/>
      <c r="N1511" s="394"/>
      <c r="O1511" s="460"/>
      <c r="P1511" s="461"/>
    </row>
    <row r="1512" spans="1:16">
      <c r="A1512" s="492"/>
      <c r="B1512" s="394"/>
      <c r="C1512" s="394"/>
      <c r="D1512" s="491"/>
      <c r="E1512" s="491"/>
      <c r="F1512" s="394"/>
      <c r="G1512" s="394"/>
      <c r="H1512" s="394"/>
      <c r="I1512" s="394"/>
      <c r="J1512" s="394"/>
      <c r="K1512" s="394"/>
      <c r="L1512" s="394"/>
      <c r="M1512" s="394"/>
      <c r="N1512" s="394"/>
      <c r="O1512" s="460"/>
      <c r="P1512" s="461"/>
    </row>
    <row r="1513" spans="1:16">
      <c r="A1513" s="459"/>
      <c r="B1513" s="394"/>
      <c r="C1513" s="394"/>
      <c r="D1513" s="394"/>
      <c r="E1513" s="394"/>
      <c r="F1513" s="394"/>
      <c r="G1513" s="394"/>
      <c r="H1513" s="394"/>
      <c r="I1513" s="394"/>
      <c r="J1513" s="394"/>
      <c r="K1513" s="394"/>
      <c r="L1513" s="394"/>
      <c r="M1513" s="394"/>
      <c r="N1513" s="394"/>
      <c r="O1513" s="460"/>
      <c r="P1513" s="461"/>
    </row>
    <row r="1514" spans="1:16">
      <c r="A1514" s="459"/>
      <c r="B1514" s="394"/>
      <c r="C1514" s="394"/>
      <c r="D1514" s="394"/>
      <c r="E1514" s="394"/>
      <c r="F1514" s="394"/>
      <c r="G1514" s="394"/>
      <c r="H1514" s="394"/>
      <c r="I1514" s="394"/>
      <c r="J1514" s="394"/>
      <c r="K1514" s="394"/>
      <c r="L1514" s="394"/>
      <c r="M1514" s="394"/>
      <c r="N1514" s="394"/>
      <c r="O1514" s="460"/>
      <c r="P1514" s="461"/>
    </row>
    <row r="1515" spans="1:16">
      <c r="A1515" s="459"/>
      <c r="B1515" s="394"/>
      <c r="C1515" s="394"/>
      <c r="D1515" s="394"/>
      <c r="E1515" s="394"/>
      <c r="F1515" s="394"/>
      <c r="G1515" s="394"/>
      <c r="H1515" s="394"/>
      <c r="I1515" s="394"/>
      <c r="J1515" s="394"/>
      <c r="K1515" s="394"/>
      <c r="L1515" s="394"/>
      <c r="M1515" s="394"/>
      <c r="N1515" s="394"/>
      <c r="O1515" s="460"/>
      <c r="P1515" s="461"/>
    </row>
    <row r="1516" spans="1:16">
      <c r="A1516" s="459"/>
      <c r="B1516" s="394"/>
      <c r="C1516" s="394"/>
      <c r="D1516" s="394"/>
      <c r="E1516" s="394"/>
      <c r="F1516" s="394"/>
      <c r="G1516" s="394"/>
      <c r="H1516" s="394"/>
      <c r="I1516" s="394"/>
      <c r="J1516" s="394"/>
      <c r="K1516" s="394"/>
      <c r="L1516" s="394"/>
      <c r="M1516" s="394"/>
      <c r="N1516" s="394"/>
      <c r="O1516" s="460"/>
      <c r="P1516" s="461"/>
    </row>
    <row r="1517" spans="1:16">
      <c r="A1517" s="459"/>
      <c r="B1517" s="394"/>
      <c r="C1517" s="394"/>
      <c r="D1517" s="394"/>
      <c r="E1517" s="394"/>
      <c r="F1517" s="394"/>
      <c r="G1517" s="394"/>
      <c r="H1517" s="394"/>
      <c r="I1517" s="394"/>
      <c r="J1517" s="394"/>
      <c r="K1517" s="394"/>
      <c r="L1517" s="394"/>
      <c r="M1517" s="394"/>
      <c r="N1517" s="394"/>
      <c r="O1517" s="460"/>
      <c r="P1517" s="461"/>
    </row>
    <row r="1518" spans="1:16">
      <c r="A1518" s="474"/>
      <c r="B1518" s="399"/>
      <c r="C1518" s="399"/>
      <c r="D1518" s="399"/>
      <c r="E1518" s="399"/>
      <c r="F1518" s="399"/>
      <c r="G1518" s="399"/>
      <c r="H1518" s="399"/>
      <c r="I1518" s="399"/>
      <c r="J1518" s="399"/>
      <c r="K1518" s="399"/>
      <c r="L1518" s="399"/>
      <c r="M1518" s="399"/>
      <c r="N1518" s="399"/>
      <c r="O1518" s="494"/>
      <c r="P1518" s="495"/>
    </row>
    <row r="1519" spans="1:16">
      <c r="A1519" s="474"/>
      <c r="B1519" s="399"/>
      <c r="C1519" s="399"/>
      <c r="D1519" s="399"/>
      <c r="E1519" s="399"/>
      <c r="F1519" s="399"/>
      <c r="G1519" s="399"/>
      <c r="H1519" s="399"/>
      <c r="I1519" s="399"/>
      <c r="J1519" s="399"/>
      <c r="K1519" s="399"/>
      <c r="L1519" s="399"/>
      <c r="M1519" s="399"/>
      <c r="N1519" s="399"/>
      <c r="O1519" s="494"/>
      <c r="P1519" s="495"/>
    </row>
    <row r="1520" spans="1:16">
      <c r="A1520" s="474"/>
      <c r="B1520" s="399"/>
      <c r="C1520" s="399"/>
      <c r="D1520" s="399"/>
      <c r="E1520" s="399"/>
      <c r="F1520" s="399"/>
      <c r="G1520" s="399"/>
      <c r="H1520" s="399"/>
      <c r="I1520" s="399"/>
      <c r="J1520" s="399"/>
      <c r="K1520" s="399"/>
      <c r="L1520" s="399"/>
      <c r="M1520" s="399"/>
      <c r="N1520" s="399"/>
      <c r="O1520" s="494"/>
      <c r="P1520" s="495"/>
    </row>
    <row r="1521" spans="1:16">
      <c r="A1521" s="463"/>
      <c r="B1521" s="462"/>
      <c r="C1521" s="462"/>
      <c r="D1521" s="462"/>
      <c r="E1521" s="462"/>
      <c r="F1521" s="462"/>
      <c r="G1521" s="462"/>
      <c r="H1521" s="462"/>
      <c r="I1521" s="462"/>
      <c r="J1521" s="462"/>
      <c r="K1521" s="462"/>
      <c r="L1521" s="462"/>
      <c r="M1521" s="462"/>
      <c r="N1521" s="462"/>
      <c r="O1521" s="371"/>
      <c r="P1521" s="464"/>
    </row>
    <row r="1522" spans="1:16">
      <c r="A1522" s="463"/>
      <c r="B1522" s="462"/>
      <c r="C1522" s="462"/>
      <c r="D1522" s="462"/>
      <c r="E1522" s="462"/>
      <c r="F1522" s="462"/>
      <c r="G1522" s="462"/>
      <c r="H1522" s="462"/>
      <c r="I1522" s="462"/>
      <c r="J1522" s="462"/>
      <c r="K1522" s="462"/>
      <c r="L1522" s="462"/>
      <c r="M1522" s="462"/>
      <c r="N1522" s="462"/>
      <c r="O1522" s="371"/>
      <c r="P1522" s="464"/>
    </row>
    <row r="1523" spans="1:16">
      <c r="A1523" s="463"/>
      <c r="B1523" s="462"/>
      <c r="C1523" s="462"/>
      <c r="D1523" s="462"/>
      <c r="E1523" s="462"/>
      <c r="F1523" s="462"/>
      <c r="G1523" s="462"/>
      <c r="H1523" s="462"/>
      <c r="I1523" s="462"/>
      <c r="J1523" s="462"/>
      <c r="K1523" s="462"/>
      <c r="L1523" s="462"/>
      <c r="M1523" s="462"/>
      <c r="N1523" s="462"/>
      <c r="O1523" s="371"/>
      <c r="P1523" s="464"/>
    </row>
    <row r="1524" spans="1:16" ht="15.75" thickBot="1">
      <c r="A1524" s="465"/>
      <c r="B1524" s="466"/>
      <c r="C1524" s="466"/>
      <c r="D1524" s="466"/>
      <c r="E1524" s="466"/>
      <c r="F1524" s="466"/>
      <c r="G1524" s="1029" t="s">
        <v>38</v>
      </c>
      <c r="H1524" s="1029"/>
      <c r="I1524" s="1029"/>
      <c r="J1524" s="1029"/>
      <c r="K1524" s="1029"/>
      <c r="L1524" s="1029"/>
      <c r="M1524" s="1029"/>
      <c r="N1524" s="1029"/>
      <c r="O1524" s="467"/>
      <c r="P1524" s="468"/>
    </row>
    <row r="1554" spans="1:16" ht="15.75" thickBot="1">
      <c r="O1554" s="471"/>
    </row>
    <row r="1555" spans="1:16">
      <c r="A1555" s="1030" t="s">
        <v>450</v>
      </c>
      <c r="B1555" s="1031"/>
      <c r="C1555" s="1031"/>
      <c r="D1555" s="1031"/>
      <c r="E1555" s="1031"/>
      <c r="F1555" s="1031"/>
      <c r="G1555" s="1031"/>
      <c r="H1555" s="1031"/>
      <c r="I1555" s="1031"/>
      <c r="J1555" s="1031"/>
      <c r="K1555" s="1031"/>
      <c r="L1555" s="1031"/>
      <c r="M1555" s="1031"/>
      <c r="N1555" s="1031"/>
      <c r="O1555" s="469"/>
      <c r="P1555" s="470"/>
    </row>
    <row r="1556" spans="1:16" ht="15.75" thickBot="1">
      <c r="A1556" s="1032"/>
      <c r="B1556" s="1033"/>
      <c r="C1556" s="1033"/>
      <c r="D1556" s="1033"/>
      <c r="E1556" s="1033"/>
      <c r="F1556" s="1033"/>
      <c r="G1556" s="1033"/>
      <c r="H1556" s="1033"/>
      <c r="I1556" s="1033"/>
      <c r="J1556" s="1033"/>
      <c r="K1556" s="1033"/>
      <c r="L1556" s="1033"/>
      <c r="M1556" s="1033"/>
      <c r="N1556" s="1033"/>
      <c r="O1556" s="471"/>
      <c r="P1556" s="464"/>
    </row>
    <row r="1557" spans="1:16" ht="15.75" thickBot="1">
      <c r="A1557" s="1034" t="s">
        <v>451</v>
      </c>
      <c r="B1557" s="1035"/>
      <c r="C1557" s="1035"/>
      <c r="D1557" s="1035"/>
      <c r="E1557" s="1035"/>
      <c r="F1557" s="1035"/>
      <c r="G1557" s="1035"/>
      <c r="H1557" s="1035"/>
      <c r="I1557" s="1035"/>
      <c r="J1557" s="1035"/>
      <c r="K1557" s="1035"/>
      <c r="L1557" s="1035"/>
      <c r="M1557" s="1035"/>
      <c r="N1557" s="1035"/>
      <c r="O1557" s="471"/>
      <c r="P1557" s="464"/>
    </row>
    <row r="1558" spans="1:16">
      <c r="A1558" s="472" t="s">
        <v>483</v>
      </c>
      <c r="B1558" s="405"/>
      <c r="C1558" s="405"/>
      <c r="D1558" s="406"/>
      <c r="E1558" s="1036" t="s">
        <v>484</v>
      </c>
      <c r="F1558" s="1037"/>
      <c r="G1558" s="1037"/>
      <c r="H1558" s="473"/>
      <c r="I1558" s="473"/>
      <c r="J1558" s="473"/>
      <c r="K1558" s="473"/>
      <c r="L1558" s="473"/>
      <c r="M1558" s="473"/>
      <c r="N1558" s="473"/>
      <c r="O1558" s="471"/>
      <c r="P1558" s="464"/>
    </row>
    <row r="1559" spans="1:16">
      <c r="A1559" s="474"/>
      <c r="B1559" s="399" t="s">
        <v>384</v>
      </c>
      <c r="C1559" s="399"/>
      <c r="D1559" s="408"/>
      <c r="E1559" s="475"/>
      <c r="F1559" s="476"/>
      <c r="G1559" s="1038">
        <f>'0422Master'!B1040</f>
        <v>0</v>
      </c>
      <c r="H1559" s="1038"/>
      <c r="I1559" s="1038"/>
      <c r="J1559" s="476"/>
      <c r="K1559" s="476"/>
      <c r="L1559" s="476"/>
      <c r="M1559" s="476"/>
      <c r="N1559" s="476"/>
      <c r="P1559" s="464"/>
    </row>
    <row r="1560" spans="1:16" ht="15.75" thickBot="1">
      <c r="A1560" s="410"/>
      <c r="B1560" s="411" t="s">
        <v>385</v>
      </c>
      <c r="C1560" s="411"/>
      <c r="D1560" s="412"/>
      <c r="E1560" s="475"/>
      <c r="F1560" s="476"/>
      <c r="G1560" s="476"/>
      <c r="H1560" s="476"/>
      <c r="I1560" s="476"/>
      <c r="J1560" s="476"/>
      <c r="K1560" s="476"/>
      <c r="L1560" s="476"/>
      <c r="M1560" s="476"/>
      <c r="N1560" s="476"/>
      <c r="O1560" s="471"/>
      <c r="P1560" s="464"/>
    </row>
    <row r="1561" spans="1:16">
      <c r="A1561" s="404" t="s">
        <v>485</v>
      </c>
      <c r="B1561" s="405"/>
      <c r="C1561" s="405"/>
      <c r="D1561" s="406"/>
      <c r="E1561" s="404" t="s">
        <v>452</v>
      </c>
      <c r="F1561" s="405"/>
      <c r="G1561" s="477">
        <f>'0422Master'!N1040</f>
        <v>0</v>
      </c>
      <c r="H1561" s="405"/>
      <c r="I1561" s="405"/>
      <c r="J1561" s="405"/>
      <c r="K1561" s="405"/>
      <c r="L1561" s="405"/>
      <c r="M1561" s="405"/>
      <c r="N1561" s="405"/>
      <c r="O1561" s="471"/>
      <c r="P1561" s="464"/>
    </row>
    <row r="1562" spans="1:16">
      <c r="A1562" s="474"/>
      <c r="B1562" s="399"/>
      <c r="C1562" s="399" t="s">
        <v>374</v>
      </c>
      <c r="D1562" s="408"/>
      <c r="E1562" s="407"/>
      <c r="F1562" s="399"/>
      <c r="G1562" s="399"/>
      <c r="H1562" s="399"/>
      <c r="I1562" s="399"/>
      <c r="J1562" s="399"/>
      <c r="K1562" s="399"/>
      <c r="L1562" s="399"/>
      <c r="M1562" s="399"/>
      <c r="N1562" s="399"/>
      <c r="O1562" s="471"/>
      <c r="P1562" s="464"/>
    </row>
    <row r="1563" spans="1:16">
      <c r="A1563" s="474"/>
      <c r="B1563" s="399"/>
      <c r="C1563" s="399"/>
      <c r="D1563" s="408"/>
      <c r="E1563" s="478"/>
      <c r="F1563" s="399"/>
      <c r="G1563" s="399"/>
      <c r="H1563" s="399"/>
      <c r="I1563" s="399"/>
      <c r="J1563" s="399"/>
      <c r="K1563" s="399"/>
      <c r="L1563" s="399"/>
      <c r="M1563" s="399"/>
      <c r="N1563" s="399"/>
      <c r="O1563" s="471"/>
      <c r="P1563" s="464"/>
    </row>
    <row r="1564" spans="1:16" ht="15.75" thickBot="1">
      <c r="A1564" s="479"/>
      <c r="B1564" s="402"/>
      <c r="C1564" s="402"/>
      <c r="D1564" s="480"/>
      <c r="E1564" s="410"/>
      <c r="F1564" s="411"/>
      <c r="G1564" s="411"/>
      <c r="H1564" s="411"/>
      <c r="I1564" s="411"/>
      <c r="J1564" s="411"/>
      <c r="K1564" s="411"/>
      <c r="L1564" s="411"/>
      <c r="M1564" s="411"/>
      <c r="N1564" s="411"/>
      <c r="O1564" s="481"/>
      <c r="P1564" s="468"/>
    </row>
    <row r="1565" spans="1:16">
      <c r="A1565" s="1039" t="s">
        <v>5</v>
      </c>
      <c r="B1565" s="1041" t="s">
        <v>453</v>
      </c>
      <c r="C1565" s="1042"/>
      <c r="D1565" s="1041" t="s">
        <v>454</v>
      </c>
      <c r="E1565" s="1044"/>
      <c r="F1565" s="989" t="s">
        <v>455</v>
      </c>
      <c r="G1565" s="1043" t="s">
        <v>456</v>
      </c>
      <c r="H1565" s="1047"/>
      <c r="I1565" s="1048" t="s">
        <v>457</v>
      </c>
      <c r="J1565" s="1047"/>
      <c r="K1565" s="1049"/>
      <c r="L1565" s="1048" t="s">
        <v>458</v>
      </c>
      <c r="M1565" s="1047"/>
      <c r="N1565" s="1047"/>
      <c r="O1565" s="1027" t="s">
        <v>459</v>
      </c>
      <c r="P1565" s="1027" t="s">
        <v>40</v>
      </c>
    </row>
    <row r="1566" spans="1:16" ht="15.75" thickBot="1">
      <c r="A1566" s="1040"/>
      <c r="B1566" s="1043"/>
      <c r="C1566" s="1044"/>
      <c r="D1566" s="1043"/>
      <c r="E1566" s="1044"/>
      <c r="F1566" s="985"/>
      <c r="G1566" s="1043"/>
      <c r="H1566" s="1047"/>
      <c r="I1566" s="1050"/>
      <c r="J1566" s="1051"/>
      <c r="K1566" s="1052"/>
      <c r="L1566" s="1050"/>
      <c r="M1566" s="1051"/>
      <c r="N1566" s="1051"/>
      <c r="O1566" s="1028"/>
      <c r="P1566" s="1028"/>
    </row>
    <row r="1567" spans="1:16">
      <c r="A1567" s="482">
        <v>1</v>
      </c>
      <c r="B1567" s="1045"/>
      <c r="C1567" s="1046"/>
      <c r="D1567" s="1045"/>
      <c r="E1567" s="1046"/>
      <c r="F1567" s="414">
        <v>6</v>
      </c>
      <c r="G1567" s="1045"/>
      <c r="H1567" s="1046"/>
      <c r="I1567" s="483">
        <v>9</v>
      </c>
      <c r="J1567" s="483"/>
      <c r="K1567" s="483"/>
      <c r="L1567" s="483">
        <v>9</v>
      </c>
      <c r="M1567" s="483"/>
      <c r="N1567" s="483"/>
      <c r="O1567" s="484" t="s">
        <v>460</v>
      </c>
      <c r="P1567" s="485"/>
    </row>
    <row r="1568" spans="1:16" ht="51">
      <c r="A1568" s="459"/>
      <c r="B1568" s="394" t="s">
        <v>461</v>
      </c>
      <c r="C1568" s="394" t="s">
        <v>462</v>
      </c>
      <c r="D1568" s="394" t="s">
        <v>463</v>
      </c>
      <c r="E1568" s="394" t="s">
        <v>134</v>
      </c>
      <c r="F1568" s="394"/>
      <c r="G1568" s="394" t="s">
        <v>464</v>
      </c>
      <c r="H1568" s="394" t="s">
        <v>465</v>
      </c>
      <c r="I1568" s="394" t="s">
        <v>466</v>
      </c>
      <c r="J1568" s="394" t="s">
        <v>467</v>
      </c>
      <c r="K1568" s="394" t="s">
        <v>468</v>
      </c>
      <c r="L1568" s="394" t="s">
        <v>469</v>
      </c>
      <c r="M1568" s="394" t="s">
        <v>470</v>
      </c>
      <c r="N1568" s="486" t="s">
        <v>471</v>
      </c>
      <c r="O1568" s="487"/>
      <c r="P1568" s="488"/>
    </row>
    <row r="1569" spans="1:16">
      <c r="A1569" s="459"/>
      <c r="B1569" s="489"/>
      <c r="C1569" s="394"/>
      <c r="D1569" s="394"/>
      <c r="E1569" s="394"/>
      <c r="F1569" s="394"/>
      <c r="G1569" s="394"/>
      <c r="H1569" s="394"/>
      <c r="I1569" s="394"/>
      <c r="J1569" s="394"/>
      <c r="K1569" s="394"/>
      <c r="L1569" s="394"/>
      <c r="M1569" s="394"/>
      <c r="N1569" s="394"/>
      <c r="O1569" s="460"/>
      <c r="P1569" s="461"/>
    </row>
    <row r="1570" spans="1:16">
      <c r="A1570" s="632"/>
      <c r="B1570" s="394"/>
      <c r="C1570" s="460"/>
      <c r="D1570" s="460"/>
      <c r="E1570" s="460"/>
      <c r="F1570" s="460"/>
      <c r="G1570" s="460"/>
      <c r="H1570" s="460"/>
      <c r="I1570" s="460"/>
      <c r="J1570" s="460"/>
      <c r="K1570" s="460"/>
      <c r="L1570" s="394"/>
      <c r="M1570" s="394"/>
      <c r="N1570" s="394"/>
      <c r="O1570" s="460"/>
      <c r="P1570" s="461"/>
    </row>
    <row r="1571" spans="1:16">
      <c r="A1571" s="490"/>
      <c r="B1571" s="394"/>
      <c r="C1571" s="394"/>
      <c r="D1571" s="394"/>
      <c r="E1571" s="394"/>
      <c r="F1571" s="394"/>
      <c r="G1571" s="394"/>
      <c r="H1571" s="394"/>
      <c r="I1571" s="394"/>
      <c r="J1571" s="394"/>
      <c r="K1571" s="394"/>
      <c r="L1571" s="394"/>
      <c r="M1571" s="394"/>
      <c r="N1571" s="394"/>
      <c r="O1571" s="460"/>
      <c r="P1571" s="461"/>
    </row>
    <row r="1572" spans="1:16">
      <c r="A1572" s="490"/>
      <c r="B1572" s="394"/>
      <c r="C1572" s="394"/>
      <c r="D1572" s="726"/>
      <c r="E1572" s="726"/>
      <c r="F1572" s="394"/>
      <c r="G1572" s="394"/>
      <c r="H1572" s="394"/>
      <c r="I1572" s="394"/>
      <c r="J1572" s="394"/>
      <c r="K1572" s="394"/>
      <c r="L1572" s="394"/>
      <c r="M1572" s="394"/>
      <c r="N1572" s="394"/>
      <c r="O1572" s="460"/>
      <c r="P1572" s="461"/>
    </row>
    <row r="1573" spans="1:16">
      <c r="A1573" s="490"/>
      <c r="B1573" s="394"/>
      <c r="C1573" s="394"/>
      <c r="D1573" s="726"/>
      <c r="E1573" s="726"/>
      <c r="F1573" s="394"/>
      <c r="G1573" s="394"/>
      <c r="H1573" s="394"/>
      <c r="I1573" s="394"/>
      <c r="J1573" s="394"/>
      <c r="K1573" s="394"/>
      <c r="L1573" s="394"/>
      <c r="M1573" s="394"/>
      <c r="N1573" s="394"/>
      <c r="O1573" s="460"/>
      <c r="P1573" s="461"/>
    </row>
    <row r="1574" spans="1:16">
      <c r="A1574" s="492"/>
      <c r="B1574" s="394"/>
      <c r="C1574" s="394"/>
      <c r="D1574" s="394"/>
      <c r="E1574" s="394"/>
      <c r="F1574" s="394"/>
      <c r="G1574" s="394"/>
      <c r="H1574" s="394"/>
      <c r="I1574" s="394"/>
      <c r="J1574" s="394"/>
      <c r="K1574" s="394"/>
      <c r="L1574" s="394"/>
      <c r="M1574" s="394"/>
      <c r="N1574" s="394"/>
      <c r="O1574" s="460"/>
      <c r="P1574" s="461"/>
    </row>
    <row r="1575" spans="1:16">
      <c r="A1575" s="492"/>
      <c r="B1575" s="394"/>
      <c r="C1575" s="394"/>
      <c r="D1575" s="394"/>
      <c r="E1575" s="394"/>
      <c r="F1575" s="394"/>
      <c r="G1575" s="394"/>
      <c r="H1575" s="394"/>
      <c r="I1575" s="394"/>
      <c r="J1575" s="394"/>
      <c r="K1575" s="394"/>
      <c r="L1575" s="394"/>
      <c r="M1575" s="394"/>
      <c r="N1575" s="394"/>
      <c r="O1575" s="460"/>
      <c r="P1575" s="461"/>
    </row>
    <row r="1576" spans="1:16">
      <c r="A1576" s="492"/>
      <c r="B1576" s="394"/>
      <c r="C1576" s="394"/>
      <c r="D1576" s="394"/>
      <c r="E1576" s="394"/>
      <c r="F1576" s="394"/>
      <c r="G1576" s="394"/>
      <c r="H1576" s="394"/>
      <c r="I1576" s="394"/>
      <c r="J1576" s="394"/>
      <c r="K1576" s="394"/>
      <c r="L1576" s="394"/>
      <c r="M1576" s="394"/>
      <c r="N1576" s="394"/>
      <c r="O1576" s="460"/>
      <c r="P1576" s="461"/>
    </row>
    <row r="1577" spans="1:16">
      <c r="A1577" s="492"/>
      <c r="B1577" s="394"/>
      <c r="C1577" s="394"/>
      <c r="D1577" s="394"/>
      <c r="E1577" s="394"/>
      <c r="F1577" s="394"/>
      <c r="G1577" s="394"/>
      <c r="H1577" s="394"/>
      <c r="I1577" s="394"/>
      <c r="J1577" s="394"/>
      <c r="K1577" s="394"/>
      <c r="L1577" s="394"/>
      <c r="M1577" s="394"/>
      <c r="N1577" s="394"/>
      <c r="O1577" s="460"/>
      <c r="P1577" s="461"/>
    </row>
    <row r="1578" spans="1:16">
      <c r="A1578" s="492"/>
      <c r="B1578" s="394"/>
      <c r="C1578" s="394"/>
      <c r="D1578" s="394"/>
      <c r="E1578" s="394"/>
      <c r="F1578" s="394"/>
      <c r="G1578" s="394"/>
      <c r="H1578" s="394"/>
      <c r="I1578" s="394"/>
      <c r="J1578" s="394"/>
      <c r="K1578" s="394"/>
      <c r="L1578" s="394"/>
      <c r="M1578" s="394"/>
      <c r="N1578" s="394"/>
      <c r="O1578" s="460"/>
      <c r="P1578" s="461"/>
    </row>
    <row r="1579" spans="1:16">
      <c r="A1579" s="492"/>
      <c r="B1579" s="394"/>
      <c r="C1579" s="394"/>
      <c r="D1579" s="491"/>
      <c r="E1579" s="491"/>
      <c r="F1579" s="394"/>
      <c r="G1579" s="394"/>
      <c r="H1579" s="394"/>
      <c r="I1579" s="394"/>
      <c r="J1579" s="394"/>
      <c r="K1579" s="394"/>
      <c r="L1579" s="394"/>
      <c r="M1579" s="394"/>
      <c r="N1579" s="394"/>
      <c r="O1579" s="460"/>
      <c r="P1579" s="461"/>
    </row>
    <row r="1580" spans="1:16">
      <c r="A1580" s="492"/>
      <c r="B1580" s="394"/>
      <c r="C1580" s="394"/>
      <c r="D1580" s="491"/>
      <c r="E1580" s="491"/>
      <c r="F1580" s="394"/>
      <c r="G1580" s="394"/>
      <c r="H1580" s="394"/>
      <c r="I1580" s="394"/>
      <c r="J1580" s="394"/>
      <c r="K1580" s="394"/>
      <c r="L1580" s="394"/>
      <c r="M1580" s="394"/>
      <c r="N1580" s="394"/>
      <c r="O1580" s="460"/>
      <c r="P1580" s="461"/>
    </row>
    <row r="1581" spans="1:16">
      <c r="A1581" s="492"/>
      <c r="B1581" s="394"/>
      <c r="C1581" s="394"/>
      <c r="D1581" s="491"/>
      <c r="E1581" s="491"/>
      <c r="F1581" s="394"/>
      <c r="G1581" s="394"/>
      <c r="H1581" s="394"/>
      <c r="I1581" s="394"/>
      <c r="J1581" s="394"/>
      <c r="K1581" s="394"/>
      <c r="L1581" s="394"/>
      <c r="M1581" s="394"/>
      <c r="N1581" s="394"/>
      <c r="O1581" s="460"/>
      <c r="P1581" s="461"/>
    </row>
    <row r="1582" spans="1:16">
      <c r="A1582" s="492"/>
      <c r="B1582" s="394"/>
      <c r="C1582" s="394"/>
      <c r="D1582" s="491"/>
      <c r="E1582" s="491"/>
      <c r="F1582" s="394"/>
      <c r="G1582" s="394"/>
      <c r="H1582" s="394"/>
      <c r="I1582" s="394"/>
      <c r="J1582" s="394"/>
      <c r="K1582" s="394"/>
      <c r="L1582" s="394"/>
      <c r="M1582" s="394"/>
      <c r="N1582" s="394"/>
      <c r="O1582" s="460"/>
      <c r="P1582" s="461"/>
    </row>
    <row r="1583" spans="1:16">
      <c r="A1583" s="492"/>
      <c r="B1583" s="394"/>
      <c r="C1583" s="394"/>
      <c r="D1583" s="491"/>
      <c r="E1583" s="491"/>
      <c r="F1583" s="394"/>
      <c r="G1583" s="394"/>
      <c r="H1583" s="394"/>
      <c r="I1583" s="394"/>
      <c r="J1583" s="394"/>
      <c r="K1583" s="394"/>
      <c r="L1583" s="394"/>
      <c r="M1583" s="394"/>
      <c r="N1583" s="394"/>
      <c r="O1583" s="460"/>
      <c r="P1583" s="461"/>
    </row>
    <row r="1584" spans="1:16">
      <c r="A1584" s="492"/>
      <c r="B1584" s="394"/>
      <c r="C1584" s="394"/>
      <c r="D1584" s="491"/>
      <c r="E1584" s="491"/>
      <c r="F1584" s="394"/>
      <c r="G1584" s="394"/>
      <c r="H1584" s="394"/>
      <c r="I1584" s="394"/>
      <c r="J1584" s="394"/>
      <c r="K1584" s="394"/>
      <c r="L1584" s="394"/>
      <c r="M1584" s="394"/>
      <c r="N1584" s="394"/>
      <c r="O1584" s="460"/>
      <c r="P1584" s="461"/>
    </row>
    <row r="1585" spans="1:16">
      <c r="A1585" s="459"/>
      <c r="B1585" s="394"/>
      <c r="C1585" s="394"/>
      <c r="D1585" s="394"/>
      <c r="E1585" s="394"/>
      <c r="F1585" s="394"/>
      <c r="G1585" s="394"/>
      <c r="H1585" s="394"/>
      <c r="I1585" s="394"/>
      <c r="J1585" s="394"/>
      <c r="K1585" s="394"/>
      <c r="L1585" s="394"/>
      <c r="M1585" s="394"/>
      <c r="N1585" s="394"/>
      <c r="O1585" s="460"/>
      <c r="P1585" s="461"/>
    </row>
    <row r="1586" spans="1:16">
      <c r="A1586" s="459"/>
      <c r="B1586" s="394"/>
      <c r="C1586" s="394"/>
      <c r="D1586" s="394"/>
      <c r="E1586" s="394"/>
      <c r="F1586" s="394"/>
      <c r="G1586" s="394"/>
      <c r="H1586" s="394"/>
      <c r="I1586" s="394"/>
      <c r="J1586" s="394"/>
      <c r="K1586" s="394"/>
      <c r="L1586" s="394"/>
      <c r="M1586" s="394"/>
      <c r="N1586" s="394"/>
      <c r="O1586" s="460"/>
      <c r="P1586" s="461"/>
    </row>
    <row r="1587" spans="1:16">
      <c r="A1587" s="459"/>
      <c r="B1587" s="394"/>
      <c r="C1587" s="394"/>
      <c r="D1587" s="394"/>
      <c r="E1587" s="394"/>
      <c r="F1587" s="394"/>
      <c r="G1587" s="394"/>
      <c r="H1587" s="394"/>
      <c r="I1587" s="394"/>
      <c r="J1587" s="394"/>
      <c r="K1587" s="394"/>
      <c r="L1587" s="394"/>
      <c r="M1587" s="394"/>
      <c r="N1587" s="394"/>
      <c r="O1587" s="460"/>
      <c r="P1587" s="461"/>
    </row>
    <row r="1588" spans="1:16">
      <c r="A1588" s="459"/>
      <c r="B1588" s="394"/>
      <c r="C1588" s="394"/>
      <c r="D1588" s="394"/>
      <c r="E1588" s="394"/>
      <c r="F1588" s="394"/>
      <c r="G1588" s="394"/>
      <c r="H1588" s="394"/>
      <c r="I1588" s="394"/>
      <c r="J1588" s="394"/>
      <c r="K1588" s="394"/>
      <c r="L1588" s="394"/>
      <c r="M1588" s="394"/>
      <c r="N1588" s="394"/>
      <c r="O1588" s="460"/>
      <c r="P1588" s="461"/>
    </row>
    <row r="1589" spans="1:16">
      <c r="A1589" s="459"/>
      <c r="B1589" s="394"/>
      <c r="C1589" s="394"/>
      <c r="D1589" s="394"/>
      <c r="E1589" s="394"/>
      <c r="F1589" s="394"/>
      <c r="G1589" s="394"/>
      <c r="H1589" s="394"/>
      <c r="I1589" s="394"/>
      <c r="J1589" s="394"/>
      <c r="K1589" s="394"/>
      <c r="L1589" s="394"/>
      <c r="M1589" s="394"/>
      <c r="N1589" s="394"/>
      <c r="O1589" s="460"/>
      <c r="P1589" s="461"/>
    </row>
    <row r="1590" spans="1:16">
      <c r="A1590" s="474"/>
      <c r="B1590" s="399"/>
      <c r="C1590" s="399"/>
      <c r="D1590" s="399"/>
      <c r="E1590" s="399"/>
      <c r="F1590" s="399"/>
      <c r="G1590" s="399"/>
      <c r="H1590" s="399"/>
      <c r="I1590" s="399"/>
      <c r="J1590" s="399"/>
      <c r="K1590" s="399"/>
      <c r="L1590" s="399"/>
      <c r="M1590" s="399"/>
      <c r="N1590" s="399"/>
      <c r="O1590" s="494"/>
      <c r="P1590" s="495"/>
    </row>
    <row r="1591" spans="1:16">
      <c r="A1591" s="474"/>
      <c r="B1591" s="399"/>
      <c r="C1591" s="399"/>
      <c r="D1591" s="399"/>
      <c r="E1591" s="399"/>
      <c r="F1591" s="399"/>
      <c r="G1591" s="399"/>
      <c r="H1591" s="399"/>
      <c r="I1591" s="399"/>
      <c r="J1591" s="399"/>
      <c r="K1591" s="399"/>
      <c r="L1591" s="399"/>
      <c r="M1591" s="399"/>
      <c r="N1591" s="399"/>
      <c r="O1591" s="494"/>
      <c r="P1591" s="495"/>
    </row>
    <row r="1592" spans="1:16">
      <c r="A1592" s="474"/>
      <c r="B1592" s="399"/>
      <c r="C1592" s="399"/>
      <c r="D1592" s="399"/>
      <c r="E1592" s="399"/>
      <c r="F1592" s="399"/>
      <c r="G1592" s="399"/>
      <c r="H1592" s="399"/>
      <c r="I1592" s="399"/>
      <c r="J1592" s="399"/>
      <c r="K1592" s="399"/>
      <c r="L1592" s="399"/>
      <c r="M1592" s="399"/>
      <c r="N1592" s="399"/>
      <c r="O1592" s="494"/>
      <c r="P1592" s="495"/>
    </row>
    <row r="1593" spans="1:16">
      <c r="A1593" s="463"/>
      <c r="B1593" s="462"/>
      <c r="C1593" s="462"/>
      <c r="D1593" s="462"/>
      <c r="E1593" s="462"/>
      <c r="F1593" s="462"/>
      <c r="G1593" s="462"/>
      <c r="H1593" s="462"/>
      <c r="I1593" s="462"/>
      <c r="J1593" s="462"/>
      <c r="K1593" s="462"/>
      <c r="L1593" s="462"/>
      <c r="M1593" s="462"/>
      <c r="N1593" s="462"/>
      <c r="O1593" s="371"/>
      <c r="P1593" s="464"/>
    </row>
    <row r="1594" spans="1:16">
      <c r="A1594" s="463"/>
      <c r="B1594" s="462"/>
      <c r="C1594" s="462"/>
      <c r="D1594" s="462"/>
      <c r="E1594" s="462"/>
      <c r="F1594" s="462"/>
      <c r="G1594" s="462"/>
      <c r="H1594" s="462"/>
      <c r="I1594" s="462"/>
      <c r="J1594" s="462"/>
      <c r="K1594" s="462"/>
      <c r="L1594" s="462"/>
      <c r="M1594" s="462"/>
      <c r="N1594" s="462"/>
      <c r="O1594" s="371"/>
      <c r="P1594" s="464"/>
    </row>
    <row r="1595" spans="1:16">
      <c r="A1595" s="463"/>
      <c r="B1595" s="462"/>
      <c r="C1595" s="462"/>
      <c r="D1595" s="462"/>
      <c r="E1595" s="462"/>
      <c r="F1595" s="462"/>
      <c r="G1595" s="462"/>
      <c r="H1595" s="462"/>
      <c r="I1595" s="462"/>
      <c r="J1595" s="462"/>
      <c r="K1595" s="462"/>
      <c r="L1595" s="462"/>
      <c r="M1595" s="462"/>
      <c r="N1595" s="462"/>
      <c r="O1595" s="371"/>
      <c r="P1595" s="464"/>
    </row>
    <row r="1596" spans="1:16" ht="15.75" thickBot="1">
      <c r="A1596" s="465"/>
      <c r="B1596" s="466"/>
      <c r="C1596" s="466"/>
      <c r="D1596" s="466"/>
      <c r="E1596" s="466"/>
      <c r="F1596" s="466"/>
      <c r="G1596" s="1029" t="s">
        <v>38</v>
      </c>
      <c r="H1596" s="1029"/>
      <c r="I1596" s="1029"/>
      <c r="J1596" s="1029"/>
      <c r="K1596" s="1029"/>
      <c r="L1596" s="1029"/>
      <c r="M1596" s="1029"/>
      <c r="N1596" s="1029"/>
      <c r="O1596" s="467"/>
      <c r="P1596" s="468"/>
    </row>
    <row r="1626" spans="1:16" ht="15.75" thickBot="1">
      <c r="O1626" s="471"/>
    </row>
    <row r="1627" spans="1:16">
      <c r="A1627" s="1030" t="s">
        <v>450</v>
      </c>
      <c r="B1627" s="1031"/>
      <c r="C1627" s="1031"/>
      <c r="D1627" s="1031"/>
      <c r="E1627" s="1031"/>
      <c r="F1627" s="1031"/>
      <c r="G1627" s="1031"/>
      <c r="H1627" s="1031"/>
      <c r="I1627" s="1031"/>
      <c r="J1627" s="1031"/>
      <c r="K1627" s="1031"/>
      <c r="L1627" s="1031"/>
      <c r="M1627" s="1031"/>
      <c r="N1627" s="1031"/>
      <c r="O1627" s="469"/>
      <c r="P1627" s="470"/>
    </row>
    <row r="1628" spans="1:16" ht="15.75" thickBot="1">
      <c r="A1628" s="1032"/>
      <c r="B1628" s="1033"/>
      <c r="C1628" s="1033"/>
      <c r="D1628" s="1033"/>
      <c r="E1628" s="1033"/>
      <c r="F1628" s="1033"/>
      <c r="G1628" s="1033"/>
      <c r="H1628" s="1033"/>
      <c r="I1628" s="1033"/>
      <c r="J1628" s="1033"/>
      <c r="K1628" s="1033"/>
      <c r="L1628" s="1033"/>
      <c r="M1628" s="1033"/>
      <c r="N1628" s="1033"/>
      <c r="O1628" s="471"/>
      <c r="P1628" s="464"/>
    </row>
    <row r="1629" spans="1:16" ht="15.75" thickBot="1">
      <c r="A1629" s="1034" t="s">
        <v>451</v>
      </c>
      <c r="B1629" s="1035"/>
      <c r="C1629" s="1035"/>
      <c r="D1629" s="1035"/>
      <c r="E1629" s="1035"/>
      <c r="F1629" s="1035"/>
      <c r="G1629" s="1035"/>
      <c r="H1629" s="1035"/>
      <c r="I1629" s="1035"/>
      <c r="J1629" s="1035"/>
      <c r="K1629" s="1035"/>
      <c r="L1629" s="1035"/>
      <c r="M1629" s="1035"/>
      <c r="N1629" s="1035"/>
      <c r="O1629" s="471"/>
      <c r="P1629" s="464"/>
    </row>
    <row r="1630" spans="1:16">
      <c r="A1630" s="472" t="s">
        <v>483</v>
      </c>
      <c r="B1630" s="405"/>
      <c r="C1630" s="405"/>
      <c r="D1630" s="406"/>
      <c r="E1630" s="1036" t="s">
        <v>484</v>
      </c>
      <c r="F1630" s="1037"/>
      <c r="G1630" s="1037"/>
      <c r="H1630" s="473"/>
      <c r="I1630" s="473"/>
      <c r="J1630" s="473"/>
      <c r="K1630" s="473"/>
      <c r="L1630" s="473"/>
      <c r="M1630" s="473"/>
      <c r="N1630" s="473"/>
      <c r="O1630" s="471"/>
      <c r="P1630" s="464"/>
    </row>
    <row r="1631" spans="1:16">
      <c r="A1631" s="474"/>
      <c r="B1631" s="399" t="s">
        <v>384</v>
      </c>
      <c r="C1631" s="399"/>
      <c r="D1631" s="408"/>
      <c r="E1631" s="475"/>
      <c r="F1631" s="476"/>
      <c r="G1631" s="1038">
        <f>'0422Master'!B1112</f>
        <v>0</v>
      </c>
      <c r="H1631" s="1038"/>
      <c r="I1631" s="1038"/>
      <c r="J1631" s="476"/>
      <c r="K1631" s="476"/>
      <c r="L1631" s="476"/>
      <c r="M1631" s="476"/>
      <c r="N1631" s="476"/>
      <c r="P1631" s="464"/>
    </row>
    <row r="1632" spans="1:16" ht="15.75" thickBot="1">
      <c r="A1632" s="410"/>
      <c r="B1632" s="411" t="s">
        <v>385</v>
      </c>
      <c r="C1632" s="411"/>
      <c r="D1632" s="412"/>
      <c r="E1632" s="475"/>
      <c r="F1632" s="476"/>
      <c r="G1632" s="476"/>
      <c r="H1632" s="476"/>
      <c r="I1632" s="476"/>
      <c r="J1632" s="476"/>
      <c r="K1632" s="476"/>
      <c r="L1632" s="476"/>
      <c r="M1632" s="476"/>
      <c r="N1632" s="476"/>
      <c r="O1632" s="471"/>
      <c r="P1632" s="464"/>
    </row>
    <row r="1633" spans="1:16">
      <c r="A1633" s="404" t="s">
        <v>485</v>
      </c>
      <c r="B1633" s="405"/>
      <c r="C1633" s="405"/>
      <c r="D1633" s="406"/>
      <c r="E1633" s="404" t="s">
        <v>452</v>
      </c>
      <c r="F1633" s="405"/>
      <c r="G1633" s="477">
        <f>'0422Master'!N1112</f>
        <v>0</v>
      </c>
      <c r="H1633" s="405"/>
      <c r="I1633" s="405"/>
      <c r="J1633" s="405"/>
      <c r="K1633" s="405"/>
      <c r="L1633" s="405"/>
      <c r="M1633" s="405"/>
      <c r="N1633" s="405"/>
      <c r="O1633" s="471"/>
      <c r="P1633" s="464"/>
    </row>
    <row r="1634" spans="1:16">
      <c r="A1634" s="474"/>
      <c r="B1634" s="399"/>
      <c r="C1634" s="399" t="s">
        <v>374</v>
      </c>
      <c r="D1634" s="408"/>
      <c r="E1634" s="407"/>
      <c r="F1634" s="399"/>
      <c r="G1634" s="399"/>
      <c r="H1634" s="399"/>
      <c r="I1634" s="399"/>
      <c r="J1634" s="399"/>
      <c r="K1634" s="399"/>
      <c r="L1634" s="399"/>
      <c r="M1634" s="399"/>
      <c r="N1634" s="399"/>
      <c r="O1634" s="471"/>
      <c r="P1634" s="464"/>
    </row>
    <row r="1635" spans="1:16">
      <c r="A1635" s="474"/>
      <c r="B1635" s="399"/>
      <c r="C1635" s="399"/>
      <c r="D1635" s="408"/>
      <c r="E1635" s="478"/>
      <c r="F1635" s="399"/>
      <c r="G1635" s="399"/>
      <c r="H1635" s="399"/>
      <c r="I1635" s="399"/>
      <c r="J1635" s="399"/>
      <c r="K1635" s="399"/>
      <c r="L1635" s="399"/>
      <c r="M1635" s="399"/>
      <c r="N1635" s="399"/>
      <c r="O1635" s="471"/>
      <c r="P1635" s="464"/>
    </row>
    <row r="1636" spans="1:16" ht="15.75" thickBot="1">
      <c r="A1636" s="479"/>
      <c r="B1636" s="402"/>
      <c r="C1636" s="402"/>
      <c r="D1636" s="480"/>
      <c r="E1636" s="410"/>
      <c r="F1636" s="411"/>
      <c r="G1636" s="411"/>
      <c r="H1636" s="411"/>
      <c r="I1636" s="411"/>
      <c r="J1636" s="411"/>
      <c r="K1636" s="411"/>
      <c r="L1636" s="411"/>
      <c r="M1636" s="411"/>
      <c r="N1636" s="411"/>
      <c r="O1636" s="481"/>
      <c r="P1636" s="468"/>
    </row>
    <row r="1637" spans="1:16">
      <c r="A1637" s="1039" t="s">
        <v>5</v>
      </c>
      <c r="B1637" s="1041" t="s">
        <v>453</v>
      </c>
      <c r="C1637" s="1042"/>
      <c r="D1637" s="1041" t="s">
        <v>454</v>
      </c>
      <c r="E1637" s="1044"/>
      <c r="F1637" s="989" t="s">
        <v>455</v>
      </c>
      <c r="G1637" s="1043" t="s">
        <v>456</v>
      </c>
      <c r="H1637" s="1047"/>
      <c r="I1637" s="1048" t="s">
        <v>457</v>
      </c>
      <c r="J1637" s="1047"/>
      <c r="K1637" s="1049"/>
      <c r="L1637" s="1048" t="s">
        <v>458</v>
      </c>
      <c r="M1637" s="1047"/>
      <c r="N1637" s="1047"/>
      <c r="O1637" s="1027" t="s">
        <v>459</v>
      </c>
      <c r="P1637" s="1027" t="s">
        <v>40</v>
      </c>
    </row>
    <row r="1638" spans="1:16" ht="15.75" thickBot="1">
      <c r="A1638" s="1040"/>
      <c r="B1638" s="1043"/>
      <c r="C1638" s="1044"/>
      <c r="D1638" s="1043"/>
      <c r="E1638" s="1044"/>
      <c r="F1638" s="985"/>
      <c r="G1638" s="1043"/>
      <c r="H1638" s="1047"/>
      <c r="I1638" s="1050"/>
      <c r="J1638" s="1051"/>
      <c r="K1638" s="1052"/>
      <c r="L1638" s="1050"/>
      <c r="M1638" s="1051"/>
      <c r="N1638" s="1051"/>
      <c r="O1638" s="1028"/>
      <c r="P1638" s="1028"/>
    </row>
    <row r="1639" spans="1:16">
      <c r="A1639" s="482">
        <v>1</v>
      </c>
      <c r="B1639" s="1045"/>
      <c r="C1639" s="1046"/>
      <c r="D1639" s="1045"/>
      <c r="E1639" s="1046"/>
      <c r="F1639" s="414">
        <v>6</v>
      </c>
      <c r="G1639" s="1045"/>
      <c r="H1639" s="1046"/>
      <c r="I1639" s="483">
        <v>9</v>
      </c>
      <c r="J1639" s="483"/>
      <c r="K1639" s="483"/>
      <c r="L1639" s="483">
        <v>9</v>
      </c>
      <c r="M1639" s="483"/>
      <c r="N1639" s="483"/>
      <c r="O1639" s="484" t="s">
        <v>460</v>
      </c>
      <c r="P1639" s="485"/>
    </row>
    <row r="1640" spans="1:16" ht="51">
      <c r="A1640" s="459"/>
      <c r="B1640" s="394" t="s">
        <v>461</v>
      </c>
      <c r="C1640" s="394" t="s">
        <v>462</v>
      </c>
      <c r="D1640" s="394" t="s">
        <v>463</v>
      </c>
      <c r="E1640" s="394" t="s">
        <v>134</v>
      </c>
      <c r="F1640" s="394"/>
      <c r="G1640" s="394" t="s">
        <v>464</v>
      </c>
      <c r="H1640" s="394" t="s">
        <v>465</v>
      </c>
      <c r="I1640" s="394" t="s">
        <v>466</v>
      </c>
      <c r="J1640" s="394" t="s">
        <v>467</v>
      </c>
      <c r="K1640" s="394" t="s">
        <v>468</v>
      </c>
      <c r="L1640" s="394" t="s">
        <v>469</v>
      </c>
      <c r="M1640" s="394" t="s">
        <v>470</v>
      </c>
      <c r="N1640" s="486" t="s">
        <v>471</v>
      </c>
      <c r="O1640" s="487"/>
      <c r="P1640" s="488"/>
    </row>
    <row r="1641" spans="1:16">
      <c r="A1641" s="459"/>
      <c r="B1641" s="489"/>
      <c r="C1641" s="394"/>
      <c r="D1641" s="394"/>
      <c r="E1641" s="394"/>
      <c r="F1641" s="394"/>
      <c r="G1641" s="394"/>
      <c r="H1641" s="394"/>
      <c r="I1641" s="394"/>
      <c r="J1641" s="394"/>
      <c r="K1641" s="394"/>
      <c r="L1641" s="394"/>
      <c r="M1641" s="394"/>
      <c r="N1641" s="394"/>
      <c r="O1641" s="460"/>
      <c r="P1641" s="461"/>
    </row>
    <row r="1642" spans="1:16">
      <c r="A1642" s="632"/>
      <c r="B1642" s="394"/>
      <c r="C1642" s="460"/>
      <c r="D1642" s="460"/>
      <c r="E1642" s="460"/>
      <c r="F1642" s="460"/>
      <c r="G1642" s="460"/>
      <c r="H1642" s="460"/>
      <c r="I1642" s="460"/>
      <c r="J1642" s="460"/>
      <c r="K1642" s="460"/>
      <c r="L1642" s="394"/>
      <c r="M1642" s="394"/>
      <c r="N1642" s="394"/>
      <c r="O1642" s="460"/>
      <c r="P1642" s="461"/>
    </row>
    <row r="1643" spans="1:16">
      <c r="A1643" s="490"/>
      <c r="B1643" s="394"/>
      <c r="C1643" s="394"/>
      <c r="D1643" s="394"/>
      <c r="E1643" s="394"/>
      <c r="F1643" s="394"/>
      <c r="G1643" s="394"/>
      <c r="H1643" s="394"/>
      <c r="I1643" s="394"/>
      <c r="J1643" s="394"/>
      <c r="K1643" s="394"/>
      <c r="L1643" s="394"/>
      <c r="M1643" s="394"/>
      <c r="N1643" s="394"/>
      <c r="O1643" s="460"/>
      <c r="P1643" s="461"/>
    </row>
    <row r="1644" spans="1:16">
      <c r="A1644" s="490"/>
      <c r="B1644" s="394"/>
      <c r="C1644" s="394"/>
      <c r="D1644" s="726"/>
      <c r="E1644" s="726"/>
      <c r="F1644" s="394"/>
      <c r="G1644" s="394"/>
      <c r="H1644" s="394"/>
      <c r="I1644" s="394"/>
      <c r="J1644" s="394"/>
      <c r="K1644" s="394"/>
      <c r="L1644" s="394"/>
      <c r="M1644" s="394"/>
      <c r="N1644" s="394"/>
      <c r="O1644" s="460"/>
      <c r="P1644" s="461"/>
    </row>
    <row r="1645" spans="1:16">
      <c r="A1645" s="490"/>
      <c r="B1645" s="394"/>
      <c r="C1645" s="394"/>
      <c r="D1645" s="726"/>
      <c r="E1645" s="726"/>
      <c r="F1645" s="394"/>
      <c r="G1645" s="394"/>
      <c r="H1645" s="394"/>
      <c r="I1645" s="394"/>
      <c r="J1645" s="394"/>
      <c r="K1645" s="394"/>
      <c r="L1645" s="394"/>
      <c r="M1645" s="394"/>
      <c r="N1645" s="394"/>
      <c r="O1645" s="460"/>
      <c r="P1645" s="461"/>
    </row>
    <row r="1646" spans="1:16">
      <c r="A1646" s="492"/>
      <c r="B1646" s="394"/>
      <c r="C1646" s="394"/>
      <c r="D1646" s="394"/>
      <c r="E1646" s="394"/>
      <c r="F1646" s="394"/>
      <c r="G1646" s="394"/>
      <c r="H1646" s="394"/>
      <c r="I1646" s="394"/>
      <c r="J1646" s="394"/>
      <c r="K1646" s="394"/>
      <c r="L1646" s="394"/>
      <c r="M1646" s="394"/>
      <c r="N1646" s="394"/>
      <c r="O1646" s="460"/>
      <c r="P1646" s="461"/>
    </row>
    <row r="1647" spans="1:16">
      <c r="A1647" s="492"/>
      <c r="B1647" s="394"/>
      <c r="C1647" s="394"/>
      <c r="D1647" s="394"/>
      <c r="E1647" s="394"/>
      <c r="F1647" s="394"/>
      <c r="G1647" s="394"/>
      <c r="H1647" s="394"/>
      <c r="I1647" s="394"/>
      <c r="J1647" s="394"/>
      <c r="K1647" s="394"/>
      <c r="L1647" s="394"/>
      <c r="M1647" s="394"/>
      <c r="N1647" s="394"/>
      <c r="O1647" s="460"/>
      <c r="P1647" s="461"/>
    </row>
    <row r="1648" spans="1:16">
      <c r="A1648" s="492"/>
      <c r="B1648" s="394"/>
      <c r="C1648" s="394"/>
      <c r="D1648" s="394"/>
      <c r="E1648" s="394"/>
      <c r="F1648" s="394"/>
      <c r="G1648" s="394"/>
      <c r="H1648" s="394"/>
      <c r="I1648" s="394"/>
      <c r="J1648" s="394"/>
      <c r="K1648" s="394"/>
      <c r="L1648" s="394"/>
      <c r="M1648" s="394"/>
      <c r="N1648" s="394"/>
      <c r="O1648" s="460"/>
      <c r="P1648" s="461"/>
    </row>
    <row r="1649" spans="1:16">
      <c r="A1649" s="492"/>
      <c r="B1649" s="394"/>
      <c r="C1649" s="394"/>
      <c r="D1649" s="394"/>
      <c r="E1649" s="394"/>
      <c r="F1649" s="394"/>
      <c r="G1649" s="394"/>
      <c r="H1649" s="394"/>
      <c r="I1649" s="394"/>
      <c r="J1649" s="394"/>
      <c r="K1649" s="394"/>
      <c r="L1649" s="394"/>
      <c r="M1649" s="394"/>
      <c r="N1649" s="394"/>
      <c r="O1649" s="460"/>
      <c r="P1649" s="461"/>
    </row>
    <row r="1650" spans="1:16">
      <c r="A1650" s="492"/>
      <c r="B1650" s="394"/>
      <c r="C1650" s="394"/>
      <c r="D1650" s="394"/>
      <c r="E1650" s="394"/>
      <c r="F1650" s="394"/>
      <c r="G1650" s="394"/>
      <c r="H1650" s="394"/>
      <c r="I1650" s="394"/>
      <c r="J1650" s="394"/>
      <c r="K1650" s="394"/>
      <c r="L1650" s="394"/>
      <c r="M1650" s="394"/>
      <c r="N1650" s="394"/>
      <c r="O1650" s="460"/>
      <c r="P1650" s="461"/>
    </row>
    <row r="1651" spans="1:16">
      <c r="A1651" s="492"/>
      <c r="B1651" s="394"/>
      <c r="C1651" s="394"/>
      <c r="D1651" s="491"/>
      <c r="E1651" s="491"/>
      <c r="F1651" s="394"/>
      <c r="G1651" s="394"/>
      <c r="H1651" s="394"/>
      <c r="I1651" s="394"/>
      <c r="J1651" s="394"/>
      <c r="K1651" s="394"/>
      <c r="L1651" s="394"/>
      <c r="M1651" s="394"/>
      <c r="N1651" s="394"/>
      <c r="O1651" s="460"/>
      <c r="P1651" s="461"/>
    </row>
    <row r="1652" spans="1:16">
      <c r="A1652" s="492"/>
      <c r="B1652" s="394"/>
      <c r="C1652" s="394"/>
      <c r="D1652" s="491"/>
      <c r="E1652" s="491"/>
      <c r="F1652" s="394"/>
      <c r="G1652" s="394"/>
      <c r="H1652" s="394"/>
      <c r="I1652" s="394"/>
      <c r="J1652" s="394"/>
      <c r="K1652" s="394"/>
      <c r="L1652" s="394"/>
      <c r="M1652" s="394"/>
      <c r="N1652" s="394"/>
      <c r="O1652" s="460"/>
      <c r="P1652" s="461"/>
    </row>
    <row r="1653" spans="1:16">
      <c r="A1653" s="492"/>
      <c r="B1653" s="394"/>
      <c r="C1653" s="394"/>
      <c r="D1653" s="491"/>
      <c r="E1653" s="491"/>
      <c r="F1653" s="394"/>
      <c r="G1653" s="394"/>
      <c r="H1653" s="394"/>
      <c r="I1653" s="394"/>
      <c r="J1653" s="394"/>
      <c r="K1653" s="394"/>
      <c r="L1653" s="394"/>
      <c r="M1653" s="394"/>
      <c r="N1653" s="394"/>
      <c r="O1653" s="460"/>
      <c r="P1653" s="461"/>
    </row>
    <row r="1654" spans="1:16">
      <c r="A1654" s="492"/>
      <c r="B1654" s="394"/>
      <c r="C1654" s="394"/>
      <c r="D1654" s="491"/>
      <c r="E1654" s="491"/>
      <c r="F1654" s="394"/>
      <c r="G1654" s="394"/>
      <c r="H1654" s="394"/>
      <c r="I1654" s="394"/>
      <c r="J1654" s="394"/>
      <c r="K1654" s="394"/>
      <c r="L1654" s="394"/>
      <c r="M1654" s="394"/>
      <c r="N1654" s="394"/>
      <c r="O1654" s="460"/>
      <c r="P1654" s="461"/>
    </row>
    <row r="1655" spans="1:16">
      <c r="A1655" s="492"/>
      <c r="B1655" s="394"/>
      <c r="C1655" s="394"/>
      <c r="D1655" s="491"/>
      <c r="E1655" s="491"/>
      <c r="F1655" s="394"/>
      <c r="G1655" s="394"/>
      <c r="H1655" s="394"/>
      <c r="I1655" s="394"/>
      <c r="J1655" s="394"/>
      <c r="K1655" s="394"/>
      <c r="L1655" s="394"/>
      <c r="M1655" s="394"/>
      <c r="N1655" s="394"/>
      <c r="O1655" s="460"/>
      <c r="P1655" s="461"/>
    </row>
    <row r="1656" spans="1:16">
      <c r="A1656" s="492"/>
      <c r="B1656" s="394"/>
      <c r="C1656" s="394"/>
      <c r="D1656" s="491"/>
      <c r="E1656" s="491"/>
      <c r="F1656" s="394"/>
      <c r="G1656" s="394"/>
      <c r="H1656" s="394"/>
      <c r="I1656" s="394"/>
      <c r="J1656" s="394"/>
      <c r="K1656" s="394"/>
      <c r="L1656" s="394"/>
      <c r="M1656" s="394"/>
      <c r="N1656" s="394"/>
      <c r="O1656" s="460"/>
      <c r="P1656" s="461"/>
    </row>
    <row r="1657" spans="1:16">
      <c r="A1657" s="459"/>
      <c r="B1657" s="394"/>
      <c r="C1657" s="394"/>
      <c r="D1657" s="394"/>
      <c r="E1657" s="394"/>
      <c r="F1657" s="394"/>
      <c r="G1657" s="394"/>
      <c r="H1657" s="394"/>
      <c r="I1657" s="394"/>
      <c r="J1657" s="394"/>
      <c r="K1657" s="394"/>
      <c r="L1657" s="394"/>
      <c r="M1657" s="394"/>
      <c r="N1657" s="394"/>
      <c r="O1657" s="460"/>
      <c r="P1657" s="461"/>
    </row>
    <row r="1658" spans="1:16">
      <c r="A1658" s="459"/>
      <c r="B1658" s="394"/>
      <c r="C1658" s="394"/>
      <c r="D1658" s="394"/>
      <c r="E1658" s="394"/>
      <c r="F1658" s="394"/>
      <c r="G1658" s="394"/>
      <c r="H1658" s="394"/>
      <c r="I1658" s="394"/>
      <c r="J1658" s="394"/>
      <c r="K1658" s="394"/>
      <c r="L1658" s="394"/>
      <c r="M1658" s="394"/>
      <c r="N1658" s="394"/>
      <c r="O1658" s="460"/>
      <c r="P1658" s="461"/>
    </row>
    <row r="1659" spans="1:16">
      <c r="A1659" s="459"/>
      <c r="B1659" s="394"/>
      <c r="C1659" s="394"/>
      <c r="D1659" s="394"/>
      <c r="E1659" s="394"/>
      <c r="F1659" s="394"/>
      <c r="G1659" s="394"/>
      <c r="H1659" s="394"/>
      <c r="I1659" s="394"/>
      <c r="J1659" s="394"/>
      <c r="K1659" s="394"/>
      <c r="L1659" s="394"/>
      <c r="M1659" s="394"/>
      <c r="N1659" s="394"/>
      <c r="O1659" s="460"/>
      <c r="P1659" s="461"/>
    </row>
    <row r="1660" spans="1:16">
      <c r="A1660" s="459"/>
      <c r="B1660" s="394"/>
      <c r="C1660" s="394"/>
      <c r="D1660" s="394"/>
      <c r="E1660" s="394"/>
      <c r="F1660" s="394"/>
      <c r="G1660" s="394"/>
      <c r="H1660" s="394"/>
      <c r="I1660" s="394"/>
      <c r="J1660" s="394"/>
      <c r="K1660" s="394"/>
      <c r="L1660" s="394"/>
      <c r="M1660" s="394"/>
      <c r="N1660" s="394"/>
      <c r="O1660" s="460"/>
      <c r="P1660" s="461"/>
    </row>
    <row r="1661" spans="1:16">
      <c r="A1661" s="459"/>
      <c r="B1661" s="394"/>
      <c r="C1661" s="394"/>
      <c r="D1661" s="394"/>
      <c r="E1661" s="394"/>
      <c r="F1661" s="394"/>
      <c r="G1661" s="394"/>
      <c r="H1661" s="394"/>
      <c r="I1661" s="394"/>
      <c r="J1661" s="394"/>
      <c r="K1661" s="394"/>
      <c r="L1661" s="394"/>
      <c r="M1661" s="394"/>
      <c r="N1661" s="394"/>
      <c r="O1661" s="460"/>
      <c r="P1661" s="461"/>
    </row>
    <row r="1662" spans="1:16">
      <c r="A1662" s="474"/>
      <c r="B1662" s="399"/>
      <c r="C1662" s="399"/>
      <c r="D1662" s="399"/>
      <c r="E1662" s="399"/>
      <c r="F1662" s="399"/>
      <c r="G1662" s="399"/>
      <c r="H1662" s="399"/>
      <c r="I1662" s="399"/>
      <c r="J1662" s="399"/>
      <c r="K1662" s="399"/>
      <c r="L1662" s="399"/>
      <c r="M1662" s="399"/>
      <c r="N1662" s="399"/>
      <c r="O1662" s="494"/>
      <c r="P1662" s="495"/>
    </row>
    <row r="1663" spans="1:16">
      <c r="A1663" s="474"/>
      <c r="B1663" s="399"/>
      <c r="C1663" s="399"/>
      <c r="D1663" s="399"/>
      <c r="E1663" s="399"/>
      <c r="F1663" s="399"/>
      <c r="G1663" s="399"/>
      <c r="H1663" s="399"/>
      <c r="I1663" s="399"/>
      <c r="J1663" s="399"/>
      <c r="K1663" s="399"/>
      <c r="L1663" s="399"/>
      <c r="M1663" s="399"/>
      <c r="N1663" s="399"/>
      <c r="O1663" s="494"/>
      <c r="P1663" s="495"/>
    </row>
    <row r="1664" spans="1:16">
      <c r="A1664" s="474"/>
      <c r="B1664" s="399"/>
      <c r="C1664" s="399"/>
      <c r="D1664" s="399"/>
      <c r="E1664" s="399"/>
      <c r="F1664" s="399"/>
      <c r="G1664" s="399"/>
      <c r="H1664" s="399"/>
      <c r="I1664" s="399"/>
      <c r="J1664" s="399"/>
      <c r="K1664" s="399"/>
      <c r="L1664" s="399"/>
      <c r="M1664" s="399"/>
      <c r="N1664" s="399"/>
      <c r="O1664" s="494"/>
      <c r="P1664" s="495"/>
    </row>
    <row r="1665" spans="1:16">
      <c r="A1665" s="463"/>
      <c r="B1665" s="462"/>
      <c r="C1665" s="462"/>
      <c r="D1665" s="462"/>
      <c r="E1665" s="462"/>
      <c r="F1665" s="462"/>
      <c r="G1665" s="462"/>
      <c r="H1665" s="462"/>
      <c r="I1665" s="462"/>
      <c r="J1665" s="462"/>
      <c r="K1665" s="462"/>
      <c r="L1665" s="462"/>
      <c r="M1665" s="462"/>
      <c r="N1665" s="462"/>
      <c r="O1665" s="371"/>
      <c r="P1665" s="464"/>
    </row>
    <row r="1666" spans="1:16">
      <c r="A1666" s="463"/>
      <c r="B1666" s="462"/>
      <c r="C1666" s="462"/>
      <c r="D1666" s="462"/>
      <c r="E1666" s="462"/>
      <c r="F1666" s="462"/>
      <c r="G1666" s="462"/>
      <c r="H1666" s="462"/>
      <c r="I1666" s="462"/>
      <c r="J1666" s="462"/>
      <c r="K1666" s="462"/>
      <c r="L1666" s="462"/>
      <c r="M1666" s="462"/>
      <c r="N1666" s="462"/>
      <c r="O1666" s="371"/>
      <c r="P1666" s="464"/>
    </row>
    <row r="1667" spans="1:16">
      <c r="A1667" s="463"/>
      <c r="B1667" s="462"/>
      <c r="C1667" s="462"/>
      <c r="D1667" s="462"/>
      <c r="E1667" s="462"/>
      <c r="F1667" s="462"/>
      <c r="G1667" s="462"/>
      <c r="H1667" s="462"/>
      <c r="I1667" s="462"/>
      <c r="J1667" s="462"/>
      <c r="K1667" s="462"/>
      <c r="L1667" s="462"/>
      <c r="M1667" s="462"/>
      <c r="N1667" s="462"/>
      <c r="O1667" s="371"/>
      <c r="P1667" s="464"/>
    </row>
    <row r="1668" spans="1:16" ht="15.75" thickBot="1">
      <c r="A1668" s="465"/>
      <c r="B1668" s="466"/>
      <c r="C1668" s="466"/>
      <c r="D1668" s="466"/>
      <c r="E1668" s="466"/>
      <c r="F1668" s="466"/>
      <c r="G1668" s="1029" t="s">
        <v>38</v>
      </c>
      <c r="H1668" s="1029"/>
      <c r="I1668" s="1029"/>
      <c r="J1668" s="1029"/>
      <c r="K1668" s="1029"/>
      <c r="L1668" s="1029"/>
      <c r="M1668" s="1029"/>
      <c r="N1668" s="1029"/>
      <c r="O1668" s="467"/>
      <c r="P1668" s="468"/>
    </row>
    <row r="1698" spans="1:16" ht="15.75" thickBot="1">
      <c r="O1698" s="471"/>
    </row>
    <row r="1699" spans="1:16">
      <c r="A1699" s="1030" t="s">
        <v>450</v>
      </c>
      <c r="B1699" s="1031"/>
      <c r="C1699" s="1031"/>
      <c r="D1699" s="1031"/>
      <c r="E1699" s="1031"/>
      <c r="F1699" s="1031"/>
      <c r="G1699" s="1031"/>
      <c r="H1699" s="1031"/>
      <c r="I1699" s="1031"/>
      <c r="J1699" s="1031"/>
      <c r="K1699" s="1031"/>
      <c r="L1699" s="1031"/>
      <c r="M1699" s="1031"/>
      <c r="N1699" s="1031"/>
      <c r="O1699" s="469"/>
      <c r="P1699" s="470"/>
    </row>
    <row r="1700" spans="1:16" ht="15.75" thickBot="1">
      <c r="A1700" s="1032"/>
      <c r="B1700" s="1033"/>
      <c r="C1700" s="1033"/>
      <c r="D1700" s="1033"/>
      <c r="E1700" s="1033"/>
      <c r="F1700" s="1033"/>
      <c r="G1700" s="1033"/>
      <c r="H1700" s="1033"/>
      <c r="I1700" s="1033"/>
      <c r="J1700" s="1033"/>
      <c r="K1700" s="1033"/>
      <c r="L1700" s="1033"/>
      <c r="M1700" s="1033"/>
      <c r="N1700" s="1033"/>
      <c r="O1700" s="471"/>
      <c r="P1700" s="464"/>
    </row>
    <row r="1701" spans="1:16" ht="15.75" thickBot="1">
      <c r="A1701" s="1034" t="s">
        <v>451</v>
      </c>
      <c r="B1701" s="1035"/>
      <c r="C1701" s="1035"/>
      <c r="D1701" s="1035"/>
      <c r="E1701" s="1035"/>
      <c r="F1701" s="1035"/>
      <c r="G1701" s="1035"/>
      <c r="H1701" s="1035"/>
      <c r="I1701" s="1035"/>
      <c r="J1701" s="1035"/>
      <c r="K1701" s="1035"/>
      <c r="L1701" s="1035"/>
      <c r="M1701" s="1035"/>
      <c r="N1701" s="1035"/>
      <c r="O1701" s="471"/>
      <c r="P1701" s="464"/>
    </row>
    <row r="1702" spans="1:16">
      <c r="A1702" s="472" t="s">
        <v>483</v>
      </c>
      <c r="B1702" s="405"/>
      <c r="C1702" s="405"/>
      <c r="D1702" s="406"/>
      <c r="E1702" s="1036" t="s">
        <v>484</v>
      </c>
      <c r="F1702" s="1037"/>
      <c r="G1702" s="1037"/>
      <c r="H1702" s="473"/>
      <c r="I1702" s="473"/>
      <c r="J1702" s="473"/>
      <c r="K1702" s="473"/>
      <c r="L1702" s="473"/>
      <c r="M1702" s="473"/>
      <c r="N1702" s="473"/>
      <c r="O1702" s="471"/>
      <c r="P1702" s="464"/>
    </row>
    <row r="1703" spans="1:16">
      <c r="A1703" s="474"/>
      <c r="B1703" s="399" t="s">
        <v>384</v>
      </c>
      <c r="C1703" s="399"/>
      <c r="D1703" s="408"/>
      <c r="E1703" s="475"/>
      <c r="F1703" s="476"/>
      <c r="G1703" s="1038">
        <f>'0422Master'!B1184</f>
        <v>0</v>
      </c>
      <c r="H1703" s="1038"/>
      <c r="I1703" s="1038"/>
      <c r="J1703" s="476"/>
      <c r="K1703" s="476"/>
      <c r="L1703" s="476"/>
      <c r="M1703" s="476"/>
      <c r="N1703" s="476"/>
      <c r="P1703" s="464"/>
    </row>
    <row r="1704" spans="1:16" ht="15.75" thickBot="1">
      <c r="A1704" s="410"/>
      <c r="B1704" s="411" t="s">
        <v>385</v>
      </c>
      <c r="C1704" s="411"/>
      <c r="D1704" s="412"/>
      <c r="E1704" s="475"/>
      <c r="F1704" s="476"/>
      <c r="G1704" s="476"/>
      <c r="H1704" s="476"/>
      <c r="I1704" s="476"/>
      <c r="J1704" s="476"/>
      <c r="K1704" s="476"/>
      <c r="L1704" s="476"/>
      <c r="M1704" s="476"/>
      <c r="N1704" s="476"/>
      <c r="O1704" s="471"/>
      <c r="P1704" s="464"/>
    </row>
    <row r="1705" spans="1:16">
      <c r="A1705" s="404" t="s">
        <v>485</v>
      </c>
      <c r="B1705" s="405"/>
      <c r="C1705" s="405"/>
      <c r="D1705" s="406"/>
      <c r="E1705" s="404" t="s">
        <v>452</v>
      </c>
      <c r="F1705" s="405"/>
      <c r="G1705" s="477">
        <f>'0422Master'!N1184</f>
        <v>0</v>
      </c>
      <c r="H1705" s="405"/>
      <c r="I1705" s="405"/>
      <c r="J1705" s="405"/>
      <c r="K1705" s="405"/>
      <c r="L1705" s="405"/>
      <c r="M1705" s="405"/>
      <c r="N1705" s="405"/>
      <c r="O1705" s="471"/>
      <c r="P1705" s="464"/>
    </row>
    <row r="1706" spans="1:16">
      <c r="A1706" s="474"/>
      <c r="B1706" s="399"/>
      <c r="C1706" s="399" t="s">
        <v>374</v>
      </c>
      <c r="D1706" s="408"/>
      <c r="E1706" s="407"/>
      <c r="F1706" s="399"/>
      <c r="G1706" s="399"/>
      <c r="H1706" s="399"/>
      <c r="I1706" s="399"/>
      <c r="J1706" s="399"/>
      <c r="K1706" s="399"/>
      <c r="L1706" s="399"/>
      <c r="M1706" s="399"/>
      <c r="N1706" s="399"/>
      <c r="O1706" s="471"/>
      <c r="P1706" s="464"/>
    </row>
    <row r="1707" spans="1:16">
      <c r="A1707" s="474"/>
      <c r="B1707" s="399"/>
      <c r="C1707" s="399"/>
      <c r="D1707" s="408"/>
      <c r="E1707" s="478"/>
      <c r="F1707" s="399"/>
      <c r="G1707" s="399"/>
      <c r="H1707" s="399"/>
      <c r="I1707" s="399"/>
      <c r="J1707" s="399"/>
      <c r="K1707" s="399"/>
      <c r="L1707" s="399"/>
      <c r="M1707" s="399"/>
      <c r="N1707" s="399"/>
      <c r="O1707" s="471"/>
      <c r="P1707" s="464"/>
    </row>
    <row r="1708" spans="1:16" ht="15.75" thickBot="1">
      <c r="A1708" s="479"/>
      <c r="B1708" s="402"/>
      <c r="C1708" s="402"/>
      <c r="D1708" s="480"/>
      <c r="E1708" s="410"/>
      <c r="F1708" s="411"/>
      <c r="G1708" s="411"/>
      <c r="H1708" s="411"/>
      <c r="I1708" s="411"/>
      <c r="J1708" s="411"/>
      <c r="K1708" s="411"/>
      <c r="L1708" s="411"/>
      <c r="M1708" s="411"/>
      <c r="N1708" s="411"/>
      <c r="O1708" s="481"/>
      <c r="P1708" s="468"/>
    </row>
    <row r="1709" spans="1:16">
      <c r="A1709" s="1039" t="s">
        <v>5</v>
      </c>
      <c r="B1709" s="1041" t="s">
        <v>453</v>
      </c>
      <c r="C1709" s="1042"/>
      <c r="D1709" s="1041" t="s">
        <v>454</v>
      </c>
      <c r="E1709" s="1044"/>
      <c r="F1709" s="989" t="s">
        <v>455</v>
      </c>
      <c r="G1709" s="1043" t="s">
        <v>456</v>
      </c>
      <c r="H1709" s="1047"/>
      <c r="I1709" s="1048" t="s">
        <v>457</v>
      </c>
      <c r="J1709" s="1047"/>
      <c r="K1709" s="1049"/>
      <c r="L1709" s="1048" t="s">
        <v>458</v>
      </c>
      <c r="M1709" s="1047"/>
      <c r="N1709" s="1047"/>
      <c r="O1709" s="1027" t="s">
        <v>459</v>
      </c>
      <c r="P1709" s="1027" t="s">
        <v>40</v>
      </c>
    </row>
    <row r="1710" spans="1:16" ht="15.75" thickBot="1">
      <c r="A1710" s="1040"/>
      <c r="B1710" s="1043"/>
      <c r="C1710" s="1044"/>
      <c r="D1710" s="1043"/>
      <c r="E1710" s="1044"/>
      <c r="F1710" s="985"/>
      <c r="G1710" s="1043"/>
      <c r="H1710" s="1047"/>
      <c r="I1710" s="1050"/>
      <c r="J1710" s="1051"/>
      <c r="K1710" s="1052"/>
      <c r="L1710" s="1050"/>
      <c r="M1710" s="1051"/>
      <c r="N1710" s="1051"/>
      <c r="O1710" s="1028"/>
      <c r="P1710" s="1028"/>
    </row>
    <row r="1711" spans="1:16">
      <c r="A1711" s="482">
        <v>1</v>
      </c>
      <c r="B1711" s="1045"/>
      <c r="C1711" s="1046"/>
      <c r="D1711" s="1045"/>
      <c r="E1711" s="1046"/>
      <c r="F1711" s="414">
        <v>6</v>
      </c>
      <c r="G1711" s="1045"/>
      <c r="H1711" s="1046"/>
      <c r="I1711" s="483">
        <v>9</v>
      </c>
      <c r="J1711" s="483"/>
      <c r="K1711" s="483"/>
      <c r="L1711" s="483">
        <v>9</v>
      </c>
      <c r="M1711" s="483"/>
      <c r="N1711" s="483"/>
      <c r="O1711" s="484" t="s">
        <v>460</v>
      </c>
      <c r="P1711" s="485"/>
    </row>
    <row r="1712" spans="1:16" ht="51">
      <c r="A1712" s="459"/>
      <c r="B1712" s="394" t="s">
        <v>461</v>
      </c>
      <c r="C1712" s="394" t="s">
        <v>462</v>
      </c>
      <c r="D1712" s="394" t="s">
        <v>463</v>
      </c>
      <c r="E1712" s="394" t="s">
        <v>134</v>
      </c>
      <c r="F1712" s="394"/>
      <c r="G1712" s="394" t="s">
        <v>464</v>
      </c>
      <c r="H1712" s="394" t="s">
        <v>465</v>
      </c>
      <c r="I1712" s="394" t="s">
        <v>466</v>
      </c>
      <c r="J1712" s="394" t="s">
        <v>467</v>
      </c>
      <c r="K1712" s="394" t="s">
        <v>468</v>
      </c>
      <c r="L1712" s="394" t="s">
        <v>469</v>
      </c>
      <c r="M1712" s="394" t="s">
        <v>470</v>
      </c>
      <c r="N1712" s="486" t="s">
        <v>471</v>
      </c>
      <c r="O1712" s="487"/>
      <c r="P1712" s="488"/>
    </row>
    <row r="1713" spans="1:16">
      <c r="A1713" s="459"/>
      <c r="B1713" s="489"/>
      <c r="C1713" s="394"/>
      <c r="D1713" s="394"/>
      <c r="E1713" s="394"/>
      <c r="F1713" s="394"/>
      <c r="G1713" s="394"/>
      <c r="H1713" s="394"/>
      <c r="I1713" s="394"/>
      <c r="J1713" s="394"/>
      <c r="K1713" s="394"/>
      <c r="L1713" s="394"/>
      <c r="M1713" s="394"/>
      <c r="N1713" s="394"/>
      <c r="O1713" s="460"/>
      <c r="P1713" s="461"/>
    </row>
    <row r="1714" spans="1:16">
      <c r="A1714" s="632"/>
      <c r="B1714" s="394"/>
      <c r="C1714" s="460"/>
      <c r="D1714" s="460"/>
      <c r="E1714" s="460"/>
      <c r="F1714" s="460"/>
      <c r="G1714" s="460"/>
      <c r="H1714" s="460"/>
      <c r="I1714" s="460"/>
      <c r="J1714" s="460"/>
      <c r="K1714" s="460"/>
      <c r="L1714" s="394"/>
      <c r="M1714" s="394"/>
      <c r="N1714" s="394"/>
      <c r="O1714" s="460"/>
      <c r="P1714" s="461"/>
    </row>
    <row r="1715" spans="1:16">
      <c r="A1715" s="490"/>
      <c r="B1715" s="394"/>
      <c r="C1715" s="394"/>
      <c r="D1715" s="394"/>
      <c r="E1715" s="394"/>
      <c r="F1715" s="394"/>
      <c r="G1715" s="394"/>
      <c r="H1715" s="394"/>
      <c r="I1715" s="394"/>
      <c r="J1715" s="394"/>
      <c r="K1715" s="394"/>
      <c r="L1715" s="394"/>
      <c r="M1715" s="394"/>
      <c r="N1715" s="394"/>
      <c r="O1715" s="460"/>
      <c r="P1715" s="461"/>
    </row>
    <row r="1716" spans="1:16">
      <c r="A1716" s="490"/>
      <c r="B1716" s="394"/>
      <c r="C1716" s="394"/>
      <c r="D1716" s="726"/>
      <c r="E1716" s="726"/>
      <c r="F1716" s="394"/>
      <c r="G1716" s="394"/>
      <c r="H1716" s="394"/>
      <c r="I1716" s="394"/>
      <c r="J1716" s="394"/>
      <c r="K1716" s="394"/>
      <c r="L1716" s="394"/>
      <c r="M1716" s="394"/>
      <c r="N1716" s="394"/>
      <c r="O1716" s="460"/>
      <c r="P1716" s="461"/>
    </row>
    <row r="1717" spans="1:16">
      <c r="A1717" s="490"/>
      <c r="B1717" s="394"/>
      <c r="C1717" s="394"/>
      <c r="D1717" s="726"/>
      <c r="E1717" s="726"/>
      <c r="F1717" s="394"/>
      <c r="G1717" s="394"/>
      <c r="H1717" s="394"/>
      <c r="I1717" s="394"/>
      <c r="J1717" s="394"/>
      <c r="K1717" s="394"/>
      <c r="L1717" s="394"/>
      <c r="M1717" s="394"/>
      <c r="N1717" s="394"/>
      <c r="O1717" s="460"/>
      <c r="P1717" s="461"/>
    </row>
    <row r="1718" spans="1:16">
      <c r="A1718" s="492"/>
      <c r="B1718" s="394"/>
      <c r="C1718" s="394"/>
      <c r="D1718" s="394"/>
      <c r="E1718" s="394"/>
      <c r="F1718" s="394"/>
      <c r="G1718" s="394"/>
      <c r="H1718" s="394"/>
      <c r="I1718" s="394"/>
      <c r="J1718" s="394"/>
      <c r="K1718" s="394"/>
      <c r="L1718" s="394"/>
      <c r="M1718" s="394"/>
      <c r="N1718" s="394"/>
      <c r="O1718" s="460"/>
      <c r="P1718" s="461"/>
    </row>
    <row r="1719" spans="1:16">
      <c r="A1719" s="492"/>
      <c r="B1719" s="394"/>
      <c r="C1719" s="394"/>
      <c r="D1719" s="394"/>
      <c r="E1719" s="394"/>
      <c r="F1719" s="394"/>
      <c r="G1719" s="394"/>
      <c r="H1719" s="394"/>
      <c r="I1719" s="394"/>
      <c r="J1719" s="394"/>
      <c r="K1719" s="394"/>
      <c r="L1719" s="394"/>
      <c r="M1719" s="394"/>
      <c r="N1719" s="394"/>
      <c r="O1719" s="460"/>
      <c r="P1719" s="461"/>
    </row>
    <row r="1720" spans="1:16">
      <c r="A1720" s="492"/>
      <c r="B1720" s="394"/>
      <c r="C1720" s="394"/>
      <c r="D1720" s="394"/>
      <c r="E1720" s="394"/>
      <c r="F1720" s="394"/>
      <c r="G1720" s="394"/>
      <c r="H1720" s="394"/>
      <c r="I1720" s="394"/>
      <c r="J1720" s="394"/>
      <c r="K1720" s="394"/>
      <c r="L1720" s="394"/>
      <c r="M1720" s="394"/>
      <c r="N1720" s="394"/>
      <c r="O1720" s="460"/>
      <c r="P1720" s="461"/>
    </row>
    <row r="1721" spans="1:16">
      <c r="A1721" s="492"/>
      <c r="B1721" s="394"/>
      <c r="C1721" s="394"/>
      <c r="D1721" s="394"/>
      <c r="E1721" s="394"/>
      <c r="F1721" s="394"/>
      <c r="G1721" s="394"/>
      <c r="H1721" s="394"/>
      <c r="I1721" s="394"/>
      <c r="J1721" s="394"/>
      <c r="K1721" s="394"/>
      <c r="L1721" s="394"/>
      <c r="M1721" s="394"/>
      <c r="N1721" s="394"/>
      <c r="O1721" s="460"/>
      <c r="P1721" s="461"/>
    </row>
    <row r="1722" spans="1:16">
      <c r="A1722" s="492"/>
      <c r="B1722" s="394"/>
      <c r="C1722" s="394"/>
      <c r="D1722" s="394"/>
      <c r="E1722" s="394"/>
      <c r="F1722" s="394"/>
      <c r="G1722" s="394"/>
      <c r="H1722" s="394"/>
      <c r="I1722" s="394"/>
      <c r="J1722" s="394"/>
      <c r="K1722" s="394"/>
      <c r="L1722" s="394"/>
      <c r="M1722" s="394"/>
      <c r="N1722" s="394"/>
      <c r="O1722" s="460"/>
      <c r="P1722" s="461"/>
    </row>
    <row r="1723" spans="1:16">
      <c r="A1723" s="492"/>
      <c r="B1723" s="394"/>
      <c r="C1723" s="394"/>
      <c r="D1723" s="491"/>
      <c r="E1723" s="491"/>
      <c r="F1723" s="394"/>
      <c r="G1723" s="394"/>
      <c r="H1723" s="394"/>
      <c r="I1723" s="394"/>
      <c r="J1723" s="394"/>
      <c r="K1723" s="394"/>
      <c r="L1723" s="394"/>
      <c r="M1723" s="394"/>
      <c r="N1723" s="394"/>
      <c r="O1723" s="460"/>
      <c r="P1723" s="461"/>
    </row>
    <row r="1724" spans="1:16">
      <c r="A1724" s="492"/>
      <c r="B1724" s="394"/>
      <c r="C1724" s="394"/>
      <c r="D1724" s="491"/>
      <c r="E1724" s="491"/>
      <c r="F1724" s="394"/>
      <c r="G1724" s="394"/>
      <c r="H1724" s="394"/>
      <c r="I1724" s="394"/>
      <c r="J1724" s="394"/>
      <c r="K1724" s="394"/>
      <c r="L1724" s="394"/>
      <c r="M1724" s="394"/>
      <c r="N1724" s="394"/>
      <c r="O1724" s="460"/>
      <c r="P1724" s="461"/>
    </row>
    <row r="1725" spans="1:16">
      <c r="A1725" s="492"/>
      <c r="B1725" s="394"/>
      <c r="C1725" s="394"/>
      <c r="D1725" s="491"/>
      <c r="E1725" s="491"/>
      <c r="F1725" s="394"/>
      <c r="G1725" s="394"/>
      <c r="H1725" s="394"/>
      <c r="I1725" s="394"/>
      <c r="J1725" s="394"/>
      <c r="K1725" s="394"/>
      <c r="L1725" s="394"/>
      <c r="M1725" s="394"/>
      <c r="N1725" s="394"/>
      <c r="O1725" s="460"/>
      <c r="P1725" s="461"/>
    </row>
    <row r="1726" spans="1:16">
      <c r="A1726" s="492"/>
      <c r="B1726" s="394"/>
      <c r="C1726" s="394"/>
      <c r="D1726" s="491"/>
      <c r="E1726" s="491"/>
      <c r="F1726" s="394"/>
      <c r="G1726" s="394"/>
      <c r="H1726" s="394"/>
      <c r="I1726" s="394"/>
      <c r="J1726" s="394"/>
      <c r="K1726" s="394"/>
      <c r="L1726" s="394"/>
      <c r="M1726" s="394"/>
      <c r="N1726" s="394"/>
      <c r="O1726" s="460"/>
      <c r="P1726" s="461"/>
    </row>
    <row r="1727" spans="1:16">
      <c r="A1727" s="492"/>
      <c r="B1727" s="394"/>
      <c r="C1727" s="394"/>
      <c r="D1727" s="491"/>
      <c r="E1727" s="491"/>
      <c r="F1727" s="394"/>
      <c r="G1727" s="394"/>
      <c r="H1727" s="394"/>
      <c r="I1727" s="394"/>
      <c r="J1727" s="394"/>
      <c r="K1727" s="394"/>
      <c r="L1727" s="394"/>
      <c r="M1727" s="394"/>
      <c r="N1727" s="394"/>
      <c r="O1727" s="460"/>
      <c r="P1727" s="461"/>
    </row>
    <row r="1728" spans="1:16">
      <c r="A1728" s="492"/>
      <c r="B1728" s="394"/>
      <c r="C1728" s="394"/>
      <c r="D1728" s="491"/>
      <c r="E1728" s="491"/>
      <c r="F1728" s="394"/>
      <c r="G1728" s="394"/>
      <c r="H1728" s="394"/>
      <c r="I1728" s="394"/>
      <c r="J1728" s="394"/>
      <c r="K1728" s="394"/>
      <c r="L1728" s="394"/>
      <c r="M1728" s="394"/>
      <c r="N1728" s="394"/>
      <c r="O1728" s="460"/>
      <c r="P1728" s="461"/>
    </row>
    <row r="1729" spans="1:16">
      <c r="A1729" s="459"/>
      <c r="B1729" s="394"/>
      <c r="C1729" s="394"/>
      <c r="D1729" s="394"/>
      <c r="E1729" s="394"/>
      <c r="F1729" s="394"/>
      <c r="G1729" s="394"/>
      <c r="H1729" s="394"/>
      <c r="I1729" s="394"/>
      <c r="J1729" s="394"/>
      <c r="K1729" s="394"/>
      <c r="L1729" s="394"/>
      <c r="M1729" s="394"/>
      <c r="N1729" s="394"/>
      <c r="O1729" s="460"/>
      <c r="P1729" s="461"/>
    </row>
    <row r="1730" spans="1:16">
      <c r="A1730" s="459"/>
      <c r="B1730" s="394"/>
      <c r="C1730" s="394"/>
      <c r="D1730" s="394"/>
      <c r="E1730" s="394"/>
      <c r="F1730" s="394"/>
      <c r="G1730" s="394"/>
      <c r="H1730" s="394"/>
      <c r="I1730" s="394"/>
      <c r="J1730" s="394"/>
      <c r="K1730" s="394"/>
      <c r="L1730" s="394"/>
      <c r="M1730" s="394"/>
      <c r="N1730" s="394"/>
      <c r="O1730" s="460"/>
      <c r="P1730" s="461"/>
    </row>
    <row r="1731" spans="1:16">
      <c r="A1731" s="459"/>
      <c r="B1731" s="394"/>
      <c r="C1731" s="394"/>
      <c r="D1731" s="394"/>
      <c r="E1731" s="394"/>
      <c r="F1731" s="394"/>
      <c r="G1731" s="394"/>
      <c r="H1731" s="394"/>
      <c r="I1731" s="394"/>
      <c r="J1731" s="394"/>
      <c r="K1731" s="394"/>
      <c r="L1731" s="394"/>
      <c r="M1731" s="394"/>
      <c r="N1731" s="394"/>
      <c r="O1731" s="460"/>
      <c r="P1731" s="461"/>
    </row>
    <row r="1732" spans="1:16">
      <c r="A1732" s="459"/>
      <c r="B1732" s="394"/>
      <c r="C1732" s="394"/>
      <c r="D1732" s="394"/>
      <c r="E1732" s="394"/>
      <c r="F1732" s="394"/>
      <c r="G1732" s="394"/>
      <c r="H1732" s="394"/>
      <c r="I1732" s="394"/>
      <c r="J1732" s="394"/>
      <c r="K1732" s="394"/>
      <c r="L1732" s="394"/>
      <c r="M1732" s="394"/>
      <c r="N1732" s="394"/>
      <c r="O1732" s="460"/>
      <c r="P1732" s="461"/>
    </row>
    <row r="1733" spans="1:16">
      <c r="A1733" s="459"/>
      <c r="B1733" s="394"/>
      <c r="C1733" s="394"/>
      <c r="D1733" s="394"/>
      <c r="E1733" s="394"/>
      <c r="F1733" s="394"/>
      <c r="G1733" s="394"/>
      <c r="H1733" s="394"/>
      <c r="I1733" s="394"/>
      <c r="J1733" s="394"/>
      <c r="K1733" s="394"/>
      <c r="L1733" s="394"/>
      <c r="M1733" s="394"/>
      <c r="N1733" s="394"/>
      <c r="O1733" s="460"/>
      <c r="P1733" s="461"/>
    </row>
    <row r="1734" spans="1:16">
      <c r="A1734" s="474"/>
      <c r="B1734" s="399"/>
      <c r="C1734" s="399"/>
      <c r="D1734" s="399"/>
      <c r="E1734" s="399"/>
      <c r="F1734" s="399"/>
      <c r="G1734" s="399"/>
      <c r="H1734" s="399"/>
      <c r="I1734" s="399"/>
      <c r="J1734" s="399"/>
      <c r="K1734" s="399"/>
      <c r="L1734" s="399"/>
      <c r="M1734" s="399"/>
      <c r="N1734" s="399"/>
      <c r="O1734" s="494"/>
      <c r="P1734" s="495"/>
    </row>
    <row r="1735" spans="1:16">
      <c r="A1735" s="474"/>
      <c r="B1735" s="399"/>
      <c r="C1735" s="399"/>
      <c r="D1735" s="399"/>
      <c r="E1735" s="399"/>
      <c r="F1735" s="399"/>
      <c r="G1735" s="399"/>
      <c r="H1735" s="399"/>
      <c r="I1735" s="399"/>
      <c r="J1735" s="399"/>
      <c r="K1735" s="399"/>
      <c r="L1735" s="399"/>
      <c r="M1735" s="399"/>
      <c r="N1735" s="399"/>
      <c r="O1735" s="494"/>
      <c r="P1735" s="495"/>
    </row>
    <row r="1736" spans="1:16">
      <c r="A1736" s="474"/>
      <c r="B1736" s="399"/>
      <c r="C1736" s="399"/>
      <c r="D1736" s="399"/>
      <c r="E1736" s="399"/>
      <c r="F1736" s="399"/>
      <c r="G1736" s="399"/>
      <c r="H1736" s="399"/>
      <c r="I1736" s="399"/>
      <c r="J1736" s="399"/>
      <c r="K1736" s="399"/>
      <c r="L1736" s="399"/>
      <c r="M1736" s="399"/>
      <c r="N1736" s="399"/>
      <c r="O1736" s="494"/>
      <c r="P1736" s="495"/>
    </row>
    <row r="1737" spans="1:16">
      <c r="A1737" s="463"/>
      <c r="B1737" s="462"/>
      <c r="C1737" s="462"/>
      <c r="D1737" s="462"/>
      <c r="E1737" s="462"/>
      <c r="F1737" s="462"/>
      <c r="G1737" s="462"/>
      <c r="H1737" s="462"/>
      <c r="I1737" s="462"/>
      <c r="J1737" s="462"/>
      <c r="K1737" s="462"/>
      <c r="L1737" s="462"/>
      <c r="M1737" s="462"/>
      <c r="N1737" s="462"/>
      <c r="O1737" s="371"/>
      <c r="P1737" s="464"/>
    </row>
    <row r="1738" spans="1:16">
      <c r="A1738" s="463"/>
      <c r="B1738" s="462"/>
      <c r="C1738" s="462"/>
      <c r="D1738" s="462"/>
      <c r="E1738" s="462"/>
      <c r="F1738" s="462"/>
      <c r="G1738" s="462"/>
      <c r="H1738" s="462"/>
      <c r="I1738" s="462"/>
      <c r="J1738" s="462"/>
      <c r="K1738" s="462"/>
      <c r="L1738" s="462"/>
      <c r="M1738" s="462"/>
      <c r="N1738" s="462"/>
      <c r="O1738" s="371"/>
      <c r="P1738" s="464"/>
    </row>
    <row r="1739" spans="1:16">
      <c r="A1739" s="463"/>
      <c r="B1739" s="462"/>
      <c r="C1739" s="462"/>
      <c r="D1739" s="462"/>
      <c r="E1739" s="462"/>
      <c r="F1739" s="462"/>
      <c r="G1739" s="462"/>
      <c r="H1739" s="462"/>
      <c r="I1739" s="462"/>
      <c r="J1739" s="462"/>
      <c r="K1739" s="462"/>
      <c r="L1739" s="462"/>
      <c r="M1739" s="462"/>
      <c r="N1739" s="462"/>
      <c r="O1739" s="371"/>
      <c r="P1739" s="464"/>
    </row>
    <row r="1740" spans="1:16" ht="15.75" thickBot="1">
      <c r="A1740" s="465"/>
      <c r="B1740" s="466"/>
      <c r="C1740" s="466"/>
      <c r="D1740" s="466"/>
      <c r="E1740" s="466"/>
      <c r="F1740" s="466"/>
      <c r="G1740" s="1029" t="s">
        <v>38</v>
      </c>
      <c r="H1740" s="1029"/>
      <c r="I1740" s="1029"/>
      <c r="J1740" s="1029"/>
      <c r="K1740" s="1029"/>
      <c r="L1740" s="1029"/>
      <c r="M1740" s="1029"/>
      <c r="N1740" s="1029"/>
      <c r="O1740" s="467"/>
      <c r="P1740" s="468"/>
    </row>
  </sheetData>
  <protectedRanges>
    <protectedRange password="CA4D" sqref="O158:P160 O11:P13 O828:P830 O90:P92 O1709:P1711 O714:P716 O756:P758 O226:P228 O294:P296 O362:P364 O430:P432 O500:P502 O570:P572 O642:P644 O904:P906 O976:P978 O1637:P1639 O1048:P1050 O1421:P1423 O1493:P1495 O1565:P1567 O1120:P1122 O1196:P1198 O1268:P1270 O1340:P1342" name="Range1"/>
    <protectedRange password="CA4D" sqref="A148:N149 A158:N160 A1:N2 A11:N13 A818:N819 A828:N830 A80:N81 A90:N92 A1699:N1700 A1709:N1711 A704:N705 A714:N716 A746:N747 A756:N758 A216:N217 A226:N228 A284:N285 A294:N296 A352:N353 A362:N364 A420:N421 A430:N432 A490:N491 A500:N502 A560:N561 A570:N572 A632:N633 A642:N644 A894:N895 A904:N906 A966:N967 A976:N978 A1627:N1628 A1637:N1639 A1038:N1039 A1048:N1050 A1411:N1412 A1421:N1423 A1483:N1484 A1493:N1495 A1555:N1556 A1565:N1567 A1110:N1111 A1120:N1122 A1186:N1187 A1196:N1198 A1258:N1259 A1268:N1270 A1330:N1331 A1340:N1342" name="Range1_3"/>
    <protectedRange password="CA4D" sqref="A150:N150 A3:N3 A820:N820 A82:N82 A1701:N1701 A706:N706 A748:N748 A218:N218 A286:N286 A354:N354 A422:N422 A492:N492 A562:N562 A634:N634 A896:N896 A968:N968 A1629:N1629 A1040:N1040 A1413:N1413 A1485:N1485 A1557:N1557 A1112:N1112 A1188:N1188 A1260:N1260 A1332:N1332" name="Range1_6_1"/>
    <protectedRange password="CA4D" sqref="N154:N157 A151:D157 N7:N10 A4:D10 N824:N827 A821:D827 N86:N89 A83:D89 N1705:N1708 N710:N713 A707:D713 A1702:D1708 N752:N755 A749:D755 N222:N225 A219:D225 N290:N293 A287:D293 N358:N361 N426:N429 A423:D429 N496:N499 A493:D499 A355:D361 N566:N569 A563:D569 N638:N641 A635:D641 N900:N903 A897:D903 N972:N975 A969:D975 N1633:N1636 A1630:D1636 N1044:N1047 A1041:D1047 N1417:N1420 A1414:D1420 N1489:N1492 A1486:D1492 N1561:N1564 A1558:D1564 N1116:N1119 A1113:D1119 N1192:N1195 A1189:D1195 N1264:N1267 A1261:D1267 N1336:N1339 A1333:D1339" name="Range1_1_1"/>
    <protectedRange password="CA4D" sqref="E151:N153 E4:N6 E821:N823 E83:N85 E1702:N1704 E707:N709 E749:N751 E287:N289 E355:N357 E423:N425 E493:N495 E219:F221 J219:N221 G219:I219 G221:I222 E563:N565 E635:N637 E897:N899 E969:N971 E1630:N1632 E1041:N1043 E1414:N1416 E1486:N1488 E1558:N1560 E1113:N1115 E1189:N1191 E1261:N1263 E1333:N1335" name="Range1_2_2"/>
    <protectedRange password="CA4D" sqref="E154:M157 E7:M10 E752:M755 E86:M89 E1705:M1708 E824:M827 E710:M713 E496:M499 E290:M293 E358:M361 E426:M429 E222:F225 J222:M225 G223:I225 E638:M641 E566:M569 E900:M903 E972:M975 E1633:M1636 E1044:M1047 E1417:M1420 E1489:M1492 E1561:M1564 E1116:M1119 E1192:M1195 E1264:M1267 E1336:M1339" name="Range1_2_1_1"/>
  </protectedRanges>
  <mergeCells count="351">
    <mergeCell ref="O1709:O1710"/>
    <mergeCell ref="P1709:P1710"/>
    <mergeCell ref="G1740:N1740"/>
    <mergeCell ref="G1668:N1668"/>
    <mergeCell ref="A1699:N1700"/>
    <mergeCell ref="A1701:N1701"/>
    <mergeCell ref="E1702:G1702"/>
    <mergeCell ref="G1703:I1703"/>
    <mergeCell ref="A1709:A1710"/>
    <mergeCell ref="B1709:C1711"/>
    <mergeCell ref="D1709:E1711"/>
    <mergeCell ref="F1709:F1710"/>
    <mergeCell ref="G1709:H1711"/>
    <mergeCell ref="I1709:K1710"/>
    <mergeCell ref="L1709:N1710"/>
    <mergeCell ref="O1565:O1566"/>
    <mergeCell ref="P1565:P1566"/>
    <mergeCell ref="G1596:N1596"/>
    <mergeCell ref="A1627:N1628"/>
    <mergeCell ref="A1629:N1629"/>
    <mergeCell ref="E1630:G1630"/>
    <mergeCell ref="G1631:I1631"/>
    <mergeCell ref="A1637:A1638"/>
    <mergeCell ref="B1637:C1639"/>
    <mergeCell ref="D1637:E1639"/>
    <mergeCell ref="F1637:F1638"/>
    <mergeCell ref="G1637:H1639"/>
    <mergeCell ref="I1637:K1638"/>
    <mergeCell ref="L1637:N1638"/>
    <mergeCell ref="O1637:O1638"/>
    <mergeCell ref="P1637:P1638"/>
    <mergeCell ref="G1524:N1524"/>
    <mergeCell ref="A1555:N1556"/>
    <mergeCell ref="A1557:N1557"/>
    <mergeCell ref="E1558:G1558"/>
    <mergeCell ref="G1559:I1559"/>
    <mergeCell ref="A1565:A1566"/>
    <mergeCell ref="B1565:C1567"/>
    <mergeCell ref="D1565:E1567"/>
    <mergeCell ref="F1565:F1566"/>
    <mergeCell ref="G1565:H1567"/>
    <mergeCell ref="I1565:K1566"/>
    <mergeCell ref="L1565:N1566"/>
    <mergeCell ref="O1421:O1422"/>
    <mergeCell ref="P1421:P1422"/>
    <mergeCell ref="G1452:N1452"/>
    <mergeCell ref="A1483:N1484"/>
    <mergeCell ref="A1485:N1485"/>
    <mergeCell ref="E1486:G1486"/>
    <mergeCell ref="G1487:I1487"/>
    <mergeCell ref="A1493:A1494"/>
    <mergeCell ref="B1493:C1495"/>
    <mergeCell ref="D1493:E1495"/>
    <mergeCell ref="F1493:F1494"/>
    <mergeCell ref="G1493:H1495"/>
    <mergeCell ref="I1493:K1494"/>
    <mergeCell ref="L1493:N1494"/>
    <mergeCell ref="O1493:O1494"/>
    <mergeCell ref="P1493:P1494"/>
    <mergeCell ref="G1371:N1371"/>
    <mergeCell ref="A1411:N1412"/>
    <mergeCell ref="A1413:N1413"/>
    <mergeCell ref="E1414:G1414"/>
    <mergeCell ref="G1415:I1415"/>
    <mergeCell ref="A1421:A1422"/>
    <mergeCell ref="B1421:C1423"/>
    <mergeCell ref="D1421:E1423"/>
    <mergeCell ref="F1421:F1422"/>
    <mergeCell ref="G1421:H1423"/>
    <mergeCell ref="I1421:K1422"/>
    <mergeCell ref="L1421:N1422"/>
    <mergeCell ref="O1268:O1269"/>
    <mergeCell ref="P1268:P1269"/>
    <mergeCell ref="G1299:N1299"/>
    <mergeCell ref="A1330:N1331"/>
    <mergeCell ref="A1332:N1332"/>
    <mergeCell ref="E1333:G1333"/>
    <mergeCell ref="G1334:I1334"/>
    <mergeCell ref="A1340:A1341"/>
    <mergeCell ref="B1340:C1342"/>
    <mergeCell ref="D1340:E1342"/>
    <mergeCell ref="F1340:F1341"/>
    <mergeCell ref="G1340:H1342"/>
    <mergeCell ref="I1340:K1341"/>
    <mergeCell ref="L1340:N1341"/>
    <mergeCell ref="O1340:O1341"/>
    <mergeCell ref="P1340:P1341"/>
    <mergeCell ref="G1227:N1227"/>
    <mergeCell ref="A1258:N1259"/>
    <mergeCell ref="A1260:N1260"/>
    <mergeCell ref="E1261:G1261"/>
    <mergeCell ref="G1262:I1262"/>
    <mergeCell ref="A1268:A1269"/>
    <mergeCell ref="B1268:C1270"/>
    <mergeCell ref="D1268:E1270"/>
    <mergeCell ref="F1268:F1269"/>
    <mergeCell ref="G1268:H1270"/>
    <mergeCell ref="I1268:K1269"/>
    <mergeCell ref="L1268:N1269"/>
    <mergeCell ref="O1120:O1121"/>
    <mergeCell ref="P1120:P1121"/>
    <mergeCell ref="G1151:N1151"/>
    <mergeCell ref="A1186:N1187"/>
    <mergeCell ref="A1188:N1188"/>
    <mergeCell ref="E1189:G1189"/>
    <mergeCell ref="G1190:I1190"/>
    <mergeCell ref="A1196:A1197"/>
    <mergeCell ref="B1196:C1198"/>
    <mergeCell ref="D1196:E1198"/>
    <mergeCell ref="F1196:F1197"/>
    <mergeCell ref="G1196:H1198"/>
    <mergeCell ref="I1196:K1197"/>
    <mergeCell ref="L1196:N1197"/>
    <mergeCell ref="O1196:O1197"/>
    <mergeCell ref="P1196:P1197"/>
    <mergeCell ref="A1110:N1111"/>
    <mergeCell ref="A1112:N1112"/>
    <mergeCell ref="E1113:G1113"/>
    <mergeCell ref="G1114:I1114"/>
    <mergeCell ref="A1120:A1121"/>
    <mergeCell ref="B1120:C1122"/>
    <mergeCell ref="D1120:E1122"/>
    <mergeCell ref="F1120:F1121"/>
    <mergeCell ref="G1120:H1122"/>
    <mergeCell ref="I1120:K1121"/>
    <mergeCell ref="L1120:N1121"/>
    <mergeCell ref="O1048:O1049"/>
    <mergeCell ref="P1048:P1049"/>
    <mergeCell ref="G1079:N1079"/>
    <mergeCell ref="O976:O977"/>
    <mergeCell ref="P976:P977"/>
    <mergeCell ref="G1007:N1007"/>
    <mergeCell ref="A976:A977"/>
    <mergeCell ref="B976:C978"/>
    <mergeCell ref="D976:E978"/>
    <mergeCell ref="F976:F977"/>
    <mergeCell ref="G976:H978"/>
    <mergeCell ref="I976:K977"/>
    <mergeCell ref="L976:N977"/>
    <mergeCell ref="D904:E906"/>
    <mergeCell ref="F904:F905"/>
    <mergeCell ref="G904:H906"/>
    <mergeCell ref="I904:K905"/>
    <mergeCell ref="L904:N905"/>
    <mergeCell ref="E1041:G1041"/>
    <mergeCell ref="G1042:I1042"/>
    <mergeCell ref="A1048:A1049"/>
    <mergeCell ref="B1048:C1050"/>
    <mergeCell ref="D1048:E1050"/>
    <mergeCell ref="F1048:F1049"/>
    <mergeCell ref="G1048:H1050"/>
    <mergeCell ref="I1048:K1049"/>
    <mergeCell ref="L1048:N1049"/>
    <mergeCell ref="A966:N967"/>
    <mergeCell ref="A968:N968"/>
    <mergeCell ref="E969:G969"/>
    <mergeCell ref="G970:I970"/>
    <mergeCell ref="A1038:N1039"/>
    <mergeCell ref="A1040:N1040"/>
    <mergeCell ref="O904:O905"/>
    <mergeCell ref="P904:P905"/>
    <mergeCell ref="G935:N935"/>
    <mergeCell ref="O828:O829"/>
    <mergeCell ref="P828:P829"/>
    <mergeCell ref="G859:N859"/>
    <mergeCell ref="G787:N787"/>
    <mergeCell ref="A818:N819"/>
    <mergeCell ref="A820:N820"/>
    <mergeCell ref="E821:G821"/>
    <mergeCell ref="G822:I822"/>
    <mergeCell ref="A828:A829"/>
    <mergeCell ref="B828:C830"/>
    <mergeCell ref="D828:E830"/>
    <mergeCell ref="F828:F829"/>
    <mergeCell ref="G828:H830"/>
    <mergeCell ref="I828:K829"/>
    <mergeCell ref="L828:N829"/>
    <mergeCell ref="A894:N895"/>
    <mergeCell ref="A896:N896"/>
    <mergeCell ref="E897:G897"/>
    <mergeCell ref="G898:I898"/>
    <mergeCell ref="A904:A905"/>
    <mergeCell ref="B904:C906"/>
    <mergeCell ref="O714:O715"/>
    <mergeCell ref="P714:P715"/>
    <mergeCell ref="G745:N745"/>
    <mergeCell ref="A746:N747"/>
    <mergeCell ref="A748:N748"/>
    <mergeCell ref="E749:G749"/>
    <mergeCell ref="G750:I750"/>
    <mergeCell ref="A756:A757"/>
    <mergeCell ref="B756:C758"/>
    <mergeCell ref="D756:E758"/>
    <mergeCell ref="F756:F757"/>
    <mergeCell ref="G756:H758"/>
    <mergeCell ref="I756:K757"/>
    <mergeCell ref="L756:N757"/>
    <mergeCell ref="O756:O757"/>
    <mergeCell ref="P756:P757"/>
    <mergeCell ref="G673:N673"/>
    <mergeCell ref="A704:N705"/>
    <mergeCell ref="A706:N706"/>
    <mergeCell ref="E707:G707"/>
    <mergeCell ref="G708:I708"/>
    <mergeCell ref="A714:A715"/>
    <mergeCell ref="B714:C716"/>
    <mergeCell ref="D714:E716"/>
    <mergeCell ref="F714:F715"/>
    <mergeCell ref="G714:H716"/>
    <mergeCell ref="I714:K715"/>
    <mergeCell ref="L714:N715"/>
    <mergeCell ref="O570:O571"/>
    <mergeCell ref="P570:P571"/>
    <mergeCell ref="G601:N601"/>
    <mergeCell ref="A632:N633"/>
    <mergeCell ref="A634:N634"/>
    <mergeCell ref="E635:G635"/>
    <mergeCell ref="G636:I636"/>
    <mergeCell ref="A642:A643"/>
    <mergeCell ref="B642:C644"/>
    <mergeCell ref="D642:E644"/>
    <mergeCell ref="F642:F643"/>
    <mergeCell ref="G642:H644"/>
    <mergeCell ref="I642:K643"/>
    <mergeCell ref="L642:N643"/>
    <mergeCell ref="O642:O643"/>
    <mergeCell ref="P642:P643"/>
    <mergeCell ref="A560:N561"/>
    <mergeCell ref="A562:N562"/>
    <mergeCell ref="E563:G563"/>
    <mergeCell ref="G564:I564"/>
    <mergeCell ref="A570:A571"/>
    <mergeCell ref="B570:C572"/>
    <mergeCell ref="D570:E572"/>
    <mergeCell ref="F570:F571"/>
    <mergeCell ref="G570:H572"/>
    <mergeCell ref="I570:K571"/>
    <mergeCell ref="L570:N571"/>
    <mergeCell ref="O500:O501"/>
    <mergeCell ref="P500:P501"/>
    <mergeCell ref="G531:N531"/>
    <mergeCell ref="A492:N492"/>
    <mergeCell ref="E493:G493"/>
    <mergeCell ref="G494:I494"/>
    <mergeCell ref="A500:A501"/>
    <mergeCell ref="B500:C502"/>
    <mergeCell ref="D500:E502"/>
    <mergeCell ref="F500:F501"/>
    <mergeCell ref="G500:H502"/>
    <mergeCell ref="I500:K501"/>
    <mergeCell ref="L500:N501"/>
    <mergeCell ref="L430:N431"/>
    <mergeCell ref="O430:O431"/>
    <mergeCell ref="P430:P431"/>
    <mergeCell ref="G461:N461"/>
    <mergeCell ref="A490:N491"/>
    <mergeCell ref="E423:G423"/>
    <mergeCell ref="G424:I424"/>
    <mergeCell ref="A430:A431"/>
    <mergeCell ref="B430:C432"/>
    <mergeCell ref="D430:E432"/>
    <mergeCell ref="F430:F431"/>
    <mergeCell ref="G430:H432"/>
    <mergeCell ref="I430:K431"/>
    <mergeCell ref="O362:O363"/>
    <mergeCell ref="P362:P363"/>
    <mergeCell ref="G393:N393"/>
    <mergeCell ref="A420:N421"/>
    <mergeCell ref="A422:N422"/>
    <mergeCell ref="A354:N354"/>
    <mergeCell ref="E355:G355"/>
    <mergeCell ref="G356:I356"/>
    <mergeCell ref="A362:A363"/>
    <mergeCell ref="B362:C364"/>
    <mergeCell ref="D362:E364"/>
    <mergeCell ref="F362:F363"/>
    <mergeCell ref="G362:H364"/>
    <mergeCell ref="I362:K363"/>
    <mergeCell ref="L362:N363"/>
    <mergeCell ref="L294:N295"/>
    <mergeCell ref="O294:O295"/>
    <mergeCell ref="P294:P295"/>
    <mergeCell ref="G325:N325"/>
    <mergeCell ref="A352:N353"/>
    <mergeCell ref="E287:G287"/>
    <mergeCell ref="G288:I288"/>
    <mergeCell ref="A294:A295"/>
    <mergeCell ref="B294:C296"/>
    <mergeCell ref="D294:E296"/>
    <mergeCell ref="F294:F295"/>
    <mergeCell ref="G294:H296"/>
    <mergeCell ref="I294:K295"/>
    <mergeCell ref="O226:O227"/>
    <mergeCell ref="P226:P227"/>
    <mergeCell ref="G257:N257"/>
    <mergeCell ref="A284:N285"/>
    <mergeCell ref="A286:N286"/>
    <mergeCell ref="A216:N217"/>
    <mergeCell ref="A218:N218"/>
    <mergeCell ref="E219:G219"/>
    <mergeCell ref="G222:I222"/>
    <mergeCell ref="A226:A227"/>
    <mergeCell ref="B226:C228"/>
    <mergeCell ref="D226:E228"/>
    <mergeCell ref="F226:F227"/>
    <mergeCell ref="G226:H228"/>
    <mergeCell ref="I226:K227"/>
    <mergeCell ref="L226:N227"/>
    <mergeCell ref="H219:J219"/>
    <mergeCell ref="O11:O12"/>
    <mergeCell ref="P11:P12"/>
    <mergeCell ref="G42:N42"/>
    <mergeCell ref="A1:N2"/>
    <mergeCell ref="A3:N3"/>
    <mergeCell ref="E4:G4"/>
    <mergeCell ref="G5:I5"/>
    <mergeCell ref="A11:A12"/>
    <mergeCell ref="B11:C13"/>
    <mergeCell ref="D11:E13"/>
    <mergeCell ref="F11:F12"/>
    <mergeCell ref="G11:H13"/>
    <mergeCell ref="I11:K12"/>
    <mergeCell ref="L11:N12"/>
    <mergeCell ref="O90:O91"/>
    <mergeCell ref="P90:P91"/>
    <mergeCell ref="G121:N121"/>
    <mergeCell ref="A80:N81"/>
    <mergeCell ref="A82:N82"/>
    <mergeCell ref="E83:G83"/>
    <mergeCell ref="G84:I84"/>
    <mergeCell ref="A90:A91"/>
    <mergeCell ref="B90:C92"/>
    <mergeCell ref="D90:E92"/>
    <mergeCell ref="F90:F91"/>
    <mergeCell ref="G90:H92"/>
    <mergeCell ref="I90:K91"/>
    <mergeCell ref="L90:N91"/>
    <mergeCell ref="O158:O159"/>
    <mergeCell ref="P158:P159"/>
    <mergeCell ref="G189:N189"/>
    <mergeCell ref="A148:N149"/>
    <mergeCell ref="A150:N150"/>
    <mergeCell ref="E151:G151"/>
    <mergeCell ref="G152:I152"/>
    <mergeCell ref="A158:A159"/>
    <mergeCell ref="B158:C160"/>
    <mergeCell ref="D158:E160"/>
    <mergeCell ref="F158:F159"/>
    <mergeCell ref="G158:H160"/>
    <mergeCell ref="I158:K159"/>
    <mergeCell ref="L158:N159"/>
  </mergeCells>
  <pageMargins left="0.55118110236220474" right="0.47244094488188981" top="0.74803149606299213" bottom="0.74803149606299213" header="0.31496062992125984" footer="0.31496062992125984"/>
  <pageSetup paperSize="9" scale="40" orientation="landscape" horizontalDpi="300" verticalDpi="300" r:id="rId1"/>
  <rowBreaks count="19" manualBreakCount="19">
    <brk id="79" max="16383" man="1"/>
    <brk id="147" max="16383" man="1"/>
    <brk id="215" max="16383" man="1"/>
    <brk id="283" max="16383" man="1"/>
    <brk id="351" max="16383" man="1"/>
    <brk id="419" max="16383" man="1"/>
    <brk id="489" max="16383" man="1"/>
    <brk id="559" max="16383" man="1"/>
    <brk id="631" max="16383" man="1"/>
    <brk id="703" max="16383" man="1"/>
    <brk id="745" max="16383" man="1"/>
    <brk id="817" max="16383" man="1"/>
    <brk id="893" max="16383" man="1"/>
    <brk id="965" max="16383" man="1"/>
    <brk id="1037" max="16383" man="1"/>
    <brk id="1109" max="16383" man="1"/>
    <brk id="1185" max="16383" man="1"/>
    <brk id="1257" max="16383" man="1"/>
    <brk id="132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38"/>
  <sheetViews>
    <sheetView workbookViewId="0">
      <selection activeCell="A4" sqref="A4:AB4"/>
    </sheetView>
  </sheetViews>
  <sheetFormatPr defaultRowHeight="15"/>
  <cols>
    <col min="1" max="1" width="4" customWidth="1"/>
    <col min="2" max="2" width="6.42578125" customWidth="1"/>
    <col min="3" max="3" width="10.42578125" customWidth="1"/>
    <col min="4" max="4" width="29.5703125" customWidth="1"/>
    <col min="5" max="5" width="13.5703125" customWidth="1"/>
    <col min="6" max="6" width="11.28515625" customWidth="1"/>
    <col min="7" max="7" width="10.7109375" customWidth="1"/>
    <col min="8" max="8" width="9" customWidth="1"/>
    <col min="9" max="9" width="10.28515625" customWidth="1"/>
    <col min="10" max="10" width="9" customWidth="1"/>
    <col min="11" max="11" width="9.85546875" customWidth="1"/>
    <col min="12" max="12" width="13.42578125" customWidth="1"/>
    <col min="13" max="13" width="9" customWidth="1"/>
    <col min="14" max="14" width="13.42578125" customWidth="1"/>
    <col min="15" max="15" width="10.42578125" customWidth="1"/>
    <col min="16" max="17" width="9" customWidth="1"/>
    <col min="18" max="18" width="10.7109375" customWidth="1"/>
    <col min="19" max="20" width="9" customWidth="1"/>
    <col min="21" max="21" width="13.7109375" style="549" customWidth="1"/>
    <col min="22" max="23" width="7.140625" customWidth="1"/>
    <col min="24" max="24" width="6.7109375" customWidth="1"/>
    <col min="25" max="25" width="7.7109375" customWidth="1"/>
    <col min="28" max="28" width="18.7109375" bestFit="1" customWidth="1"/>
  </cols>
  <sheetData>
    <row r="1" spans="1:28" ht="22.5" customHeight="1" thickBot="1">
      <c r="D1" s="240"/>
      <c r="L1" s="282"/>
      <c r="N1" s="282"/>
    </row>
    <row r="2" spans="1:28" ht="22.5" customHeight="1">
      <c r="A2" s="1055" t="s">
        <v>387</v>
      </c>
      <c r="B2" s="1056"/>
      <c r="C2" s="1056"/>
      <c r="D2" s="1056"/>
      <c r="E2" s="1056"/>
      <c r="F2" s="1056"/>
      <c r="G2" s="1056"/>
      <c r="H2" s="1056"/>
      <c r="I2" s="1056"/>
      <c r="J2" s="1056"/>
      <c r="K2" s="1056"/>
      <c r="L2" s="1056"/>
      <c r="M2" s="1056"/>
      <c r="N2" s="1056"/>
      <c r="O2" s="1056"/>
      <c r="P2" s="1056"/>
      <c r="Q2" s="1056"/>
      <c r="R2" s="1056"/>
      <c r="S2" s="1056"/>
      <c r="T2" s="1056"/>
      <c r="U2" s="1056"/>
      <c r="V2" s="1056"/>
      <c r="W2" s="1056"/>
      <c r="X2" s="1056"/>
      <c r="Y2" s="1056"/>
      <c r="Z2" s="1056"/>
      <c r="AA2" s="1056"/>
      <c r="AB2" s="1057"/>
    </row>
    <row r="3" spans="1:28" ht="22.5" customHeight="1">
      <c r="A3" s="1059" t="s">
        <v>388</v>
      </c>
      <c r="B3" s="1060"/>
      <c r="C3" s="1060"/>
      <c r="D3" s="1060"/>
      <c r="E3" s="1060"/>
      <c r="F3" s="1060"/>
      <c r="G3" s="1060"/>
      <c r="H3" s="1060"/>
      <c r="I3" s="1060"/>
      <c r="J3" s="1060"/>
      <c r="K3" s="1060"/>
      <c r="L3" s="1060"/>
      <c r="M3" s="1060"/>
      <c r="N3" s="1060"/>
      <c r="O3" s="1060"/>
      <c r="P3" s="1060"/>
      <c r="Q3" s="1060"/>
      <c r="R3" s="1060"/>
      <c r="S3" s="1060"/>
      <c r="T3" s="1060"/>
      <c r="U3" s="1060"/>
      <c r="V3" s="1060"/>
      <c r="W3" s="1060"/>
      <c r="X3" s="1060"/>
      <c r="Y3" s="1060"/>
      <c r="Z3" s="1060"/>
      <c r="AA3" s="1060"/>
      <c r="AB3" s="1061"/>
    </row>
    <row r="4" spans="1:28" ht="22.5" customHeight="1">
      <c r="A4" s="1062" t="s">
        <v>902</v>
      </c>
      <c r="B4" s="1063"/>
      <c r="C4" s="1063"/>
      <c r="D4" s="1063"/>
      <c r="E4" s="1063"/>
      <c r="F4" s="1063"/>
      <c r="G4" s="1063"/>
      <c r="H4" s="1063"/>
      <c r="I4" s="1063"/>
      <c r="J4" s="1063"/>
      <c r="K4" s="1063"/>
      <c r="L4" s="1063"/>
      <c r="M4" s="1063"/>
      <c r="N4" s="1063"/>
      <c r="O4" s="1063"/>
      <c r="P4" s="1063"/>
      <c r="Q4" s="1063"/>
      <c r="R4" s="1063"/>
      <c r="S4" s="1063"/>
      <c r="T4" s="1063"/>
      <c r="U4" s="1063"/>
      <c r="V4" s="1063"/>
      <c r="W4" s="1063"/>
      <c r="X4" s="1063"/>
      <c r="Y4" s="1063"/>
      <c r="Z4" s="1063"/>
      <c r="AA4" s="1063"/>
      <c r="AB4" s="1064"/>
    </row>
    <row r="5" spans="1:28" ht="22.5" customHeight="1">
      <c r="A5" s="1065" t="s">
        <v>389</v>
      </c>
      <c r="B5" s="1066"/>
      <c r="C5" s="1066"/>
      <c r="D5" s="1066"/>
      <c r="E5" s="1066"/>
      <c r="F5" s="1066"/>
      <c r="G5" s="1066"/>
      <c r="H5" s="1066"/>
      <c r="I5" s="1066"/>
      <c r="J5" s="1066"/>
      <c r="K5" s="1066"/>
      <c r="L5" s="1066"/>
      <c r="M5" s="1066"/>
      <c r="N5" s="1066"/>
      <c r="O5" s="1066"/>
      <c r="P5" s="1066"/>
      <c r="Q5" s="1066"/>
      <c r="R5" s="1066"/>
      <c r="S5" s="1066"/>
      <c r="T5" s="1066"/>
      <c r="U5" s="1066"/>
      <c r="V5" s="1066"/>
      <c r="W5" s="1066"/>
      <c r="X5" s="1066"/>
      <c r="Y5" s="1066"/>
      <c r="Z5" s="1066"/>
      <c r="AA5" s="1066"/>
      <c r="AB5" s="1067"/>
    </row>
    <row r="6" spans="1:28" ht="33.75">
      <c r="A6" s="294"/>
      <c r="B6" s="295"/>
      <c r="C6" s="295"/>
      <c r="D6" s="295"/>
      <c r="E6" s="295"/>
      <c r="F6" s="295"/>
      <c r="G6" s="295"/>
      <c r="H6" s="295"/>
      <c r="I6" s="295"/>
      <c r="J6" s="295"/>
      <c r="K6" s="295"/>
      <c r="L6" s="295"/>
      <c r="M6" s="295"/>
      <c r="N6" s="295"/>
      <c r="O6" s="296" t="s">
        <v>380</v>
      </c>
      <c r="P6" s="295"/>
      <c r="Q6" s="295"/>
      <c r="R6" s="295"/>
      <c r="S6" s="295"/>
      <c r="T6" s="295"/>
      <c r="U6" s="550"/>
      <c r="V6" s="296" t="s">
        <v>426</v>
      </c>
      <c r="W6" s="295"/>
      <c r="X6" s="295"/>
      <c r="Y6" s="295"/>
      <c r="Z6" s="294"/>
      <c r="AA6" s="294"/>
      <c r="AB6" s="295"/>
    </row>
    <row r="7" spans="1:28" s="512" customFormat="1" ht="53.1" customHeight="1">
      <c r="A7" s="510" t="s">
        <v>356</v>
      </c>
      <c r="B7" s="510" t="s">
        <v>393</v>
      </c>
      <c r="C7" s="510" t="s">
        <v>427</v>
      </c>
      <c r="D7" s="510" t="s">
        <v>428</v>
      </c>
      <c r="E7" s="511" t="s">
        <v>429</v>
      </c>
      <c r="F7" s="511" t="s">
        <v>430</v>
      </c>
      <c r="G7" s="511" t="s">
        <v>431</v>
      </c>
      <c r="H7" s="511" t="s">
        <v>432</v>
      </c>
      <c r="I7" s="511" t="s">
        <v>433</v>
      </c>
      <c r="J7" s="511" t="s">
        <v>434</v>
      </c>
      <c r="K7" s="964" t="s">
        <v>435</v>
      </c>
      <c r="L7" s="511" t="s">
        <v>436</v>
      </c>
      <c r="M7" s="511" t="s">
        <v>437</v>
      </c>
      <c r="N7" s="511" t="s">
        <v>438</v>
      </c>
      <c r="O7" s="641" t="s">
        <v>439</v>
      </c>
      <c r="P7" s="511" t="s">
        <v>482</v>
      </c>
      <c r="Q7" s="511" t="s">
        <v>440</v>
      </c>
      <c r="R7" s="511" t="s">
        <v>32</v>
      </c>
      <c r="S7" s="511" t="s">
        <v>441</v>
      </c>
      <c r="T7" s="511" t="s">
        <v>442</v>
      </c>
      <c r="U7" s="551" t="s">
        <v>443</v>
      </c>
      <c r="V7" s="511" t="s">
        <v>444</v>
      </c>
      <c r="W7" s="511" t="s">
        <v>445</v>
      </c>
      <c r="X7" s="511" t="s">
        <v>446</v>
      </c>
      <c r="Y7" s="511" t="s">
        <v>447</v>
      </c>
      <c r="Z7" s="511" t="s">
        <v>448</v>
      </c>
      <c r="AA7" s="511" t="s">
        <v>449</v>
      </c>
      <c r="AB7" s="511" t="s">
        <v>156</v>
      </c>
    </row>
    <row r="8" spans="1:28" s="330" customFormat="1" ht="30.6" customHeight="1">
      <c r="A8" s="304">
        <v>1</v>
      </c>
      <c r="B8" s="297"/>
      <c r="C8" s="287" t="str">
        <f>'0422Master'!A16</f>
        <v>BITS-652</v>
      </c>
      <c r="D8" s="451" t="str">
        <f>'0422Master'!B16</f>
        <v>Shaikh Mohammed Sartaj</v>
      </c>
      <c r="E8" s="635">
        <f>'0422Master'!Z16</f>
        <v>48166.8</v>
      </c>
      <c r="F8" s="635">
        <f>'0422Master'!AD16</f>
        <v>19266.72</v>
      </c>
      <c r="G8" s="636">
        <f>'0422Master'!AE16</f>
        <v>2083</v>
      </c>
      <c r="H8" s="637">
        <f>'0422Master'!AI16</f>
        <v>1554.6089999999999</v>
      </c>
      <c r="I8" s="637">
        <f>'0422Master'!AG16</f>
        <v>8791.4799999999959</v>
      </c>
      <c r="J8" s="637">
        <f>'0422Master'!AF16</f>
        <v>2083</v>
      </c>
      <c r="K8" s="298"/>
      <c r="L8" s="635">
        <f>'0422Master'!AH16</f>
        <v>80391</v>
      </c>
      <c r="M8" s="298">
        <v>1</v>
      </c>
      <c r="N8" s="635">
        <f>'0422Master'!AM16</f>
        <v>88276.332079999993</v>
      </c>
      <c r="O8" s="636">
        <f>'0422Master'!AQ16</f>
        <v>0</v>
      </c>
      <c r="P8" s="636">
        <f>'0422Master'!AR16</f>
        <v>254</v>
      </c>
      <c r="Q8" s="636">
        <f>'0422Master'!AP16</f>
        <v>200</v>
      </c>
      <c r="R8" s="636">
        <f>'0422Master'!AO16</f>
        <v>1800</v>
      </c>
      <c r="S8" s="638">
        <f>'0422Master'!AN16</f>
        <v>0</v>
      </c>
      <c r="T8" s="638">
        <f>'0422Master'!AS16</f>
        <v>2254</v>
      </c>
      <c r="U8" s="639">
        <f>'0422Master'!AT16</f>
        <v>86022.332079999993</v>
      </c>
      <c r="V8" s="642">
        <v>5</v>
      </c>
      <c r="W8" s="642">
        <v>1</v>
      </c>
      <c r="X8" s="642">
        <v>0</v>
      </c>
      <c r="Y8" s="642">
        <v>5.5</v>
      </c>
      <c r="Z8" s="452" t="str">
        <f>'0422Master'!AU16</f>
        <v>05.05.2022</v>
      </c>
      <c r="AA8" s="299" t="str">
        <f>'0422Master'!AV16</f>
        <v>HDFC BANK</v>
      </c>
      <c r="AB8" s="310" t="str">
        <f>'0422Master'!AW16</f>
        <v>50100405646907</v>
      </c>
    </row>
    <row r="9" spans="1:28" s="330" customFormat="1" ht="30.6" customHeight="1">
      <c r="A9" s="304">
        <v>2</v>
      </c>
      <c r="B9" s="297"/>
      <c r="C9" s="287" t="str">
        <f>'0422Master'!A17</f>
        <v>BITS-660</v>
      </c>
      <c r="D9" s="451" t="str">
        <f>'0422Master'!B17</f>
        <v>Moin Ahemad Jahur Ahemad Kumarkiri</v>
      </c>
      <c r="E9" s="635">
        <f>'0422Master'!Z17</f>
        <v>85984.2</v>
      </c>
      <c r="F9" s="635">
        <f>'0422Master'!AD17</f>
        <v>34393.68</v>
      </c>
      <c r="G9" s="636">
        <f>'0422Master'!AE17</f>
        <v>2083</v>
      </c>
      <c r="H9" s="637">
        <f>'0422Master'!AI17</f>
        <v>1554.6089999999999</v>
      </c>
      <c r="I9" s="637">
        <f>'0422Master'!AG17</f>
        <v>18876.119999999995</v>
      </c>
      <c r="J9" s="637">
        <f>'0422Master'!AF17</f>
        <v>2083</v>
      </c>
      <c r="K9" s="298"/>
      <c r="L9" s="635">
        <f>'0422Master'!AH17</f>
        <v>143420</v>
      </c>
      <c r="M9" s="298">
        <v>2</v>
      </c>
      <c r="N9" s="635">
        <f>'0422Master'!AM17</f>
        <v>156275.79902000001</v>
      </c>
      <c r="O9" s="636">
        <f>'0422Master'!AQ17</f>
        <v>0</v>
      </c>
      <c r="P9" s="636">
        <f>'0422Master'!AR17</f>
        <v>254</v>
      </c>
      <c r="Q9" s="636">
        <f>'0422Master'!AP17</f>
        <v>200</v>
      </c>
      <c r="R9" s="636">
        <f>'0422Master'!AO17</f>
        <v>1800</v>
      </c>
      <c r="S9" s="638">
        <f>'0422Master'!AN17</f>
        <v>0</v>
      </c>
      <c r="T9" s="638">
        <f>'0422Master'!AS17</f>
        <v>2254</v>
      </c>
      <c r="U9" s="639">
        <f>'0422Master'!AT17</f>
        <v>154021.79902000001</v>
      </c>
      <c r="V9" s="642">
        <v>4.5</v>
      </c>
      <c r="W9" s="642">
        <v>0</v>
      </c>
      <c r="X9" s="642">
        <v>0</v>
      </c>
      <c r="Y9" s="642">
        <v>6</v>
      </c>
      <c r="Z9" s="452" t="str">
        <f>'0422Master'!AU17</f>
        <v>05.05.2022</v>
      </c>
      <c r="AA9" s="299" t="str">
        <f>'0422Master'!AV17</f>
        <v>HDFC BANK</v>
      </c>
      <c r="AB9" s="310" t="str">
        <f>'0422Master'!AW17</f>
        <v>50100103229547</v>
      </c>
    </row>
    <row r="10" spans="1:28" s="330" customFormat="1" ht="30.6" customHeight="1">
      <c r="A10" s="304">
        <v>3</v>
      </c>
      <c r="B10" s="297"/>
      <c r="C10" s="287" t="str">
        <f>'0422Master'!A18</f>
        <v>BITS-664</v>
      </c>
      <c r="D10" s="451" t="str">
        <f>'0422Master'!B18</f>
        <v>Savana Saritha Dora</v>
      </c>
      <c r="E10" s="635">
        <f>'0422Master'!Z18</f>
        <v>33150.6</v>
      </c>
      <c r="F10" s="635">
        <f>'0422Master'!AD18</f>
        <v>13260.24</v>
      </c>
      <c r="G10" s="636">
        <f>'0422Master'!AE18</f>
        <v>2083</v>
      </c>
      <c r="H10" s="637">
        <f>'0422Master'!AI18</f>
        <v>1554.6089999999999</v>
      </c>
      <c r="I10" s="637">
        <f>'0422Master'!AG18</f>
        <v>4787.1600000000035</v>
      </c>
      <c r="J10" s="637">
        <f>'0422Master'!AF18</f>
        <v>2083</v>
      </c>
      <c r="K10" s="298"/>
      <c r="L10" s="635">
        <f>'0422Master'!AH18</f>
        <v>55364</v>
      </c>
      <c r="M10" s="298">
        <v>3</v>
      </c>
      <c r="N10" s="635">
        <f>'0422Master'!AM18</f>
        <v>61275.702859999998</v>
      </c>
      <c r="O10" s="636">
        <f>'0422Master'!AQ18</f>
        <v>0</v>
      </c>
      <c r="P10" s="636">
        <f>'0422Master'!AR18</f>
        <v>286</v>
      </c>
      <c r="Q10" s="636">
        <f>'0422Master'!AP18</f>
        <v>200</v>
      </c>
      <c r="R10" s="636">
        <f>'0422Master'!AO18</f>
        <v>1800</v>
      </c>
      <c r="S10" s="638">
        <f>'0422Master'!AN18</f>
        <v>0</v>
      </c>
      <c r="T10" s="638">
        <f>'0422Master'!AS18</f>
        <v>2286</v>
      </c>
      <c r="U10" s="639">
        <f>'0422Master'!AT18</f>
        <v>58989.702859999998</v>
      </c>
      <c r="V10" s="642">
        <v>4.5</v>
      </c>
      <c r="W10" s="642">
        <v>1</v>
      </c>
      <c r="X10" s="642">
        <v>0</v>
      </c>
      <c r="Y10" s="642">
        <v>5</v>
      </c>
      <c r="Z10" s="452" t="str">
        <f>'0422Master'!AU18</f>
        <v>05.05.2022</v>
      </c>
      <c r="AA10" s="299" t="str">
        <f>'0422Master'!AV18</f>
        <v>SBI</v>
      </c>
      <c r="AB10" s="310">
        <f>'0422Master'!AW18</f>
        <v>20101763786</v>
      </c>
    </row>
    <row r="11" spans="1:28" s="330" customFormat="1" ht="30.6" customHeight="1">
      <c r="A11" s="304">
        <v>4</v>
      </c>
      <c r="B11" s="297"/>
      <c r="C11" s="287" t="str">
        <f>'0422Master'!A19</f>
        <v>BITS-668</v>
      </c>
      <c r="D11" s="451" t="str">
        <f>'0422Master'!B19</f>
        <v xml:space="preserve">Mandar Shetty </v>
      </c>
      <c r="E11" s="635">
        <f>'0422Master'!Z19</f>
        <v>62626.2</v>
      </c>
      <c r="F11" s="635">
        <f>'0422Master'!AD19</f>
        <v>25050.48</v>
      </c>
      <c r="G11" s="636">
        <f>'0422Master'!AE19</f>
        <v>2083</v>
      </c>
      <c r="H11" s="637">
        <f>'0422Master'!AI19</f>
        <v>1554.6089999999999</v>
      </c>
      <c r="I11" s="637">
        <f>'0422Master'!AG19</f>
        <v>12647.320000000007</v>
      </c>
      <c r="J11" s="637">
        <f>'0422Master'!AF19</f>
        <v>2083</v>
      </c>
      <c r="K11" s="298"/>
      <c r="L11" s="635">
        <f>'0422Master'!AH19</f>
        <v>104490</v>
      </c>
      <c r="M11" s="298">
        <v>4</v>
      </c>
      <c r="N11" s="635">
        <f>'0422Master'!AM19</f>
        <v>114275.77922</v>
      </c>
      <c r="O11" s="636">
        <f>'0422Master'!AQ19</f>
        <v>0</v>
      </c>
      <c r="P11" s="636">
        <f>'0422Master'!AR19</f>
        <v>283</v>
      </c>
      <c r="Q11" s="636">
        <f>'0422Master'!AP19</f>
        <v>200</v>
      </c>
      <c r="R11" s="636">
        <f>'0422Master'!AO19</f>
        <v>1800</v>
      </c>
      <c r="S11" s="638">
        <f>'0422Master'!AN19</f>
        <v>0</v>
      </c>
      <c r="T11" s="638">
        <f>'0422Master'!AS19</f>
        <v>2283</v>
      </c>
      <c r="U11" s="639">
        <f>'0422Master'!AT19</f>
        <v>111992.77922</v>
      </c>
      <c r="V11" s="642">
        <v>5.5</v>
      </c>
      <c r="W11" s="642">
        <v>1</v>
      </c>
      <c r="X11" s="642">
        <v>0</v>
      </c>
      <c r="Y11" s="642">
        <v>6</v>
      </c>
      <c r="Z11" s="452" t="str">
        <f>'0422Master'!AU19</f>
        <v>05.05.2022</v>
      </c>
      <c r="AA11" s="299" t="str">
        <f>'0422Master'!AV19</f>
        <v>Axis Bank</v>
      </c>
      <c r="AB11" s="310" t="str">
        <f>'0422Master'!AW19</f>
        <v>910010033970009</v>
      </c>
    </row>
    <row r="12" spans="1:28" s="330" customFormat="1" ht="30.6" customHeight="1">
      <c r="A12" s="304">
        <v>5</v>
      </c>
      <c r="B12" s="297"/>
      <c r="C12" s="287" t="str">
        <f>'0422Master'!A20</f>
        <v>BITS-672</v>
      </c>
      <c r="D12" s="451" t="str">
        <f>'0422Master'!B20</f>
        <v xml:space="preserve">Vivek Dongre </v>
      </c>
      <c r="E12" s="635">
        <f>'0422Master'!Z20</f>
        <v>39824.400000000001</v>
      </c>
      <c r="F12" s="635">
        <f>'0422Master'!AD20</f>
        <v>15929.760000000002</v>
      </c>
      <c r="G12" s="636">
        <f>'0422Master'!AE20</f>
        <v>2083</v>
      </c>
      <c r="H12" s="637">
        <f>'0422Master'!AI20</f>
        <v>1554.6089999999999</v>
      </c>
      <c r="I12" s="637">
        <f>'0422Master'!AG20</f>
        <v>6566.8399999999965</v>
      </c>
      <c r="J12" s="637">
        <f>'0422Master'!AF20</f>
        <v>2083</v>
      </c>
      <c r="K12" s="298"/>
      <c r="L12" s="635">
        <f>'0422Master'!AH20</f>
        <v>66487</v>
      </c>
      <c r="M12" s="298">
        <v>5</v>
      </c>
      <c r="N12" s="635">
        <f>'0422Master'!AM20</f>
        <v>73275.862639999992</v>
      </c>
      <c r="O12" s="636">
        <f>'0422Master'!AQ20</f>
        <v>0</v>
      </c>
      <c r="P12" s="636">
        <f>'0422Master'!AR20</f>
        <v>252</v>
      </c>
      <c r="Q12" s="636">
        <f>'0422Master'!AP20</f>
        <v>200</v>
      </c>
      <c r="R12" s="636">
        <f>'0422Master'!AO20</f>
        <v>1800</v>
      </c>
      <c r="S12" s="638">
        <f>'0422Master'!AN20</f>
        <v>0</v>
      </c>
      <c r="T12" s="638">
        <f>'0422Master'!AS20</f>
        <v>2252</v>
      </c>
      <c r="U12" s="639">
        <f>'0422Master'!AT20</f>
        <v>71023.862639999992</v>
      </c>
      <c r="V12" s="642">
        <v>3</v>
      </c>
      <c r="W12" s="642">
        <v>0</v>
      </c>
      <c r="X12" s="642">
        <v>0</v>
      </c>
      <c r="Y12" s="642">
        <v>4.5</v>
      </c>
      <c r="Z12" s="452" t="str">
        <f>'0422Master'!AU20</f>
        <v>05.05.2022</v>
      </c>
      <c r="AA12" s="299" t="str">
        <f>'0422Master'!AV20</f>
        <v>CITI Bank</v>
      </c>
      <c r="AB12" s="310" t="str">
        <f>'0422Master'!AW20</f>
        <v>5297131705</v>
      </c>
    </row>
    <row r="13" spans="1:28" s="330" customFormat="1" ht="30.6" customHeight="1">
      <c r="A13" s="304">
        <v>6</v>
      </c>
      <c r="B13" s="297"/>
      <c r="C13" s="287" t="str">
        <f>'0422Master'!A21</f>
        <v>BITS-674</v>
      </c>
      <c r="D13" s="451" t="str">
        <f>'0422Master'!B21</f>
        <v>Amit Chawadi</v>
      </c>
      <c r="E13" s="635">
        <f>'0422Master'!Z21</f>
        <v>48166.8</v>
      </c>
      <c r="F13" s="635">
        <f>'0422Master'!AD21</f>
        <v>19266.72</v>
      </c>
      <c r="G13" s="636">
        <f>'0422Master'!AE21</f>
        <v>2083</v>
      </c>
      <c r="H13" s="637">
        <f>'0422Master'!AI21</f>
        <v>1554.6089999999999</v>
      </c>
      <c r="I13" s="637">
        <f>'0422Master'!AG21</f>
        <v>8791.4799999999959</v>
      </c>
      <c r="J13" s="637">
        <f>'0422Master'!AF21</f>
        <v>2083</v>
      </c>
      <c r="K13" s="298"/>
      <c r="L13" s="635">
        <f>'0422Master'!AH21</f>
        <v>80391</v>
      </c>
      <c r="M13" s="298">
        <v>6</v>
      </c>
      <c r="N13" s="635">
        <f>'0422Master'!AM21</f>
        <v>88276.332079999993</v>
      </c>
      <c r="O13" s="636">
        <f>'0422Master'!AQ21</f>
        <v>0</v>
      </c>
      <c r="P13" s="636">
        <f>'0422Master'!AR21</f>
        <v>283</v>
      </c>
      <c r="Q13" s="636">
        <f>'0422Master'!AP21</f>
        <v>200</v>
      </c>
      <c r="R13" s="636">
        <f>'0422Master'!AO21</f>
        <v>1800</v>
      </c>
      <c r="S13" s="638">
        <f>'0422Master'!AN21</f>
        <v>0</v>
      </c>
      <c r="T13" s="638">
        <f>'0422Master'!AS21</f>
        <v>2283</v>
      </c>
      <c r="U13" s="639">
        <f>'0422Master'!AT21</f>
        <v>85993.332079999993</v>
      </c>
      <c r="V13" s="642">
        <v>6</v>
      </c>
      <c r="W13" s="642">
        <v>0</v>
      </c>
      <c r="X13" s="642">
        <v>0</v>
      </c>
      <c r="Y13" s="642">
        <v>7.5</v>
      </c>
      <c r="Z13" s="452" t="str">
        <f>'0422Master'!AU21</f>
        <v>05.05.2022</v>
      </c>
      <c r="AA13" s="299" t="str">
        <f>'0422Master'!AV21</f>
        <v>ICICI Bank</v>
      </c>
      <c r="AB13" s="310" t="str">
        <f>'0422Master'!AW21</f>
        <v>007401540582</v>
      </c>
    </row>
    <row r="14" spans="1:28" s="330" customFormat="1" ht="30.6" customHeight="1">
      <c r="A14" s="304">
        <v>7</v>
      </c>
      <c r="B14" s="297"/>
      <c r="C14" s="287" t="str">
        <f>'0422Master'!A22</f>
        <v>BITS-677</v>
      </c>
      <c r="D14" s="451" t="str">
        <f>'0422Master'!B22</f>
        <v>Ashwini Nanaware</v>
      </c>
      <c r="E14" s="635">
        <f>'0422Master'!Z22</f>
        <v>32594.400000000001</v>
      </c>
      <c r="F14" s="635">
        <f>'0422Master'!AD22</f>
        <v>13037.760000000002</v>
      </c>
      <c r="G14" s="636">
        <f>'0422Master'!AE22</f>
        <v>2083</v>
      </c>
      <c r="H14" s="637">
        <f>'0422Master'!AI22</f>
        <v>1554.6089999999999</v>
      </c>
      <c r="I14" s="637">
        <f>'0422Master'!AG22</f>
        <v>4638.8399999999965</v>
      </c>
      <c r="J14" s="637">
        <f>'0422Master'!AF22</f>
        <v>2083</v>
      </c>
      <c r="K14" s="298"/>
      <c r="L14" s="635">
        <f>'0422Master'!AH22</f>
        <v>54437</v>
      </c>
      <c r="M14" s="298">
        <v>7</v>
      </c>
      <c r="N14" s="635">
        <f>'0422Master'!AM22</f>
        <v>60275.599639999993</v>
      </c>
      <c r="O14" s="636">
        <f>'0422Master'!AQ22</f>
        <v>0</v>
      </c>
      <c r="P14" s="636">
        <f>'0422Master'!AR22</f>
        <v>283</v>
      </c>
      <c r="Q14" s="636">
        <f>'0422Master'!AP22</f>
        <v>200</v>
      </c>
      <c r="R14" s="636">
        <f>'0422Master'!AO22</f>
        <v>1800</v>
      </c>
      <c r="S14" s="638">
        <f>'0422Master'!AN22</f>
        <v>0</v>
      </c>
      <c r="T14" s="638">
        <f>'0422Master'!AS22</f>
        <v>2283</v>
      </c>
      <c r="U14" s="639">
        <f>'0422Master'!AT22</f>
        <v>57992.599639999993</v>
      </c>
      <c r="V14" s="642">
        <v>5</v>
      </c>
      <c r="W14" s="642">
        <v>1</v>
      </c>
      <c r="X14" s="642">
        <v>0</v>
      </c>
      <c r="Y14" s="642">
        <v>5.5</v>
      </c>
      <c r="Z14" s="452" t="str">
        <f>'0422Master'!AU22</f>
        <v>05.05.2022</v>
      </c>
      <c r="AA14" s="299" t="str">
        <f>'0422Master'!AV22</f>
        <v>HDFC Bank</v>
      </c>
      <c r="AB14" s="310" t="str">
        <f>'0422Master'!AW22</f>
        <v>50100191546051</v>
      </c>
    </row>
    <row r="15" spans="1:28" s="509" customFormat="1" ht="30.6" customHeight="1">
      <c r="A15" s="304">
        <v>8</v>
      </c>
      <c r="B15" s="508"/>
      <c r="C15" s="287" t="str">
        <f>'0422Master'!A23</f>
        <v>BITS-678</v>
      </c>
      <c r="D15" s="451" t="str">
        <f>'0422Master'!B23</f>
        <v>Kaushal Sushil Sharma</v>
      </c>
      <c r="E15" s="635">
        <f>'0422Master'!Z23</f>
        <v>37044</v>
      </c>
      <c r="F15" s="635">
        <f>'0422Master'!AD23</f>
        <v>14817.6</v>
      </c>
      <c r="G15" s="636">
        <f>'0422Master'!AE23</f>
        <v>2083</v>
      </c>
      <c r="H15" s="637">
        <f>'0422Master'!AI23</f>
        <v>1554.6089999999999</v>
      </c>
      <c r="I15" s="637">
        <f>'0422Master'!AG23</f>
        <v>5825.4000000000015</v>
      </c>
      <c r="J15" s="637">
        <f>'0422Master'!AF23</f>
        <v>2083</v>
      </c>
      <c r="K15" s="298"/>
      <c r="L15" s="635">
        <f>'0422Master'!AH23</f>
        <v>61853</v>
      </c>
      <c r="M15" s="298">
        <v>8</v>
      </c>
      <c r="N15" s="635">
        <f>'0422Master'!AM23</f>
        <v>68276.425400000007</v>
      </c>
      <c r="O15" s="636">
        <f>'0422Master'!AQ23</f>
        <v>0</v>
      </c>
      <c r="P15" s="636">
        <f>'0422Master'!AR23</f>
        <v>283</v>
      </c>
      <c r="Q15" s="636">
        <f>'0422Master'!AP23</f>
        <v>200</v>
      </c>
      <c r="R15" s="636">
        <f>'0422Master'!AO23</f>
        <v>1800</v>
      </c>
      <c r="S15" s="638">
        <f>'0422Master'!AN23</f>
        <v>0</v>
      </c>
      <c r="T15" s="638">
        <f>'0422Master'!AS23</f>
        <v>2283</v>
      </c>
      <c r="U15" s="639">
        <f>'0422Master'!AT23</f>
        <v>65993.425400000007</v>
      </c>
      <c r="V15" s="642">
        <v>4</v>
      </c>
      <c r="W15" s="642">
        <v>0</v>
      </c>
      <c r="X15" s="642">
        <v>0</v>
      </c>
      <c r="Y15" s="642">
        <v>5.5</v>
      </c>
      <c r="Z15" s="452" t="str">
        <f>'0422Master'!AU23</f>
        <v>05.05.2022</v>
      </c>
      <c r="AA15" s="299" t="str">
        <f>'0422Master'!AV23</f>
        <v>ICICI Bank</v>
      </c>
      <c r="AB15" s="310" t="str">
        <f>'0422Master'!AW23</f>
        <v>001901524778</v>
      </c>
    </row>
    <row r="16" spans="1:28" s="330" customFormat="1" ht="30.6" customHeight="1">
      <c r="A16" s="304">
        <v>9</v>
      </c>
      <c r="B16" s="354"/>
      <c r="C16" s="287" t="str">
        <f>'0422Master'!A24</f>
        <v>BITS-680</v>
      </c>
      <c r="D16" s="451" t="str">
        <f>'0422Master'!B24</f>
        <v>Arvind Akhare</v>
      </c>
      <c r="E16" s="635">
        <f>'0422Master'!Z24</f>
        <v>47550.720000000001</v>
      </c>
      <c r="F16" s="635">
        <f>'0422Master'!AD24</f>
        <v>19020.288</v>
      </c>
      <c r="G16" s="636">
        <f>'0422Master'!AE24</f>
        <v>1944</v>
      </c>
      <c r="H16" s="637">
        <f>'0422Master'!AI24</f>
        <v>1554.6089999999999</v>
      </c>
      <c r="I16" s="637">
        <f>'0422Master'!AG24</f>
        <v>8905.1919999999955</v>
      </c>
      <c r="J16" s="637">
        <f>'0422Master'!AF24</f>
        <v>1944</v>
      </c>
      <c r="K16" s="298"/>
      <c r="L16" s="635">
        <f>'0422Master'!AH24</f>
        <v>79364.2</v>
      </c>
      <c r="M16" s="298">
        <v>9</v>
      </c>
      <c r="N16" s="635">
        <f>'0422Master'!AM24</f>
        <v>87168.558631999986</v>
      </c>
      <c r="O16" s="636">
        <f>'0422Master'!AQ24</f>
        <v>0</v>
      </c>
      <c r="P16" s="636">
        <f>'0422Master'!AR24</f>
        <v>283</v>
      </c>
      <c r="Q16" s="636">
        <f>'0422Master'!AP24</f>
        <v>200</v>
      </c>
      <c r="R16" s="636">
        <f>'0422Master'!AO24</f>
        <v>1800</v>
      </c>
      <c r="S16" s="638">
        <f>'0422Master'!AN24</f>
        <v>0</v>
      </c>
      <c r="T16" s="638">
        <f>'0422Master'!AS24</f>
        <v>2283</v>
      </c>
      <c r="U16" s="639">
        <f>'0422Master'!AT24</f>
        <v>84885.558631999986</v>
      </c>
      <c r="V16" s="642">
        <v>6</v>
      </c>
      <c r="W16" s="642">
        <v>1</v>
      </c>
      <c r="X16" s="642">
        <v>0</v>
      </c>
      <c r="Y16" s="642">
        <v>6.5</v>
      </c>
      <c r="Z16" s="452" t="str">
        <f>'0422Master'!AU24</f>
        <v>05.05.2022</v>
      </c>
      <c r="AA16" s="299" t="str">
        <f>'0422Master'!AV24</f>
        <v>HDFC Bank</v>
      </c>
      <c r="AB16" s="310" t="str">
        <f>'0422Master'!AW24</f>
        <v>50100150364960</v>
      </c>
    </row>
    <row r="17" spans="1:28" s="330" customFormat="1" ht="30.6" customHeight="1">
      <c r="A17" s="304">
        <v>10</v>
      </c>
      <c r="B17" s="354"/>
      <c r="C17" s="287" t="str">
        <f>'0422Master'!A25</f>
        <v>BITS-681</v>
      </c>
      <c r="D17" s="451" t="str">
        <f>'0422Master'!B25</f>
        <v>Pallavi Rishikesh Naik</v>
      </c>
      <c r="E17" s="635">
        <f>'0422Master'!Z25</f>
        <v>42605.4</v>
      </c>
      <c r="F17" s="635">
        <f>'0422Master'!AD25</f>
        <v>17042.16</v>
      </c>
      <c r="G17" s="636">
        <f>'0422Master'!AE25</f>
        <v>2083</v>
      </c>
      <c r="H17" s="637">
        <f>'0422Master'!AI25</f>
        <v>1554.6089999999999</v>
      </c>
      <c r="I17" s="637">
        <f>'0422Master'!AG25</f>
        <v>7308.4400000000023</v>
      </c>
      <c r="J17" s="637">
        <f>'0422Master'!AF25</f>
        <v>2083</v>
      </c>
      <c r="K17" s="298"/>
      <c r="L17" s="635">
        <f>'0422Master'!AH25</f>
        <v>71122</v>
      </c>
      <c r="M17" s="298">
        <v>10</v>
      </c>
      <c r="N17" s="635">
        <f>'0422Master'!AM25</f>
        <v>78276.37874</v>
      </c>
      <c r="O17" s="636">
        <f>'0422Master'!AQ25</f>
        <v>0</v>
      </c>
      <c r="P17" s="636">
        <f>'0422Master'!AR25</f>
        <v>283</v>
      </c>
      <c r="Q17" s="636">
        <f>'0422Master'!AP25</f>
        <v>200</v>
      </c>
      <c r="R17" s="636">
        <f>'0422Master'!AO25</f>
        <v>1800</v>
      </c>
      <c r="S17" s="638">
        <f>'0422Master'!AN25</f>
        <v>0</v>
      </c>
      <c r="T17" s="638">
        <f>'0422Master'!AS25</f>
        <v>2283</v>
      </c>
      <c r="U17" s="639">
        <f>'0422Master'!AT25</f>
        <v>75993.37874</v>
      </c>
      <c r="V17" s="642">
        <v>4</v>
      </c>
      <c r="W17" s="642">
        <v>0</v>
      </c>
      <c r="X17" s="642">
        <v>0</v>
      </c>
      <c r="Y17" s="642">
        <v>5.5</v>
      </c>
      <c r="Z17" s="452" t="str">
        <f>'0422Master'!AU25</f>
        <v>05.05.2022</v>
      </c>
      <c r="AA17" s="299" t="str">
        <f>'0422Master'!AV25</f>
        <v>CITI Bank</v>
      </c>
      <c r="AB17" s="310" t="str">
        <f>'0422Master'!AW25</f>
        <v>5696586708</v>
      </c>
    </row>
    <row r="18" spans="1:28" s="330" customFormat="1" ht="30.6" customHeight="1">
      <c r="A18" s="304">
        <v>11</v>
      </c>
      <c r="B18" s="297"/>
      <c r="C18" s="287" t="str">
        <f>'0422Master'!A26</f>
        <v>BITS-686</v>
      </c>
      <c r="D18" s="451" t="str">
        <f>'0422Master'!B26</f>
        <v>Amit Kumar</v>
      </c>
      <c r="E18" s="635">
        <f>'0422Master'!Z26</f>
        <v>56508.6</v>
      </c>
      <c r="F18" s="635">
        <f>'0422Master'!AD26</f>
        <v>22603.440000000002</v>
      </c>
      <c r="G18" s="636">
        <f>'0422Master'!AE26</f>
        <v>2083</v>
      </c>
      <c r="H18" s="637">
        <f>'0422Master'!AI26</f>
        <v>1554.6089999999999</v>
      </c>
      <c r="I18" s="637">
        <f>'0422Master'!AG26</f>
        <v>11015.959999999992</v>
      </c>
      <c r="J18" s="637">
        <f>'0422Master'!AF26</f>
        <v>2083</v>
      </c>
      <c r="K18" s="298"/>
      <c r="L18" s="635">
        <f>'0422Master'!AH26</f>
        <v>94294</v>
      </c>
      <c r="M18" s="298">
        <v>11</v>
      </c>
      <c r="N18" s="635">
        <f>'0422Master'!AM26</f>
        <v>103275.72266</v>
      </c>
      <c r="O18" s="636">
        <f>'0422Master'!AQ26</f>
        <v>0</v>
      </c>
      <c r="P18" s="636">
        <f>'0422Master'!AR26</f>
        <v>283</v>
      </c>
      <c r="Q18" s="636">
        <f>'0422Master'!AP26</f>
        <v>200</v>
      </c>
      <c r="R18" s="636">
        <f>'0422Master'!AO26</f>
        <v>1800</v>
      </c>
      <c r="S18" s="638">
        <f>'0422Master'!AN26</f>
        <v>0</v>
      </c>
      <c r="T18" s="638">
        <f>'0422Master'!AS26</f>
        <v>2283</v>
      </c>
      <c r="U18" s="639">
        <f>'0422Master'!AT26</f>
        <v>100992.72266</v>
      </c>
      <c r="V18" s="642">
        <v>3.5</v>
      </c>
      <c r="W18" s="642">
        <v>1</v>
      </c>
      <c r="X18" s="642">
        <v>0</v>
      </c>
      <c r="Y18" s="642">
        <v>4</v>
      </c>
      <c r="Z18" s="452" t="str">
        <f>'0422Master'!AU26</f>
        <v>05.05.2022</v>
      </c>
      <c r="AA18" s="299" t="str">
        <f>'0422Master'!AV26</f>
        <v>HDFC Bank</v>
      </c>
      <c r="AB18" s="310" t="str">
        <f>'0422Master'!AW26</f>
        <v>05121140023169</v>
      </c>
    </row>
    <row r="19" spans="1:28" s="330" customFormat="1" ht="30.6" customHeight="1">
      <c r="A19" s="304">
        <v>12</v>
      </c>
      <c r="B19" s="297"/>
      <c r="C19" s="287" t="str">
        <f>'0422Master'!A27</f>
        <v>BITS-688</v>
      </c>
      <c r="D19" s="451" t="str">
        <f>'0422Master'!B27</f>
        <v>Pranav Thakare</v>
      </c>
      <c r="E19" s="635">
        <f>'0422Master'!Z27</f>
        <v>40847.22</v>
      </c>
      <c r="F19" s="635">
        <f>'0422Master'!AD27</f>
        <v>16338.888000000001</v>
      </c>
      <c r="G19" s="636">
        <f>'0422Master'!AE27</f>
        <v>1875</v>
      </c>
      <c r="H19" s="637">
        <f>'0422Master'!AI27</f>
        <v>1554.6089999999999</v>
      </c>
      <c r="I19" s="637">
        <f>'0422Master'!AG27</f>
        <v>7255.5919999999969</v>
      </c>
      <c r="J19" s="637">
        <f>'0422Master'!AF27</f>
        <v>1875</v>
      </c>
      <c r="K19" s="298"/>
      <c r="L19" s="635">
        <f>'0422Master'!AH27</f>
        <v>68191.7</v>
      </c>
      <c r="M19" s="298">
        <v>12</v>
      </c>
      <c r="N19" s="635">
        <f>'0422Master'!AM27</f>
        <v>75114.995281999989</v>
      </c>
      <c r="O19" s="636">
        <f>'0422Master'!AQ27</f>
        <v>0</v>
      </c>
      <c r="P19" s="636">
        <f>'0422Master'!AR27</f>
        <v>283</v>
      </c>
      <c r="Q19" s="636">
        <f>'0422Master'!AP27</f>
        <v>200</v>
      </c>
      <c r="R19" s="636">
        <f>'0422Master'!AO27</f>
        <v>1800</v>
      </c>
      <c r="S19" s="638">
        <f>'0422Master'!AN27</f>
        <v>0</v>
      </c>
      <c r="T19" s="638">
        <f>'0422Master'!AS27</f>
        <v>2283</v>
      </c>
      <c r="U19" s="639">
        <f>'0422Master'!AT27</f>
        <v>72831.995281999989</v>
      </c>
      <c r="V19" s="642">
        <v>2.5</v>
      </c>
      <c r="W19" s="642">
        <v>1</v>
      </c>
      <c r="X19" s="642">
        <v>0</v>
      </c>
      <c r="Y19" s="642">
        <v>3</v>
      </c>
      <c r="Z19" s="452" t="str">
        <f>'0422Master'!AU27</f>
        <v>05.05.2022</v>
      </c>
      <c r="AA19" s="299" t="str">
        <f>'0422Master'!AV27</f>
        <v xml:space="preserve">ICICI BANK </v>
      </c>
      <c r="AB19" s="310" t="str">
        <f>'0422Master'!AW27</f>
        <v>056601532765</v>
      </c>
    </row>
    <row r="20" spans="1:28" s="330" customFormat="1" ht="30.6" customHeight="1">
      <c r="A20" s="304">
        <v>13</v>
      </c>
      <c r="B20" s="297"/>
      <c r="C20" s="287" t="str">
        <f>'0422Master'!A28</f>
        <v>BITS-694</v>
      </c>
      <c r="D20" s="451" t="str">
        <f>'0422Master'!B28</f>
        <v>Asita Kumar Sahoo</v>
      </c>
      <c r="E20" s="635">
        <f>'0422Master'!Z28</f>
        <v>31482.6</v>
      </c>
      <c r="F20" s="635">
        <f>'0422Master'!AD28</f>
        <v>12593.04</v>
      </c>
      <c r="G20" s="636">
        <f>'0422Master'!AE28</f>
        <v>2083</v>
      </c>
      <c r="H20" s="637">
        <f>'0422Master'!AI28</f>
        <v>1554.6089999999999</v>
      </c>
      <c r="I20" s="637">
        <f>'0422Master'!AG28</f>
        <v>4342.3600000000006</v>
      </c>
      <c r="J20" s="637">
        <f>'0422Master'!AF28</f>
        <v>2083</v>
      </c>
      <c r="K20" s="298"/>
      <c r="L20" s="635">
        <f>'0422Master'!AH28</f>
        <v>52584</v>
      </c>
      <c r="M20" s="298">
        <v>13</v>
      </c>
      <c r="N20" s="635">
        <f>'0422Master'!AM28</f>
        <v>58276.47206</v>
      </c>
      <c r="O20" s="636">
        <f>'0422Master'!AQ28</f>
        <v>0</v>
      </c>
      <c r="P20" s="636">
        <f>'0422Master'!AR28</f>
        <v>283</v>
      </c>
      <c r="Q20" s="636">
        <f>'0422Master'!AP28</f>
        <v>200</v>
      </c>
      <c r="R20" s="636">
        <f>'0422Master'!AO28</f>
        <v>1800</v>
      </c>
      <c r="S20" s="638">
        <f>'0422Master'!AN28</f>
        <v>0</v>
      </c>
      <c r="T20" s="638">
        <f>'0422Master'!AS28</f>
        <v>2283</v>
      </c>
      <c r="U20" s="639">
        <f>'0422Master'!AT28</f>
        <v>55993.47206</v>
      </c>
      <c r="V20" s="642">
        <v>4.5</v>
      </c>
      <c r="W20" s="642">
        <v>0</v>
      </c>
      <c r="X20" s="642">
        <v>0</v>
      </c>
      <c r="Y20" s="642">
        <v>6</v>
      </c>
      <c r="Z20" s="452" t="str">
        <f>'0422Master'!AU28</f>
        <v>05.05.2022</v>
      </c>
      <c r="AA20" s="299" t="str">
        <f>'0422Master'!AV28</f>
        <v xml:space="preserve">ICICI BANK </v>
      </c>
      <c r="AB20" s="310" t="str">
        <f>'0422Master'!AW28</f>
        <v>056601532765</v>
      </c>
    </row>
    <row r="21" spans="1:28" s="640" customFormat="1" ht="30.6" customHeight="1">
      <c r="A21" s="304">
        <v>14</v>
      </c>
      <c r="B21" s="779"/>
      <c r="C21" s="287" t="str">
        <f>'0422Master'!A29</f>
        <v>BITS-706</v>
      </c>
      <c r="D21" s="451" t="str">
        <f>'0422Master'!B29</f>
        <v>Arun Arra</v>
      </c>
      <c r="E21" s="635">
        <f>'0422Master'!Z29</f>
        <v>23140.2</v>
      </c>
      <c r="F21" s="635">
        <f>'0422Master'!AD29</f>
        <v>9256.08</v>
      </c>
      <c r="G21" s="636">
        <f>'0422Master'!AE29</f>
        <v>2083</v>
      </c>
      <c r="H21" s="637">
        <f>'0422Master'!AI29</f>
        <v>1554.6089999999999</v>
      </c>
      <c r="I21" s="637">
        <f>'0422Master'!AG29</f>
        <v>2117.7200000000012</v>
      </c>
      <c r="J21" s="637">
        <f>'0422Master'!AF29</f>
        <v>2083</v>
      </c>
      <c r="K21" s="298"/>
      <c r="L21" s="635">
        <f>'0422Master'!AH29</f>
        <v>38680</v>
      </c>
      <c r="M21" s="298">
        <v>14</v>
      </c>
      <c r="N21" s="635">
        <f>'0422Master'!AM29</f>
        <v>43276.002619999992</v>
      </c>
      <c r="O21" s="636">
        <f>'0422Master'!AQ29</f>
        <v>0</v>
      </c>
      <c r="P21" s="636">
        <f>'0422Master'!AR29</f>
        <v>283</v>
      </c>
      <c r="Q21" s="636">
        <f>'0422Master'!AP29</f>
        <v>200</v>
      </c>
      <c r="R21" s="636">
        <f>'0422Master'!AO29</f>
        <v>1800</v>
      </c>
      <c r="S21" s="638">
        <f>'0422Master'!AN29</f>
        <v>0</v>
      </c>
      <c r="T21" s="638">
        <f>'0422Master'!AS29</f>
        <v>2283</v>
      </c>
      <c r="U21" s="639">
        <f>'0422Master'!AT29</f>
        <v>40993.002619999992</v>
      </c>
      <c r="V21" s="642">
        <v>3</v>
      </c>
      <c r="W21" s="642">
        <v>0</v>
      </c>
      <c r="X21" s="642">
        <v>0</v>
      </c>
      <c r="Y21" s="642">
        <v>4.5</v>
      </c>
      <c r="Z21" s="452" t="str">
        <f>'0422Master'!AU29</f>
        <v>05.05.2022</v>
      </c>
      <c r="AA21" s="299" t="str">
        <f>'0422Master'!AV29</f>
        <v>SBI</v>
      </c>
      <c r="AB21" s="310" t="str">
        <f>'0422Master'!AW29</f>
        <v xml:space="preserve">A/C No : 32523021338, </v>
      </c>
    </row>
    <row r="22" spans="1:28" s="330" customFormat="1" ht="30.6" customHeight="1">
      <c r="A22" s="304">
        <v>15</v>
      </c>
      <c r="B22" s="297"/>
      <c r="C22" s="287" t="str">
        <f>'0422Master'!A30</f>
        <v>BITS-707</v>
      </c>
      <c r="D22" s="451" t="str">
        <f>'0422Master'!B30</f>
        <v>Ramya Nalla</v>
      </c>
      <c r="E22" s="635">
        <f>'0422Master'!Z30</f>
        <v>23140.2</v>
      </c>
      <c r="F22" s="635">
        <f>'0422Master'!AD30</f>
        <v>9256.08</v>
      </c>
      <c r="G22" s="636">
        <f>'0422Master'!AE30</f>
        <v>2083</v>
      </c>
      <c r="H22" s="637">
        <f>'0422Master'!AI30</f>
        <v>1554.6089999999999</v>
      </c>
      <c r="I22" s="637">
        <f>'0422Master'!AG30</f>
        <v>2117.7200000000012</v>
      </c>
      <c r="J22" s="637">
        <f>'0422Master'!AF30</f>
        <v>2083</v>
      </c>
      <c r="K22" s="298"/>
      <c r="L22" s="635">
        <f>'0422Master'!AH30</f>
        <v>38680</v>
      </c>
      <c r="M22" s="298">
        <v>15</v>
      </c>
      <c r="N22" s="635">
        <f>'0422Master'!AM30</f>
        <v>43276.002619999992</v>
      </c>
      <c r="O22" s="636">
        <f>'0422Master'!AQ30</f>
        <v>0</v>
      </c>
      <c r="P22" s="636">
        <f>'0422Master'!AR30</f>
        <v>283</v>
      </c>
      <c r="Q22" s="636">
        <f>'0422Master'!AP30</f>
        <v>200</v>
      </c>
      <c r="R22" s="636">
        <f>'0422Master'!AO30</f>
        <v>1800</v>
      </c>
      <c r="S22" s="638">
        <f>'0422Master'!AN30</f>
        <v>0</v>
      </c>
      <c r="T22" s="638">
        <f>'0422Master'!AS30</f>
        <v>2283</v>
      </c>
      <c r="U22" s="639">
        <f>'0422Master'!AT30</f>
        <v>40993.002619999992</v>
      </c>
      <c r="V22" s="642">
        <v>3</v>
      </c>
      <c r="W22" s="642">
        <v>1</v>
      </c>
      <c r="X22" s="642">
        <v>0</v>
      </c>
      <c r="Y22" s="642">
        <v>3.5</v>
      </c>
      <c r="Z22" s="452" t="str">
        <f>'0422Master'!AU30</f>
        <v>05.05.2022</v>
      </c>
      <c r="AA22" s="299" t="str">
        <f>'0422Master'!AV30</f>
        <v>SBI</v>
      </c>
      <c r="AB22" s="310" t="str">
        <f>'0422Master'!AW30</f>
        <v>A/C no: 37660478448</v>
      </c>
    </row>
    <row r="23" spans="1:28" ht="15.75">
      <c r="A23" s="304">
        <v>16</v>
      </c>
      <c r="B23" s="288"/>
      <c r="C23" s="287" t="str">
        <f>'0422Master'!A31</f>
        <v>BITS-709</v>
      </c>
      <c r="D23" s="451" t="str">
        <f>'0422Master'!B31</f>
        <v>Uma  Mahesh P</v>
      </c>
      <c r="E23" s="635">
        <f>'0422Master'!Z31</f>
        <v>22368.86</v>
      </c>
      <c r="F23" s="635">
        <f>'0422Master'!AD31</f>
        <v>8947.5439999999999</v>
      </c>
      <c r="G23" s="636">
        <f>'0422Master'!AE31</f>
        <v>2014</v>
      </c>
      <c r="H23" s="637">
        <f>'0422Master'!AI31</f>
        <v>1554.6089999999999</v>
      </c>
      <c r="I23" s="637">
        <f>'0422Master'!AG31</f>
        <v>2050.029333333332</v>
      </c>
      <c r="J23" s="637">
        <f>'0422Master'!AF31</f>
        <v>2014</v>
      </c>
      <c r="K23" s="298"/>
      <c r="L23" s="635">
        <f>'0422Master'!AH31</f>
        <v>37394.433333333334</v>
      </c>
      <c r="M23" s="298">
        <v>16</v>
      </c>
      <c r="N23" s="635">
        <f>'0422Master'!AM31</f>
        <v>41889.056165999995</v>
      </c>
      <c r="O23" s="636">
        <f>'0422Master'!AQ31</f>
        <v>0</v>
      </c>
      <c r="P23" s="636">
        <f>'0422Master'!AR31</f>
        <v>283</v>
      </c>
      <c r="Q23" s="636">
        <f>'0422Master'!AP31</f>
        <v>200</v>
      </c>
      <c r="R23" s="636">
        <f>'0422Master'!AO31</f>
        <v>1800</v>
      </c>
      <c r="S23" s="638">
        <f>'0422Master'!AN31</f>
        <v>0</v>
      </c>
      <c r="T23" s="638">
        <f>'0422Master'!AS31</f>
        <v>2283</v>
      </c>
      <c r="U23" s="639">
        <f>'0422Master'!AT31</f>
        <v>39606.056165999995</v>
      </c>
      <c r="V23" s="642">
        <v>3</v>
      </c>
      <c r="W23" s="642">
        <v>1</v>
      </c>
      <c r="X23" s="642">
        <v>0</v>
      </c>
      <c r="Y23" s="642">
        <v>3.5</v>
      </c>
      <c r="Z23" s="452" t="str">
        <f>'0422Master'!AU31</f>
        <v>05.05.2022</v>
      </c>
      <c r="AA23" s="299" t="str">
        <f>'0422Master'!AV31</f>
        <v>HDFC BANK</v>
      </c>
      <c r="AB23" s="310" t="str">
        <f>'0422Master'!AW31</f>
        <v>A/C NO 50100444213458</v>
      </c>
    </row>
    <row r="24" spans="1:28" ht="15.75">
      <c r="A24" s="304">
        <v>17</v>
      </c>
      <c r="B24" s="288"/>
      <c r="C24" s="287" t="str">
        <f>'0422Master'!A32</f>
        <v>BITS-713</v>
      </c>
      <c r="D24" s="451" t="str">
        <f>'0422Master'!B32</f>
        <v>NAGA SAI TEJA NUTHI</v>
      </c>
      <c r="E24" s="635">
        <f>'0422Master'!Z32</f>
        <v>23329.08</v>
      </c>
      <c r="F24" s="635">
        <f>'0422Master'!AD32</f>
        <v>9331.6320000000014</v>
      </c>
      <c r="G24" s="636">
        <f>'0422Master'!AE32</f>
        <v>1875</v>
      </c>
      <c r="H24" s="637">
        <f>'0422Master'!AI32</f>
        <v>1554.6089999999999</v>
      </c>
      <c r="I24" s="637">
        <f>'0422Master'!AG32</f>
        <v>2584.0880000000034</v>
      </c>
      <c r="J24" s="637">
        <f>'0422Master'!AF32</f>
        <v>1875</v>
      </c>
      <c r="K24" s="298"/>
      <c r="L24" s="635">
        <f>'0422Master'!AH32</f>
        <v>38994.800000000003</v>
      </c>
      <c r="M24" s="298">
        <v>17</v>
      </c>
      <c r="N24" s="635">
        <f>'0422Master'!AM32</f>
        <v>43615.627747999999</v>
      </c>
      <c r="O24" s="636">
        <f>'0422Master'!AQ32</f>
        <v>0</v>
      </c>
      <c r="P24" s="636">
        <f>'0422Master'!AR32</f>
        <v>283</v>
      </c>
      <c r="Q24" s="636">
        <f>'0422Master'!AP32</f>
        <v>200</v>
      </c>
      <c r="R24" s="636">
        <f>'0422Master'!AO32</f>
        <v>1800</v>
      </c>
      <c r="S24" s="638">
        <f>'0422Master'!AN32</f>
        <v>0</v>
      </c>
      <c r="T24" s="638">
        <f>'0422Master'!AS32</f>
        <v>2283</v>
      </c>
      <c r="U24" s="639">
        <f>'0422Master'!AT32</f>
        <v>41332.627747999999</v>
      </c>
      <c r="V24" s="642">
        <v>2</v>
      </c>
      <c r="W24" s="642">
        <v>1</v>
      </c>
      <c r="X24" s="642">
        <v>0</v>
      </c>
      <c r="Y24" s="642">
        <v>2.5</v>
      </c>
      <c r="Z24" s="452" t="str">
        <f>'0422Master'!AU33</f>
        <v>05.05.2022</v>
      </c>
      <c r="AA24" s="299" t="str">
        <f>'0422Master'!AV32</f>
        <v>SBI</v>
      </c>
      <c r="AB24" s="310" t="str">
        <f>'0422Master'!AW32</f>
        <v>A/C NO 20297714176</v>
      </c>
    </row>
    <row r="25" spans="1:28" ht="15.75">
      <c r="A25" s="304">
        <v>18</v>
      </c>
      <c r="B25" s="288"/>
      <c r="C25" s="287" t="str">
        <f>'0422Master'!A33</f>
        <v>BITS-714</v>
      </c>
      <c r="D25" s="451" t="str">
        <f>'0422Master'!B33</f>
        <v>Mani Krishna Nandineedi</v>
      </c>
      <c r="E25" s="635">
        <f>'0422Master'!Z33</f>
        <v>23140.2</v>
      </c>
      <c r="F25" s="635">
        <f>'0422Master'!AD33</f>
        <v>9256.08</v>
      </c>
      <c r="G25" s="636">
        <f>'0422Master'!AE33</f>
        <v>2083</v>
      </c>
      <c r="H25" s="637">
        <f>'0422Master'!AI33</f>
        <v>1554.6089999999999</v>
      </c>
      <c r="I25" s="637">
        <f>'0422Master'!AG33</f>
        <v>2117.7200000000012</v>
      </c>
      <c r="J25" s="637">
        <f>'0422Master'!AF33</f>
        <v>2083</v>
      </c>
      <c r="K25" s="298"/>
      <c r="L25" s="635">
        <f>'0422Master'!AH33</f>
        <v>38680</v>
      </c>
      <c r="M25" s="298">
        <v>18</v>
      </c>
      <c r="N25" s="635">
        <f>'0422Master'!AM33</f>
        <v>43276.002619999992</v>
      </c>
      <c r="O25" s="636">
        <f>'0422Master'!AQ33</f>
        <v>0</v>
      </c>
      <c r="P25" s="636">
        <f>'0422Master'!AR33</f>
        <v>283</v>
      </c>
      <c r="Q25" s="636">
        <f>'0422Master'!AP33</f>
        <v>200</v>
      </c>
      <c r="R25" s="636">
        <f>'0422Master'!AO33</f>
        <v>1800</v>
      </c>
      <c r="S25" s="638">
        <f>'0422Master'!AN33</f>
        <v>0</v>
      </c>
      <c r="T25" s="638">
        <f>'0422Master'!AS33</f>
        <v>2283</v>
      </c>
      <c r="U25" s="639">
        <f>'0422Master'!AT33</f>
        <v>40993.002619999992</v>
      </c>
      <c r="V25" s="642">
        <v>3</v>
      </c>
      <c r="W25" s="642">
        <v>0</v>
      </c>
      <c r="X25" s="642">
        <v>0</v>
      </c>
      <c r="Y25" s="642">
        <v>4.5</v>
      </c>
      <c r="Z25" s="452" t="str">
        <f>'0422Master'!AU34</f>
        <v>05.05.2022</v>
      </c>
      <c r="AA25" s="299" t="str">
        <f>'0422Master'!AV33</f>
        <v>HDFC BANK</v>
      </c>
      <c r="AB25" s="310" t="str">
        <f>'0422Master'!AW33</f>
        <v>A/C NO 50100360114888</v>
      </c>
    </row>
    <row r="26" spans="1:28" s="330" customFormat="1" ht="15.75">
      <c r="A26" s="304">
        <v>19</v>
      </c>
      <c r="C26" s="287" t="str">
        <f>'0422Master'!A34</f>
        <v>BITS-715</v>
      </c>
      <c r="D26" s="451" t="str">
        <f>'0422Master'!B34</f>
        <v>Sushma P</v>
      </c>
      <c r="E26" s="635">
        <f>'0422Master'!Z34</f>
        <v>23140.2</v>
      </c>
      <c r="F26" s="635">
        <f>'0422Master'!AD34</f>
        <v>9256.08</v>
      </c>
      <c r="G26" s="636">
        <f>'0422Master'!AE34</f>
        <v>2083</v>
      </c>
      <c r="H26" s="637">
        <f>'0422Master'!AI34</f>
        <v>1554.6089999999999</v>
      </c>
      <c r="I26" s="637">
        <f>'0422Master'!AG34</f>
        <v>2117.7200000000012</v>
      </c>
      <c r="J26" s="637">
        <f>'0422Master'!AF34</f>
        <v>2083</v>
      </c>
      <c r="K26" s="298"/>
      <c r="L26" s="635">
        <f>'0422Master'!AH34</f>
        <v>38680</v>
      </c>
      <c r="M26" s="298">
        <v>19</v>
      </c>
      <c r="N26" s="635">
        <f>'0422Master'!AM34</f>
        <v>43276.002619999992</v>
      </c>
      <c r="O26" s="636">
        <f>'0422Master'!AQ34</f>
        <v>0</v>
      </c>
      <c r="P26" s="636">
        <f>'0422Master'!AR34</f>
        <v>283</v>
      </c>
      <c r="Q26" s="636">
        <f>'0422Master'!AP34</f>
        <v>200</v>
      </c>
      <c r="R26" s="636">
        <f>'0422Master'!AO34</f>
        <v>1800</v>
      </c>
      <c r="S26" s="638">
        <f>'0422Master'!AN34</f>
        <v>0</v>
      </c>
      <c r="T26" s="638">
        <f>'0422Master'!AS34</f>
        <v>2283</v>
      </c>
      <c r="U26" s="639">
        <f>'0422Master'!AT34</f>
        <v>40993.002619999992</v>
      </c>
      <c r="V26" s="642">
        <v>3</v>
      </c>
      <c r="W26" s="642">
        <v>0</v>
      </c>
      <c r="X26" s="642">
        <v>0</v>
      </c>
      <c r="Y26" s="642">
        <v>4.5</v>
      </c>
      <c r="Z26" s="452" t="str">
        <f>'0422Master'!AU35</f>
        <v>05.05.2022</v>
      </c>
      <c r="AA26" s="299" t="str">
        <f>'0422Master'!AV34</f>
        <v>SBI</v>
      </c>
      <c r="AB26" s="310" t="str">
        <f>'0422Master'!AW34</f>
        <v>A/C NO 62111073370</v>
      </c>
    </row>
    <row r="27" spans="1:28" s="330" customFormat="1" ht="15.75">
      <c r="A27" s="304">
        <v>20</v>
      </c>
      <c r="C27" s="287" t="str">
        <f>'0422Master'!A35</f>
        <v>BITS-741</v>
      </c>
      <c r="D27" s="451" t="str">
        <f>'0422Master'!B35</f>
        <v>susheelKumar Gandla</v>
      </c>
      <c r="E27" s="635">
        <f>'0422Master'!Z35</f>
        <v>48166.8</v>
      </c>
      <c r="F27" s="635">
        <f>'0422Master'!AD35</f>
        <v>19266.72</v>
      </c>
      <c r="G27" s="636">
        <f>'0422Master'!AE35</f>
        <v>2083</v>
      </c>
      <c r="H27" s="637">
        <f>'0422Master'!AI35</f>
        <v>1554.6089999999999</v>
      </c>
      <c r="I27" s="637">
        <f>'0422Master'!AG35</f>
        <v>8791.4799999999959</v>
      </c>
      <c r="J27" s="637">
        <f>'0422Master'!AF35</f>
        <v>2083</v>
      </c>
      <c r="K27" s="298"/>
      <c r="L27" s="635">
        <f>'0422Master'!AH35</f>
        <v>80391</v>
      </c>
      <c r="M27" s="298">
        <v>20</v>
      </c>
      <c r="N27" s="635">
        <f>'0422Master'!AM35</f>
        <v>88276.332079999993</v>
      </c>
      <c r="O27" s="636">
        <f>'0422Master'!AQ35</f>
        <v>0</v>
      </c>
      <c r="P27" s="636">
        <f>'0422Master'!AR35</f>
        <v>0</v>
      </c>
      <c r="Q27" s="636">
        <f>'0422Master'!AP35</f>
        <v>200</v>
      </c>
      <c r="R27" s="636">
        <f>'0422Master'!AO35</f>
        <v>0</v>
      </c>
      <c r="S27" s="638">
        <f>'0422Master'!AN35</f>
        <v>0</v>
      </c>
      <c r="T27" s="638">
        <f>'0422Master'!AS35</f>
        <v>200</v>
      </c>
      <c r="U27" s="639">
        <f>'0422Master'!AT35</f>
        <v>88076.332079999993</v>
      </c>
      <c r="V27" s="642">
        <v>0</v>
      </c>
      <c r="W27" s="642">
        <v>0</v>
      </c>
      <c r="X27" s="642">
        <v>0</v>
      </c>
      <c r="Y27" s="642">
        <v>1.5</v>
      </c>
      <c r="Z27" s="452">
        <f>'0422Master'!AU36</f>
        <v>0</v>
      </c>
      <c r="AA27" s="299" t="str">
        <f>'0422Master'!AV35</f>
        <v>ICICI BANK</v>
      </c>
      <c r="AB27" s="310" t="str">
        <f>'0422Master'!AW35</f>
        <v>A/C NO 007601548378</v>
      </c>
    </row>
    <row r="28" spans="1:28" s="330" customFormat="1" ht="15.75">
      <c r="A28" s="353"/>
      <c r="C28" s="633"/>
      <c r="D28" s="634"/>
      <c r="E28" s="635">
        <f t="shared" ref="E28:J28" si="0">SUM(E8:E27)</f>
        <v>792977.47999999975</v>
      </c>
      <c r="F28" s="635">
        <f t="shared" si="0"/>
        <v>317190.99200000009</v>
      </c>
      <c r="G28" s="636">
        <f t="shared" si="0"/>
        <v>41036</v>
      </c>
      <c r="H28" s="637">
        <f t="shared" si="0"/>
        <v>31092.180000000004</v>
      </c>
      <c r="I28" s="637">
        <f t="shared" si="0"/>
        <v>131648.66133333329</v>
      </c>
      <c r="J28" s="637">
        <f t="shared" si="0"/>
        <v>41036</v>
      </c>
      <c r="K28" s="298"/>
      <c r="L28" s="635">
        <f t="shared" ref="L28:U28" si="1">SUM(L8:L27)</f>
        <v>1323889.1333333333</v>
      </c>
      <c r="M28" s="298">
        <f t="shared" si="1"/>
        <v>210</v>
      </c>
      <c r="N28" s="635">
        <f t="shared" si="1"/>
        <v>1459204.9867879997</v>
      </c>
      <c r="O28" s="636">
        <f t="shared" si="1"/>
        <v>0</v>
      </c>
      <c r="P28" s="636">
        <f t="shared" si="1"/>
        <v>5291</v>
      </c>
      <c r="Q28" s="636">
        <f t="shared" si="1"/>
        <v>4000</v>
      </c>
      <c r="R28" s="636">
        <f t="shared" si="1"/>
        <v>34200</v>
      </c>
      <c r="S28" s="638">
        <f t="shared" si="1"/>
        <v>0</v>
      </c>
      <c r="T28" s="638">
        <f t="shared" si="1"/>
        <v>43491</v>
      </c>
      <c r="U28" s="639">
        <f t="shared" si="1"/>
        <v>1415713.9867879997</v>
      </c>
      <c r="V28" s="785"/>
      <c r="W28" s="785"/>
      <c r="X28" s="785"/>
      <c r="Y28" s="785"/>
      <c r="Z28" s="356"/>
      <c r="AA28" s="356"/>
      <c r="AB28" s="357"/>
    </row>
    <row r="29" spans="1:28" s="330" customFormat="1" ht="15.75">
      <c r="A29" s="353"/>
      <c r="C29" s="633"/>
      <c r="D29" s="634"/>
      <c r="E29" s="780"/>
      <c r="F29" s="780"/>
      <c r="G29" s="781"/>
      <c r="H29" s="782"/>
      <c r="I29" s="782"/>
      <c r="J29" s="782"/>
      <c r="K29" s="355"/>
      <c r="L29" s="780"/>
      <c r="M29" s="355"/>
      <c r="N29" s="780"/>
      <c r="O29" s="781"/>
      <c r="P29" s="781"/>
      <c r="Q29" s="781"/>
      <c r="R29" s="781"/>
      <c r="S29" s="783"/>
      <c r="T29" s="783"/>
      <c r="U29" s="784"/>
      <c r="V29" s="785"/>
      <c r="W29" s="785"/>
      <c r="X29" s="785"/>
      <c r="Y29" s="785"/>
      <c r="Z29" s="356"/>
      <c r="AA29" s="356"/>
      <c r="AB29" s="357"/>
    </row>
    <row r="30" spans="1:28" s="330" customFormat="1" ht="15.75">
      <c r="A30" s="353"/>
      <c r="C30" s="633"/>
      <c r="D30" s="634"/>
      <c r="E30" s="780"/>
      <c r="F30" s="780"/>
      <c r="G30" s="781"/>
      <c r="H30" s="782"/>
      <c r="I30" s="782"/>
      <c r="J30" s="782"/>
      <c r="K30" s="355"/>
      <c r="L30" s="780"/>
      <c r="M30" s="355"/>
      <c r="N30" s="780"/>
      <c r="O30" s="781"/>
      <c r="P30" s="781"/>
      <c r="Q30" s="781"/>
      <c r="R30" s="781"/>
      <c r="S30" s="783"/>
      <c r="T30" s="783"/>
      <c r="U30" s="784"/>
      <c r="V30" s="785"/>
      <c r="W30" s="785"/>
      <c r="X30" s="785"/>
      <c r="Y30" s="785"/>
      <c r="Z30" s="356"/>
      <c r="AA30" s="356"/>
      <c r="AB30" s="357"/>
    </row>
    <row r="31" spans="1:28" s="330" customFormat="1" ht="15.75">
      <c r="A31" s="353"/>
      <c r="C31" s="633"/>
      <c r="D31" s="634"/>
      <c r="E31" s="780"/>
      <c r="F31" s="780"/>
      <c r="G31" s="781"/>
      <c r="H31" s="782"/>
      <c r="I31" s="782"/>
      <c r="J31" s="782"/>
      <c r="K31" s="355"/>
      <c r="L31" s="780"/>
      <c r="M31" s="355"/>
      <c r="N31" s="780"/>
      <c r="O31" s="781"/>
      <c r="P31" s="781"/>
      <c r="Q31" s="781"/>
      <c r="R31" s="781"/>
      <c r="S31" s="783"/>
      <c r="T31" s="783"/>
      <c r="U31" s="784"/>
      <c r="V31" s="785"/>
      <c r="W31" s="785"/>
      <c r="X31" s="785"/>
      <c r="Y31" s="785"/>
      <c r="Z31" s="356"/>
      <c r="AA31" s="356"/>
      <c r="AB31" s="357"/>
    </row>
    <row r="32" spans="1:28" s="330" customFormat="1" ht="15.75">
      <c r="A32" s="353"/>
      <c r="C32" s="633"/>
      <c r="D32" s="634"/>
      <c r="E32" s="780"/>
      <c r="F32" s="780"/>
      <c r="G32" s="781"/>
      <c r="H32" s="782"/>
      <c r="I32" s="782"/>
      <c r="J32" s="782"/>
      <c r="K32" s="355"/>
      <c r="L32" s="780"/>
      <c r="M32" s="355"/>
      <c r="N32" s="780"/>
      <c r="O32" s="781"/>
      <c r="P32" s="781"/>
      <c r="Q32" s="781"/>
      <c r="R32" s="781"/>
      <c r="S32" s="783"/>
      <c r="T32" s="783"/>
      <c r="U32" s="784"/>
      <c r="V32" s="785"/>
      <c r="W32" s="785"/>
      <c r="X32" s="785"/>
      <c r="Y32" s="785"/>
      <c r="Z32" s="356"/>
      <c r="AA32" s="356"/>
      <c r="AB32" s="357"/>
    </row>
    <row r="38" spans="24:31">
      <c r="X38" s="1058" t="s">
        <v>38</v>
      </c>
      <c r="Y38" s="1058"/>
      <c r="Z38" s="1058"/>
      <c r="AA38" s="1058"/>
      <c r="AB38" s="1058"/>
      <c r="AC38" s="1058"/>
      <c r="AD38" s="1058"/>
      <c r="AE38" s="1058"/>
    </row>
  </sheetData>
  <mergeCells count="5">
    <mergeCell ref="A2:AB2"/>
    <mergeCell ref="X38:AE38"/>
    <mergeCell ref="A3:AB3"/>
    <mergeCell ref="A4:AB4"/>
    <mergeCell ref="A5:AB5"/>
  </mergeCells>
  <pageMargins left="0.70866141732283472" right="0.70866141732283472" top="0.74803149606299213" bottom="0.74803149606299213" header="0.31496062992125984" footer="0.31496062992125984"/>
  <pageSetup paperSize="8" scale="65" orientation="landscape"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73"/>
  <sheetViews>
    <sheetView view="pageBreakPreview" topLeftCell="A1012" zoomScaleNormal="100" zoomScaleSheetLayoutView="100" workbookViewId="0">
      <selection activeCell="J1010" sqref="J1010"/>
    </sheetView>
  </sheetViews>
  <sheetFormatPr defaultRowHeight="15"/>
  <cols>
    <col min="10" max="10" width="14.5703125" customWidth="1"/>
    <col min="12" max="12" width="24.140625" customWidth="1"/>
    <col min="15" max="15" width="7.140625" customWidth="1"/>
    <col min="16" max="16" width="7.85546875" customWidth="1"/>
  </cols>
  <sheetData>
    <row r="1" spans="2:12" ht="32.25">
      <c r="B1" s="1104" t="s">
        <v>107</v>
      </c>
      <c r="C1" s="1105"/>
      <c r="D1" s="1105"/>
      <c r="E1" s="1105"/>
      <c r="F1" s="1105"/>
      <c r="G1" s="1105"/>
      <c r="H1" s="1105"/>
      <c r="I1" s="1105"/>
      <c r="J1" s="1105"/>
      <c r="K1" s="1105"/>
      <c r="L1" s="1106"/>
    </row>
    <row r="2" spans="2:12" ht="23.25">
      <c r="B2" s="1084" t="s">
        <v>108</v>
      </c>
      <c r="C2" s="1085"/>
      <c r="D2" s="1085"/>
      <c r="E2" s="1085"/>
      <c r="F2" s="1085"/>
      <c r="G2" s="1085"/>
      <c r="H2" s="1085"/>
      <c r="I2" s="1085"/>
      <c r="J2" s="1085"/>
      <c r="K2" s="1085"/>
      <c r="L2" s="1086"/>
    </row>
    <row r="3" spans="2:12" ht="16.5" thickBot="1">
      <c r="B3" s="1087" t="s">
        <v>382</v>
      </c>
      <c r="C3" s="1088"/>
      <c r="D3" s="1088"/>
      <c r="E3" s="1088"/>
      <c r="F3" s="1088"/>
      <c r="G3" s="1088"/>
      <c r="H3" s="1088"/>
      <c r="I3" s="1088"/>
      <c r="J3" s="1088"/>
      <c r="K3" s="1088"/>
      <c r="L3" s="1089"/>
    </row>
    <row r="4" spans="2:12">
      <c r="B4" s="1090" t="s">
        <v>109</v>
      </c>
      <c r="C4" s="1091"/>
      <c r="D4" s="1091"/>
      <c r="E4" s="1091"/>
      <c r="F4" s="1091"/>
      <c r="G4" s="313"/>
      <c r="H4" s="1092" t="s">
        <v>110</v>
      </c>
      <c r="I4" s="1092"/>
      <c r="J4" s="1092"/>
      <c r="K4" s="1092"/>
      <c r="L4" s="1093"/>
    </row>
    <row r="5" spans="2:12" ht="15.75" thickBot="1">
      <c r="B5" s="1090"/>
      <c r="C5" s="1091"/>
      <c r="D5" s="1091"/>
      <c r="E5" s="1091"/>
      <c r="F5" s="1091"/>
      <c r="G5" s="313"/>
      <c r="H5" s="1092"/>
      <c r="I5" s="1092"/>
      <c r="J5" s="1092"/>
      <c r="K5" s="1092"/>
      <c r="L5" s="1093"/>
    </row>
    <row r="6" spans="2:12">
      <c r="B6" s="73"/>
      <c r="C6" s="74"/>
      <c r="D6" s="74"/>
      <c r="E6" s="74"/>
      <c r="F6" s="75"/>
      <c r="G6" s="313"/>
      <c r="H6" s="73"/>
      <c r="I6" s="74"/>
      <c r="J6" s="74"/>
      <c r="K6" s="74"/>
      <c r="L6" s="75"/>
    </row>
    <row r="7" spans="2:12">
      <c r="B7" s="76" t="str">
        <f>'0422Master'!F5</f>
        <v>Burgeon IT Services Pvt.Ltd.</v>
      </c>
      <c r="C7" s="313"/>
      <c r="D7" s="313"/>
      <c r="E7" s="313"/>
      <c r="F7" s="13"/>
      <c r="G7" s="313"/>
      <c r="H7" s="76" t="str">
        <f>'0422Master'!AP5</f>
        <v>Burgeon IT Services Pvt.Ltd.</v>
      </c>
      <c r="I7" s="313"/>
      <c r="J7" s="313"/>
      <c r="K7" s="313"/>
      <c r="L7" s="13"/>
    </row>
    <row r="8" spans="2:12">
      <c r="B8" s="12"/>
      <c r="C8" s="313"/>
      <c r="D8" s="313"/>
      <c r="E8" s="313"/>
      <c r="F8" s="13"/>
      <c r="G8" s="313"/>
      <c r="H8" s="12"/>
      <c r="I8" s="313"/>
      <c r="J8" s="313"/>
      <c r="K8" s="313"/>
      <c r="L8" s="13"/>
    </row>
    <row r="9" spans="2:12">
      <c r="B9" s="76" t="str">
        <f>'0422Master'!F6</f>
        <v>Siri Mansion LIGB 436 Dr.A S Rao Nagar,Hyderabad</v>
      </c>
      <c r="C9" s="313"/>
      <c r="D9" s="313"/>
      <c r="E9" s="313"/>
      <c r="F9" s="13"/>
      <c r="G9" s="313"/>
      <c r="H9" s="76" t="str">
        <f>'0422Master'!AP6</f>
        <v>Siri Mansion LIGB 436 Dr.A S Rao Nagar,Hyderabad</v>
      </c>
      <c r="I9" s="313"/>
      <c r="J9" s="313"/>
      <c r="K9" s="313"/>
      <c r="L9" s="13"/>
    </row>
    <row r="10" spans="2:12" ht="15.75" thickBot="1">
      <c r="B10" s="24"/>
      <c r="C10" s="22"/>
      <c r="D10" s="22"/>
      <c r="E10" s="22"/>
      <c r="F10" s="23"/>
      <c r="G10" s="313"/>
      <c r="H10" s="24"/>
      <c r="I10" s="22"/>
      <c r="J10" s="22"/>
      <c r="K10" s="22"/>
      <c r="L10" s="23"/>
    </row>
    <row r="11" spans="2:12">
      <c r="B11" s="12"/>
      <c r="C11" s="313"/>
      <c r="D11" s="313"/>
      <c r="E11" s="313"/>
      <c r="F11" s="313"/>
      <c r="G11" s="313"/>
      <c r="H11" s="313"/>
      <c r="I11" s="313"/>
      <c r="J11" s="313" t="s">
        <v>111</v>
      </c>
      <c r="K11" s="313"/>
      <c r="L11" s="13"/>
    </row>
    <row r="12" spans="2:12">
      <c r="B12" s="1094" t="s">
        <v>112</v>
      </c>
      <c r="C12" s="1095"/>
      <c r="D12" s="1095"/>
      <c r="E12" s="1095"/>
      <c r="F12" s="1095"/>
      <c r="G12" s="313"/>
      <c r="H12" s="1095" t="s">
        <v>4</v>
      </c>
      <c r="I12" s="1095"/>
      <c r="J12" s="1095"/>
      <c r="K12" s="1095"/>
      <c r="L12" s="1096"/>
    </row>
    <row r="13" spans="2:12" ht="15.75" thickBot="1">
      <c r="B13" s="12"/>
      <c r="C13" s="313"/>
      <c r="D13" s="313"/>
      <c r="E13" s="313"/>
      <c r="F13" s="313"/>
      <c r="G13" s="313"/>
      <c r="H13" s="313"/>
      <c r="I13" s="313"/>
      <c r="J13" s="313"/>
      <c r="K13" s="313"/>
      <c r="L13" s="13"/>
    </row>
    <row r="14" spans="2:12">
      <c r="B14" s="73"/>
      <c r="C14" s="74"/>
      <c r="D14" s="74"/>
      <c r="E14" s="74"/>
      <c r="F14" s="75"/>
      <c r="G14" s="313"/>
      <c r="H14" s="77"/>
      <c r="I14" s="78"/>
      <c r="J14" s="78"/>
      <c r="K14" s="78"/>
      <c r="L14" s="79"/>
    </row>
    <row r="15" spans="2:12">
      <c r="B15" s="12"/>
      <c r="C15" s="313"/>
      <c r="D15" s="313"/>
      <c r="E15" s="313"/>
      <c r="F15" s="13"/>
      <c r="G15" s="313"/>
      <c r="H15" s="76" t="str">
        <f>'0422Master'!AP10</f>
        <v>INFOSYS  LTD.IL Pune SEZ Unit-II,Plot No. 24/3</v>
      </c>
      <c r="I15" s="316"/>
      <c r="J15" s="316"/>
      <c r="K15" s="316"/>
      <c r="L15" s="80"/>
    </row>
    <row r="16" spans="2:12">
      <c r="B16" s="76" t="str">
        <f>'0422Master'!F8</f>
        <v>IT SUPPORTIVE SERVICES&amp; PUNE SEZ UNIT-II</v>
      </c>
      <c r="C16" s="313"/>
      <c r="D16" s="313"/>
      <c r="E16" s="313"/>
      <c r="F16" s="13"/>
      <c r="G16" s="313"/>
      <c r="H16" s="76"/>
      <c r="I16" s="316"/>
      <c r="J16" s="316"/>
      <c r="K16" s="316"/>
      <c r="L16" s="80"/>
    </row>
    <row r="17" spans="2:13">
      <c r="B17" s="12"/>
      <c r="C17" s="313"/>
      <c r="D17" s="313"/>
      <c r="E17" s="313"/>
      <c r="F17" s="13"/>
      <c r="G17" s="313"/>
      <c r="H17" s="76" t="str">
        <f>'0422Master'!AP11</f>
        <v>Rajiv gandhi Info tech park,Village Mann,Pune,Maharashtra 411057</v>
      </c>
      <c r="I17" s="316"/>
      <c r="J17" s="316"/>
      <c r="K17" s="316"/>
      <c r="L17" s="80"/>
    </row>
    <row r="18" spans="2:13" ht="15.75" thickBot="1">
      <c r="B18" s="24"/>
      <c r="C18" s="22"/>
      <c r="D18" s="22"/>
      <c r="E18" s="22"/>
      <c r="F18" s="23"/>
      <c r="G18" s="313"/>
      <c r="H18" s="76"/>
      <c r="I18" s="316"/>
      <c r="J18" s="316"/>
      <c r="K18" s="316"/>
      <c r="L18" s="80"/>
    </row>
    <row r="19" spans="2:13" ht="27.95" customHeight="1">
      <c r="B19" s="1068" t="s">
        <v>113</v>
      </c>
      <c r="C19" s="1069"/>
      <c r="D19" s="1069"/>
      <c r="E19" s="1069"/>
      <c r="F19" s="1069"/>
      <c r="G19" s="1097"/>
      <c r="H19" s="1098" t="str">
        <f>'0422Master'!B16</f>
        <v>Shaikh Mohammed Sartaj</v>
      </c>
      <c r="I19" s="1099"/>
      <c r="J19" s="1099"/>
      <c r="K19" s="1099"/>
      <c r="L19" s="1100"/>
      <c r="M19">
        <v>2</v>
      </c>
    </row>
    <row r="20" spans="2:13" ht="27.95" customHeight="1" thickBot="1">
      <c r="B20" s="362"/>
      <c r="C20" s="363"/>
      <c r="D20" s="363"/>
      <c r="E20" s="363"/>
      <c r="F20" s="363"/>
      <c r="G20" s="365"/>
      <c r="H20" s="1101" t="str">
        <f>'0422Master'!G16</f>
        <v>plot no 110, Sadatnagar, Near Railway station, Aurangabad, 431001</v>
      </c>
      <c r="I20" s="1102"/>
      <c r="J20" s="1102"/>
      <c r="K20" s="1102"/>
      <c r="L20" s="1103"/>
    </row>
    <row r="21" spans="2:13" ht="27.95" customHeight="1">
      <c r="B21" s="1072" t="s">
        <v>114</v>
      </c>
      <c r="C21" s="1073"/>
      <c r="D21" s="1073"/>
      <c r="E21" s="1073"/>
      <c r="F21" s="1073"/>
      <c r="G21" s="1073"/>
      <c r="H21" s="1074">
        <f>'0422Master'!AY16</f>
        <v>53</v>
      </c>
      <c r="I21" s="1075"/>
      <c r="J21" s="1075"/>
      <c r="K21" s="1075"/>
      <c r="L21" s="1076"/>
    </row>
    <row r="22" spans="2:13" ht="27.95" customHeight="1">
      <c r="B22" s="1068" t="s">
        <v>115</v>
      </c>
      <c r="C22" s="1069"/>
      <c r="D22" s="1069"/>
      <c r="E22" s="1069"/>
      <c r="F22" s="1069"/>
      <c r="G22" s="1069"/>
      <c r="H22" s="1077" t="str">
        <f>'0422Master'!F16</f>
        <v>Network Security Admin</v>
      </c>
      <c r="I22" s="1070"/>
      <c r="J22" s="1070"/>
      <c r="K22" s="1070"/>
      <c r="L22" s="1071"/>
    </row>
    <row r="23" spans="2:13" ht="27.95" customHeight="1">
      <c r="B23" s="1068" t="s">
        <v>116</v>
      </c>
      <c r="C23" s="1069"/>
      <c r="D23" s="1069"/>
      <c r="E23" s="1069"/>
      <c r="F23" s="1069"/>
      <c r="G23" s="1069"/>
      <c r="H23" s="1078">
        <f>'0422Master'!N16</f>
        <v>44470</v>
      </c>
      <c r="I23" s="1079"/>
      <c r="J23" s="1079"/>
      <c r="K23" s="1079"/>
      <c r="L23" s="1080"/>
    </row>
    <row r="24" spans="2:13" ht="27.95" customHeight="1">
      <c r="B24" s="332" t="s">
        <v>117</v>
      </c>
      <c r="C24" s="86"/>
      <c r="D24" s="86"/>
      <c r="E24" s="86"/>
      <c r="F24" s="86"/>
      <c r="G24" s="86"/>
      <c r="H24" s="370"/>
      <c r="I24" s="88"/>
      <c r="J24" s="331" t="str">
        <f>'0422Master'!T16</f>
        <v>N/A</v>
      </c>
      <c r="K24" s="368"/>
      <c r="L24" s="369"/>
    </row>
    <row r="25" spans="2:13" ht="27.95" customHeight="1">
      <c r="B25" s="332" t="s">
        <v>118</v>
      </c>
      <c r="C25" s="86"/>
      <c r="D25" s="86"/>
      <c r="E25" s="86"/>
      <c r="F25" s="86"/>
      <c r="G25" s="367"/>
      <c r="H25" s="91"/>
      <c r="I25" s="92"/>
      <c r="J25" s="331" t="str">
        <f>'0422Master'!S16</f>
        <v>100468499225</v>
      </c>
      <c r="K25" s="92"/>
      <c r="L25" s="93"/>
    </row>
    <row r="26" spans="2:13" ht="27.95" customHeight="1">
      <c r="B26" s="1081" t="s">
        <v>119</v>
      </c>
      <c r="C26" s="1082"/>
      <c r="D26" s="1082"/>
      <c r="E26" s="1082"/>
      <c r="F26" s="1082"/>
      <c r="G26" s="1082"/>
      <c r="H26" s="1074">
        <f>'0422Master'!Y16</f>
        <v>80278</v>
      </c>
      <c r="I26" s="1075"/>
      <c r="J26" s="1075"/>
      <c r="K26" s="1075"/>
      <c r="L26" s="1076"/>
    </row>
    <row r="27" spans="2:13" ht="27.95" customHeight="1">
      <c r="B27" s="1068" t="s">
        <v>120</v>
      </c>
      <c r="C27" s="1069"/>
      <c r="D27" s="1069"/>
      <c r="E27" s="1069"/>
      <c r="F27" s="1069"/>
      <c r="G27" s="1069"/>
      <c r="H27" s="1083">
        <f>'0422Master'!D10</f>
        <v>44652</v>
      </c>
      <c r="I27" s="1070"/>
      <c r="J27" s="1070"/>
      <c r="K27" s="1070"/>
      <c r="L27" s="1071"/>
    </row>
    <row r="28" spans="2:13" ht="27.95" customHeight="1">
      <c r="B28" s="1068" t="s">
        <v>121</v>
      </c>
      <c r="C28" s="1069"/>
      <c r="D28" s="1069"/>
      <c r="E28" s="1069"/>
      <c r="F28" s="1069"/>
      <c r="G28" s="1069"/>
      <c r="H28" s="1070" t="s">
        <v>122</v>
      </c>
      <c r="I28" s="1070"/>
      <c r="J28" s="1070"/>
      <c r="K28" s="1070"/>
      <c r="L28" s="1071"/>
    </row>
    <row r="29" spans="2:13" ht="27.95" customHeight="1">
      <c r="B29" s="332" t="s">
        <v>123</v>
      </c>
      <c r="C29" s="86"/>
      <c r="D29" s="86"/>
      <c r="E29" s="86"/>
      <c r="F29" s="86"/>
      <c r="G29" s="367"/>
      <c r="H29" s="370"/>
      <c r="I29" s="368"/>
      <c r="J29" s="95">
        <f>'0422Master'!W16</f>
        <v>30</v>
      </c>
      <c r="K29" s="368"/>
      <c r="L29" s="369"/>
    </row>
    <row r="30" spans="2:13" ht="27.95" customHeight="1">
      <c r="B30" s="332" t="s">
        <v>124</v>
      </c>
      <c r="C30" s="86"/>
      <c r="D30" s="86"/>
      <c r="E30" s="86"/>
      <c r="F30" s="86"/>
      <c r="G30" s="367"/>
      <c r="H30" s="370"/>
      <c r="I30" s="368"/>
      <c r="J30" s="368" t="s">
        <v>37</v>
      </c>
      <c r="K30" s="368"/>
      <c r="L30" s="369"/>
    </row>
    <row r="31" spans="2:13" ht="27.95" customHeight="1">
      <c r="B31" s="332" t="s">
        <v>125</v>
      </c>
      <c r="C31" s="86"/>
      <c r="D31" s="86"/>
      <c r="E31" s="86"/>
      <c r="F31" s="86"/>
      <c r="G31" s="367"/>
      <c r="H31" s="370"/>
      <c r="I31" s="368"/>
      <c r="J31" s="95">
        <v>0</v>
      </c>
      <c r="K31" s="368"/>
      <c r="L31" s="369"/>
    </row>
    <row r="32" spans="2:13" ht="27.95" customHeight="1">
      <c r="B32" s="332" t="s">
        <v>126</v>
      </c>
      <c r="C32" s="86"/>
      <c r="D32" s="86"/>
      <c r="E32" s="86"/>
      <c r="F32" s="86"/>
      <c r="G32" s="367"/>
      <c r="H32" s="370"/>
      <c r="I32" s="368"/>
      <c r="J32" s="368">
        <v>0</v>
      </c>
      <c r="K32" s="368"/>
      <c r="L32" s="369"/>
    </row>
    <row r="33" spans="2:12" ht="27.95" customHeight="1">
      <c r="B33" s="332" t="s">
        <v>127</v>
      </c>
      <c r="C33" s="86"/>
      <c r="D33" s="86"/>
      <c r="E33" s="86"/>
      <c r="F33" s="86"/>
      <c r="G33" s="367"/>
      <c r="H33" s="370"/>
      <c r="I33" s="368"/>
      <c r="J33" s="311">
        <f>'0422Master'!AM16</f>
        <v>88276.332079999993</v>
      </c>
      <c r="K33" s="368"/>
      <c r="L33" s="369" t="s">
        <v>35</v>
      </c>
    </row>
    <row r="34" spans="2:12" ht="27.95" customHeight="1">
      <c r="B34" s="332" t="s">
        <v>128</v>
      </c>
      <c r="C34" s="86"/>
      <c r="D34" s="364" t="s">
        <v>32</v>
      </c>
      <c r="E34" s="366">
        <f>'0422Master'!AO16</f>
        <v>1800</v>
      </c>
      <c r="F34" s="364" t="s">
        <v>31</v>
      </c>
      <c r="G34" s="366">
        <f>'0422Master'!AN16</f>
        <v>0</v>
      </c>
      <c r="H34" s="364" t="s">
        <v>33</v>
      </c>
      <c r="I34" s="366">
        <f>'0422Master'!AP16</f>
        <v>200</v>
      </c>
      <c r="J34" s="364" t="s">
        <v>34</v>
      </c>
      <c r="K34" s="366">
        <f>'0422Master'!AQ16</f>
        <v>0</v>
      </c>
      <c r="L34" s="100">
        <f>'0422Master'!AR16</f>
        <v>254</v>
      </c>
    </row>
    <row r="35" spans="2:12" ht="27.95" customHeight="1">
      <c r="B35" s="332" t="s">
        <v>129</v>
      </c>
      <c r="C35" s="86"/>
      <c r="D35" s="86"/>
      <c r="E35" s="86"/>
      <c r="F35" s="86"/>
      <c r="G35" s="367"/>
      <c r="H35" s="370"/>
      <c r="I35" s="368"/>
      <c r="J35" s="95">
        <f>J33-(E34+G34+I34+K34+L34)</f>
        <v>86022.332079999993</v>
      </c>
      <c r="K35" s="368"/>
      <c r="L35" s="369"/>
    </row>
    <row r="36" spans="2:12" ht="27.95" customHeight="1">
      <c r="B36" s="333" t="s">
        <v>130</v>
      </c>
      <c r="C36" s="334"/>
      <c r="D36" s="334"/>
      <c r="E36" s="334"/>
      <c r="F36" s="334"/>
      <c r="G36" s="335"/>
      <c r="H36" s="336"/>
      <c r="I36" s="337"/>
      <c r="J36" s="337"/>
      <c r="K36" s="337"/>
      <c r="L36" s="97"/>
    </row>
    <row r="37" spans="2:12" ht="27.95" customHeight="1">
      <c r="B37" s="358" t="s">
        <v>131</v>
      </c>
      <c r="C37" s="316"/>
      <c r="D37" s="316"/>
      <c r="E37" s="316"/>
      <c r="F37" s="316"/>
      <c r="G37" s="359"/>
      <c r="H37" s="70"/>
      <c r="I37" s="313"/>
      <c r="J37" s="313"/>
      <c r="K37" s="313"/>
      <c r="L37" s="13"/>
    </row>
    <row r="38" spans="2:12" ht="27.95" customHeight="1">
      <c r="B38" s="12"/>
      <c r="C38" s="313"/>
      <c r="D38" s="313"/>
      <c r="E38" s="313"/>
      <c r="F38" s="313"/>
      <c r="G38" s="313"/>
      <c r="H38" s="313"/>
      <c r="I38" s="313"/>
      <c r="J38" s="313"/>
      <c r="K38" s="313"/>
      <c r="L38" s="13"/>
    </row>
    <row r="39" spans="2:12" ht="27.95" customHeight="1" thickBot="1">
      <c r="B39" s="24"/>
      <c r="C39" s="22"/>
      <c r="D39" s="22"/>
      <c r="E39" s="22"/>
      <c r="F39" s="22"/>
      <c r="G39" s="22"/>
      <c r="H39" s="22"/>
      <c r="I39" s="22"/>
      <c r="J39" s="22"/>
      <c r="K39" s="22"/>
      <c r="L39" s="23"/>
    </row>
    <row r="40" spans="2:12">
      <c r="B40" s="313"/>
      <c r="C40" s="313"/>
      <c r="D40" s="313"/>
      <c r="E40" s="313"/>
      <c r="F40" s="313"/>
      <c r="G40" s="313"/>
      <c r="H40" s="313"/>
      <c r="I40" s="313"/>
      <c r="J40" s="313"/>
      <c r="K40" s="313"/>
      <c r="L40" s="313"/>
    </row>
    <row r="41" spans="2:12">
      <c r="B41" s="313"/>
      <c r="C41" s="313"/>
      <c r="D41" s="313"/>
      <c r="E41" s="313"/>
      <c r="F41" s="313"/>
      <c r="G41" s="313"/>
      <c r="H41" s="313"/>
      <c r="I41" s="313"/>
      <c r="J41" s="313"/>
      <c r="K41" s="313"/>
      <c r="L41" s="313"/>
    </row>
    <row r="42" spans="2:12">
      <c r="B42" s="313"/>
      <c r="C42" s="313"/>
      <c r="D42" s="313"/>
      <c r="E42" s="313"/>
      <c r="F42" s="313"/>
      <c r="G42" s="313"/>
      <c r="H42" s="313"/>
      <c r="I42" s="313"/>
      <c r="J42" s="313"/>
      <c r="K42" s="313"/>
      <c r="L42" s="313"/>
    </row>
    <row r="43" spans="2:12">
      <c r="B43" s="313"/>
      <c r="C43" s="313"/>
      <c r="D43" s="313"/>
      <c r="E43" s="313"/>
      <c r="F43" s="313"/>
      <c r="G43" s="313"/>
      <c r="H43" s="313"/>
      <c r="I43" s="313"/>
      <c r="J43" s="313"/>
      <c r="K43" s="313"/>
      <c r="L43" s="313"/>
    </row>
    <row r="44" spans="2:12">
      <c r="B44" s="313"/>
      <c r="C44" s="313"/>
      <c r="D44" s="313"/>
      <c r="E44" s="313"/>
      <c r="F44" s="313"/>
      <c r="G44" s="313"/>
      <c r="H44" s="313"/>
      <c r="I44" s="313"/>
      <c r="J44" s="313"/>
      <c r="K44" s="313"/>
      <c r="L44" s="313"/>
    </row>
    <row r="45" spans="2:12">
      <c r="B45" s="313"/>
      <c r="C45" s="313"/>
      <c r="D45" s="313"/>
      <c r="E45" s="313"/>
      <c r="F45" s="313"/>
      <c r="G45" s="313"/>
      <c r="H45" s="313"/>
      <c r="I45" s="313"/>
      <c r="J45" s="313"/>
      <c r="K45" s="313"/>
      <c r="L45" s="313"/>
    </row>
    <row r="46" spans="2:12">
      <c r="B46" s="313"/>
      <c r="C46" s="313"/>
      <c r="D46" s="313"/>
      <c r="E46" s="313"/>
      <c r="F46" s="313"/>
      <c r="G46" s="313"/>
      <c r="H46" s="313"/>
      <c r="I46" s="313"/>
      <c r="J46" s="313"/>
      <c r="K46" s="313"/>
      <c r="L46" s="313"/>
    </row>
    <row r="47" spans="2:12">
      <c r="B47" s="313"/>
      <c r="C47" s="313"/>
      <c r="D47" s="313"/>
      <c r="E47" s="313"/>
      <c r="F47" s="313"/>
      <c r="G47" s="313"/>
      <c r="H47" s="313"/>
      <c r="I47" s="313"/>
      <c r="J47" s="313"/>
      <c r="K47" s="313"/>
      <c r="L47" s="313"/>
    </row>
    <row r="49" spans="2:12" s="330" customFormat="1"/>
    <row r="50" spans="2:12" s="330" customFormat="1"/>
    <row r="51" spans="2:12" s="330" customFormat="1"/>
    <row r="53" spans="2:12" s="330" customFormat="1"/>
    <row r="54" spans="2:12" s="330" customFormat="1" ht="29.25" customHeight="1" thickBot="1"/>
    <row r="55" spans="2:12" ht="32.25">
      <c r="B55" s="1104" t="s">
        <v>107</v>
      </c>
      <c r="C55" s="1105"/>
      <c r="D55" s="1105"/>
      <c r="E55" s="1105"/>
      <c r="F55" s="1105"/>
      <c r="G55" s="1105"/>
      <c r="H55" s="1105"/>
      <c r="I55" s="1105"/>
      <c r="J55" s="1105"/>
      <c r="K55" s="1105"/>
      <c r="L55" s="1106"/>
    </row>
    <row r="56" spans="2:12" ht="23.25">
      <c r="B56" s="1084" t="s">
        <v>108</v>
      </c>
      <c r="C56" s="1085"/>
      <c r="D56" s="1085"/>
      <c r="E56" s="1085"/>
      <c r="F56" s="1085"/>
      <c r="G56" s="1085"/>
      <c r="H56" s="1085"/>
      <c r="I56" s="1085"/>
      <c r="J56" s="1085"/>
      <c r="K56" s="1085"/>
      <c r="L56" s="1086"/>
    </row>
    <row r="57" spans="2:12" ht="16.5" thickBot="1">
      <c r="B57" s="1087" t="s">
        <v>382</v>
      </c>
      <c r="C57" s="1088"/>
      <c r="D57" s="1088"/>
      <c r="E57" s="1088"/>
      <c r="F57" s="1088"/>
      <c r="G57" s="1088"/>
      <c r="H57" s="1088"/>
      <c r="I57" s="1088"/>
      <c r="J57" s="1088"/>
      <c r="K57" s="1088"/>
      <c r="L57" s="1089"/>
    </row>
    <row r="58" spans="2:12">
      <c r="B58" s="1090" t="s">
        <v>109</v>
      </c>
      <c r="C58" s="1091"/>
      <c r="D58" s="1091"/>
      <c r="E58" s="1091"/>
      <c r="F58" s="1091"/>
      <c r="G58" s="313"/>
      <c r="H58" s="1092" t="s">
        <v>110</v>
      </c>
      <c r="I58" s="1092"/>
      <c r="J58" s="1092"/>
      <c r="K58" s="1092"/>
      <c r="L58" s="1093"/>
    </row>
    <row r="59" spans="2:12" ht="15.75" thickBot="1">
      <c r="B59" s="1090"/>
      <c r="C59" s="1091"/>
      <c r="D59" s="1091"/>
      <c r="E59" s="1091"/>
      <c r="F59" s="1091"/>
      <c r="G59" s="313"/>
      <c r="H59" s="1092"/>
      <c r="I59" s="1092"/>
      <c r="J59" s="1092"/>
      <c r="K59" s="1092"/>
      <c r="L59" s="1093"/>
    </row>
    <row r="60" spans="2:12">
      <c r="B60" s="73"/>
      <c r="C60" s="74"/>
      <c r="D60" s="74"/>
      <c r="E60" s="74"/>
      <c r="F60" s="75"/>
      <c r="G60" s="313"/>
      <c r="H60" s="73"/>
      <c r="I60" s="74"/>
      <c r="J60" s="74"/>
      <c r="K60" s="74"/>
      <c r="L60" s="75"/>
    </row>
    <row r="61" spans="2:12">
      <c r="B61" s="76" t="str">
        <f>'0422Master'!F5</f>
        <v>Burgeon IT Services Pvt.Ltd.</v>
      </c>
      <c r="C61" s="313"/>
      <c r="D61" s="313"/>
      <c r="E61" s="313"/>
      <c r="F61" s="13"/>
      <c r="G61" s="313"/>
      <c r="H61" s="76" t="str">
        <f>'0422Master'!AP5</f>
        <v>Burgeon IT Services Pvt.Ltd.</v>
      </c>
      <c r="I61" s="313"/>
      <c r="J61" s="313"/>
      <c r="K61" s="313"/>
      <c r="L61" s="13"/>
    </row>
    <row r="62" spans="2:12">
      <c r="B62" s="12"/>
      <c r="C62" s="313"/>
      <c r="D62" s="313"/>
      <c r="E62" s="313"/>
      <c r="F62" s="13"/>
      <c r="G62" s="313"/>
      <c r="H62" s="12"/>
      <c r="I62" s="313"/>
      <c r="J62" s="313"/>
      <c r="K62" s="313"/>
      <c r="L62" s="13"/>
    </row>
    <row r="63" spans="2:12">
      <c r="B63" s="76" t="str">
        <f>'0422Master'!F6</f>
        <v>Siri Mansion LIGB 436 Dr.A S Rao Nagar,Hyderabad</v>
      </c>
      <c r="C63" s="313"/>
      <c r="D63" s="313"/>
      <c r="E63" s="313"/>
      <c r="F63" s="13"/>
      <c r="G63" s="313"/>
      <c r="H63" s="76" t="str">
        <f>'0422Master'!AP6</f>
        <v>Siri Mansion LIGB 436 Dr.A S Rao Nagar,Hyderabad</v>
      </c>
      <c r="I63" s="313"/>
      <c r="J63" s="313"/>
      <c r="K63" s="313"/>
      <c r="L63" s="13"/>
    </row>
    <row r="64" spans="2:12" ht="15.75" thickBot="1">
      <c r="B64" s="24"/>
      <c r="C64" s="22"/>
      <c r="D64" s="22"/>
      <c r="E64" s="22"/>
      <c r="F64" s="23"/>
      <c r="G64" s="313"/>
      <c r="H64" s="24"/>
      <c r="I64" s="22"/>
      <c r="J64" s="22"/>
      <c r="K64" s="22"/>
      <c r="L64" s="23"/>
    </row>
    <row r="65" spans="2:12">
      <c r="B65" s="12"/>
      <c r="C65" s="313"/>
      <c r="D65" s="313"/>
      <c r="E65" s="313"/>
      <c r="F65" s="313"/>
      <c r="G65" s="313"/>
      <c r="H65" s="313"/>
      <c r="I65" s="313"/>
      <c r="J65" s="313" t="s">
        <v>111</v>
      </c>
      <c r="K65" s="313"/>
      <c r="L65" s="13"/>
    </row>
    <row r="66" spans="2:12">
      <c r="B66" s="1094" t="s">
        <v>112</v>
      </c>
      <c r="C66" s="1095"/>
      <c r="D66" s="1095"/>
      <c r="E66" s="1095"/>
      <c r="F66" s="1095"/>
      <c r="G66" s="313"/>
      <c r="H66" s="1095" t="s">
        <v>4</v>
      </c>
      <c r="I66" s="1095"/>
      <c r="J66" s="1095"/>
      <c r="K66" s="1095"/>
      <c r="L66" s="1096"/>
    </row>
    <row r="67" spans="2:12" ht="15.75" thickBot="1">
      <c r="B67" s="12"/>
      <c r="C67" s="313"/>
      <c r="D67" s="313"/>
      <c r="E67" s="313"/>
      <c r="F67" s="313"/>
      <c r="G67" s="313"/>
      <c r="H67" s="313"/>
      <c r="I67" s="313"/>
      <c r="J67" s="313"/>
      <c r="K67" s="313"/>
      <c r="L67" s="13"/>
    </row>
    <row r="68" spans="2:12">
      <c r="B68" s="73"/>
      <c r="C68" s="74"/>
      <c r="D68" s="74"/>
      <c r="E68" s="74"/>
      <c r="F68" s="75"/>
      <c r="G68" s="313"/>
      <c r="H68" s="77"/>
      <c r="I68" s="78"/>
      <c r="J68" s="78"/>
      <c r="K68" s="78"/>
      <c r="L68" s="79"/>
    </row>
    <row r="69" spans="2:12">
      <c r="B69" s="12"/>
      <c r="C69" s="313"/>
      <c r="D69" s="313"/>
      <c r="E69" s="313"/>
      <c r="F69" s="13"/>
      <c r="G69" s="313"/>
      <c r="H69" s="76" t="str">
        <f>'0422Master'!AP10</f>
        <v>INFOSYS  LTD.IL Pune SEZ Unit-II,Plot No. 24/3</v>
      </c>
      <c r="I69" s="316"/>
      <c r="J69" s="316"/>
      <c r="K69" s="316"/>
      <c r="L69" s="80"/>
    </row>
    <row r="70" spans="2:12">
      <c r="B70" s="76" t="str">
        <f>'0422Master'!F8</f>
        <v>IT SUPPORTIVE SERVICES&amp; PUNE SEZ UNIT-II</v>
      </c>
      <c r="C70" s="313"/>
      <c r="D70" s="313"/>
      <c r="E70" s="313"/>
      <c r="F70" s="13"/>
      <c r="G70" s="313"/>
      <c r="H70" s="76"/>
      <c r="I70" s="316"/>
      <c r="J70" s="316"/>
      <c r="K70" s="316"/>
      <c r="L70" s="80"/>
    </row>
    <row r="71" spans="2:12">
      <c r="B71" s="12"/>
      <c r="C71" s="313"/>
      <c r="D71" s="313"/>
      <c r="E71" s="313"/>
      <c r="F71" s="13"/>
      <c r="G71" s="313"/>
      <c r="H71" s="76" t="str">
        <f>'0422Master'!AP11</f>
        <v>Rajiv gandhi Info tech park,Village Mann,Pune,Maharashtra 411057</v>
      </c>
      <c r="I71" s="316"/>
      <c r="J71" s="316"/>
      <c r="K71" s="316"/>
      <c r="L71" s="80"/>
    </row>
    <row r="72" spans="2:12" ht="15.75" thickBot="1">
      <c r="B72" s="24"/>
      <c r="C72" s="22"/>
      <c r="D72" s="22"/>
      <c r="E72" s="22"/>
      <c r="F72" s="23"/>
      <c r="G72" s="313"/>
      <c r="H72" s="76"/>
      <c r="I72" s="316"/>
      <c r="J72" s="316"/>
      <c r="K72" s="316"/>
      <c r="L72" s="80"/>
    </row>
    <row r="73" spans="2:12" ht="27.95" customHeight="1">
      <c r="B73" s="1068" t="s">
        <v>113</v>
      </c>
      <c r="C73" s="1069"/>
      <c r="D73" s="1069"/>
      <c r="E73" s="1069"/>
      <c r="F73" s="1069"/>
      <c r="G73" s="1097"/>
      <c r="H73" s="1098" t="str">
        <f>'0422Master'!B17</f>
        <v>Moin Ahemad Jahur Ahemad Kumarkiri</v>
      </c>
      <c r="I73" s="1099"/>
      <c r="J73" s="1099"/>
      <c r="K73" s="1099"/>
      <c r="L73" s="1100"/>
    </row>
    <row r="74" spans="2:12" ht="27.95" customHeight="1" thickBot="1">
      <c r="B74" s="377"/>
      <c r="C74" s="378"/>
      <c r="D74" s="378"/>
      <c r="E74" s="378"/>
      <c r="F74" s="378"/>
      <c r="G74" s="379"/>
      <c r="H74" s="1101" t="str">
        <f>'0422Master'!J17</f>
        <v>River Residency, Chikhali , Pune</v>
      </c>
      <c r="I74" s="1102"/>
      <c r="J74" s="1102"/>
      <c r="K74" s="1102"/>
      <c r="L74" s="1103"/>
    </row>
    <row r="75" spans="2:12" ht="27.95" customHeight="1">
      <c r="B75" s="1072" t="s">
        <v>114</v>
      </c>
      <c r="C75" s="1073"/>
      <c r="D75" s="1073"/>
      <c r="E75" s="1073"/>
      <c r="F75" s="1073"/>
      <c r="G75" s="1073"/>
      <c r="H75" s="1074">
        <f>'0422Master'!AY17</f>
        <v>54</v>
      </c>
      <c r="I75" s="1075"/>
      <c r="J75" s="1075"/>
      <c r="K75" s="1075"/>
      <c r="L75" s="1076"/>
    </row>
    <row r="76" spans="2:12" ht="27.95" customHeight="1">
      <c r="B76" s="1068" t="s">
        <v>115</v>
      </c>
      <c r="C76" s="1069"/>
      <c r="D76" s="1069"/>
      <c r="E76" s="1069"/>
      <c r="F76" s="1069"/>
      <c r="G76" s="1069"/>
      <c r="H76" s="1077" t="str">
        <f>'0422Master'!F17</f>
        <v>Infrastructure Lead</v>
      </c>
      <c r="I76" s="1070"/>
      <c r="J76" s="1070"/>
      <c r="K76" s="1070"/>
      <c r="L76" s="1071"/>
    </row>
    <row r="77" spans="2:12" ht="27.95" customHeight="1">
      <c r="B77" s="1068" t="s">
        <v>116</v>
      </c>
      <c r="C77" s="1069"/>
      <c r="D77" s="1069"/>
      <c r="E77" s="1069"/>
      <c r="F77" s="1069"/>
      <c r="G77" s="1069"/>
      <c r="H77" s="1078">
        <f>'0422Master'!N17</f>
        <v>44491</v>
      </c>
      <c r="I77" s="1079"/>
      <c r="J77" s="1079"/>
      <c r="K77" s="1079"/>
      <c r="L77" s="1080"/>
    </row>
    <row r="78" spans="2:12" ht="27.95" customHeight="1">
      <c r="B78" s="332" t="s">
        <v>117</v>
      </c>
      <c r="C78" s="86"/>
      <c r="D78" s="86"/>
      <c r="E78" s="86"/>
      <c r="F78" s="86"/>
      <c r="G78" s="86"/>
      <c r="H78" s="384"/>
      <c r="I78" s="88"/>
      <c r="J78" s="331" t="str">
        <f>'0422Master'!T17</f>
        <v>N/A</v>
      </c>
      <c r="K78" s="382"/>
      <c r="L78" s="383"/>
    </row>
    <row r="79" spans="2:12" ht="27.95" customHeight="1">
      <c r="B79" s="332" t="s">
        <v>118</v>
      </c>
      <c r="C79" s="86"/>
      <c r="D79" s="86"/>
      <c r="E79" s="86"/>
      <c r="F79" s="86"/>
      <c r="G79" s="367"/>
      <c r="H79" s="91"/>
      <c r="I79" s="92"/>
      <c r="J79" s="331" t="str">
        <f>'0422Master'!S17</f>
        <v>100505159752</v>
      </c>
      <c r="K79" s="92"/>
      <c r="L79" s="93"/>
    </row>
    <row r="80" spans="2:12" ht="27.95" customHeight="1">
      <c r="B80" s="1081" t="s">
        <v>119</v>
      </c>
      <c r="C80" s="1082"/>
      <c r="D80" s="1082"/>
      <c r="E80" s="1082"/>
      <c r="F80" s="1082"/>
      <c r="G80" s="1082"/>
      <c r="H80" s="1074">
        <f>'0422Master'!Y17</f>
        <v>143307</v>
      </c>
      <c r="I80" s="1075"/>
      <c r="J80" s="1075"/>
      <c r="K80" s="1075"/>
      <c r="L80" s="1076"/>
    </row>
    <row r="81" spans="2:13" ht="27.95" customHeight="1">
      <c r="B81" s="1068" t="s">
        <v>120</v>
      </c>
      <c r="C81" s="1069"/>
      <c r="D81" s="1069"/>
      <c r="E81" s="1069"/>
      <c r="F81" s="1069"/>
      <c r="G81" s="1069"/>
      <c r="H81" s="1083">
        <f>'0422Master'!D10</f>
        <v>44652</v>
      </c>
      <c r="I81" s="1070"/>
      <c r="J81" s="1070"/>
      <c r="K81" s="1070"/>
      <c r="L81" s="1071"/>
    </row>
    <row r="82" spans="2:13" ht="27.95" customHeight="1">
      <c r="B82" s="1068" t="s">
        <v>121</v>
      </c>
      <c r="C82" s="1069"/>
      <c r="D82" s="1069"/>
      <c r="E82" s="1069"/>
      <c r="F82" s="1069"/>
      <c r="G82" s="1069"/>
      <c r="H82" s="1070" t="s">
        <v>122</v>
      </c>
      <c r="I82" s="1070"/>
      <c r="J82" s="1070"/>
      <c r="K82" s="1070"/>
      <c r="L82" s="1071"/>
    </row>
    <row r="83" spans="2:13" ht="27.95" customHeight="1">
      <c r="B83" s="332" t="s">
        <v>123</v>
      </c>
      <c r="C83" s="86"/>
      <c r="D83" s="86"/>
      <c r="E83" s="86"/>
      <c r="F83" s="86"/>
      <c r="G83" s="367"/>
      <c r="H83" s="384"/>
      <c r="I83" s="382"/>
      <c r="J83" s="95">
        <f>'0422Master'!W17</f>
        <v>30</v>
      </c>
      <c r="K83" s="382"/>
      <c r="L83" s="383"/>
    </row>
    <row r="84" spans="2:13" ht="27.95" customHeight="1">
      <c r="B84" s="332" t="s">
        <v>124</v>
      </c>
      <c r="C84" s="86"/>
      <c r="D84" s="86"/>
      <c r="E84" s="86"/>
      <c r="F84" s="86"/>
      <c r="G84" s="367"/>
      <c r="H84" s="384"/>
      <c r="I84" s="382"/>
      <c r="J84" s="382" t="s">
        <v>37</v>
      </c>
      <c r="K84" s="382"/>
      <c r="L84" s="383"/>
      <c r="M84">
        <v>3</v>
      </c>
    </row>
    <row r="85" spans="2:13" ht="27.95" customHeight="1">
      <c r="B85" s="332" t="s">
        <v>125</v>
      </c>
      <c r="C85" s="86"/>
      <c r="D85" s="86"/>
      <c r="E85" s="86"/>
      <c r="F85" s="86"/>
      <c r="G85" s="367"/>
      <c r="H85" s="384"/>
      <c r="I85" s="382"/>
      <c r="J85" s="95">
        <v>0</v>
      </c>
      <c r="K85" s="382"/>
      <c r="L85" s="383"/>
    </row>
    <row r="86" spans="2:13" ht="27.95" customHeight="1">
      <c r="B86" s="332" t="s">
        <v>126</v>
      </c>
      <c r="C86" s="86"/>
      <c r="D86" s="86"/>
      <c r="E86" s="86"/>
      <c r="F86" s="86"/>
      <c r="G86" s="367"/>
      <c r="H86" s="384"/>
      <c r="I86" s="382"/>
      <c r="J86" s="382">
        <v>0</v>
      </c>
      <c r="K86" s="382"/>
      <c r="L86" s="383"/>
    </row>
    <row r="87" spans="2:13" ht="27.95" customHeight="1">
      <c r="B87" s="332" t="s">
        <v>127</v>
      </c>
      <c r="C87" s="86"/>
      <c r="D87" s="86"/>
      <c r="E87" s="86"/>
      <c r="F87" s="86"/>
      <c r="G87" s="367"/>
      <c r="H87" s="384"/>
      <c r="I87" s="382"/>
      <c r="J87" s="311">
        <f>'0422Master'!AM17</f>
        <v>156275.79902000001</v>
      </c>
      <c r="K87" s="382"/>
      <c r="L87" s="383" t="s">
        <v>35</v>
      </c>
    </row>
    <row r="88" spans="2:13" ht="27.95" customHeight="1">
      <c r="B88" s="332" t="s">
        <v>128</v>
      </c>
      <c r="C88" s="86"/>
      <c r="D88" s="381" t="s">
        <v>32</v>
      </c>
      <c r="E88" s="380">
        <f>'0422Master'!AO17</f>
        <v>1800</v>
      </c>
      <c r="F88" s="381" t="s">
        <v>31</v>
      </c>
      <c r="G88" s="380">
        <f>'0422Master'!AN17</f>
        <v>0</v>
      </c>
      <c r="H88" s="381" t="s">
        <v>33</v>
      </c>
      <c r="I88" s="380">
        <f>'0422Master'!AP17</f>
        <v>200</v>
      </c>
      <c r="J88" s="381" t="s">
        <v>34</v>
      </c>
      <c r="K88" s="380">
        <f>'0422Master'!AQ17</f>
        <v>0</v>
      </c>
      <c r="L88" s="100">
        <f>'0422Master'!AR17</f>
        <v>254</v>
      </c>
    </row>
    <row r="89" spans="2:13" ht="27.95" customHeight="1">
      <c r="B89" s="332" t="s">
        <v>129</v>
      </c>
      <c r="C89" s="86"/>
      <c r="D89" s="86"/>
      <c r="E89" s="86"/>
      <c r="F89" s="86"/>
      <c r="G89" s="367"/>
      <c r="H89" s="384"/>
      <c r="I89" s="382"/>
      <c r="J89" s="95">
        <f>J87-(E88+G88+I88+K88+L88)</f>
        <v>154021.79902000001</v>
      </c>
      <c r="K89" s="382"/>
      <c r="L89" s="383"/>
    </row>
    <row r="90" spans="2:13" ht="27.95" customHeight="1">
      <c r="B90" s="333" t="s">
        <v>130</v>
      </c>
      <c r="C90" s="334"/>
      <c r="D90" s="334"/>
      <c r="E90" s="334"/>
      <c r="F90" s="334"/>
      <c r="G90" s="335"/>
      <c r="H90" s="336"/>
      <c r="I90" s="337"/>
      <c r="J90" s="337"/>
      <c r="K90" s="337"/>
      <c r="L90" s="97"/>
    </row>
    <row r="91" spans="2:13" ht="27.95" customHeight="1">
      <c r="B91" s="358" t="s">
        <v>131</v>
      </c>
      <c r="C91" s="316"/>
      <c r="D91" s="316"/>
      <c r="E91" s="316"/>
      <c r="F91" s="316"/>
      <c r="G91" s="359"/>
      <c r="H91" s="70"/>
      <c r="I91" s="313"/>
      <c r="J91" s="313"/>
      <c r="K91" s="313"/>
      <c r="L91" s="13"/>
    </row>
    <row r="92" spans="2:13">
      <c r="B92" s="12"/>
      <c r="C92" s="313"/>
      <c r="D92" s="313"/>
      <c r="E92" s="313"/>
      <c r="F92" s="313"/>
      <c r="G92" s="313"/>
      <c r="H92" s="313"/>
      <c r="I92" s="313"/>
      <c r="J92" s="313"/>
      <c r="K92" s="313"/>
      <c r="L92" s="13"/>
    </row>
    <row r="93" spans="2:13" ht="15.75" thickBot="1">
      <c r="B93" s="24"/>
      <c r="C93" s="22"/>
      <c r="D93" s="22"/>
      <c r="E93" s="22"/>
      <c r="F93" s="22"/>
      <c r="G93" s="22"/>
      <c r="H93" s="22"/>
      <c r="I93" s="22"/>
      <c r="J93" s="22"/>
      <c r="K93" s="22"/>
      <c r="L93" s="23"/>
    </row>
    <row r="94" spans="2:13">
      <c r="B94" s="313"/>
      <c r="C94" s="313"/>
      <c r="D94" s="313"/>
      <c r="E94" s="313"/>
      <c r="F94" s="313"/>
      <c r="G94" s="313"/>
      <c r="H94" s="313"/>
      <c r="I94" s="313"/>
      <c r="J94" s="313"/>
      <c r="K94" s="313"/>
      <c r="L94" s="313"/>
    </row>
    <row r="95" spans="2:13">
      <c r="B95" s="313"/>
      <c r="C95" s="313"/>
      <c r="D95" s="313"/>
      <c r="E95" s="313"/>
      <c r="F95" s="313"/>
      <c r="G95" s="313"/>
      <c r="H95" s="313"/>
      <c r="I95" s="313"/>
      <c r="J95" s="313"/>
      <c r="K95" s="313"/>
      <c r="L95" s="313"/>
    </row>
    <row r="96" spans="2:13">
      <c r="B96" s="313"/>
      <c r="C96" s="313"/>
      <c r="D96" s="313"/>
      <c r="E96" s="313"/>
      <c r="F96" s="313"/>
      <c r="G96" s="313"/>
      <c r="H96" s="313"/>
      <c r="I96" s="313"/>
      <c r="J96" s="313"/>
      <c r="K96" s="313"/>
      <c r="L96" s="313"/>
    </row>
    <row r="97" spans="2:12">
      <c r="B97" s="313"/>
      <c r="C97" s="313"/>
      <c r="D97" s="313"/>
      <c r="E97" s="313"/>
      <c r="F97" s="313"/>
      <c r="G97" s="313"/>
      <c r="H97" s="313"/>
      <c r="I97" s="313"/>
      <c r="J97" s="313"/>
      <c r="K97" s="313"/>
      <c r="L97" s="313"/>
    </row>
    <row r="98" spans="2:12">
      <c r="B98" s="313"/>
      <c r="C98" s="313"/>
      <c r="D98" s="313"/>
      <c r="E98" s="313"/>
      <c r="F98" s="313"/>
      <c r="G98" s="313"/>
      <c r="H98" s="313"/>
      <c r="I98" s="313"/>
      <c r="J98" s="313"/>
      <c r="K98" s="313"/>
      <c r="L98" s="313"/>
    </row>
    <row r="99" spans="2:12">
      <c r="B99" s="313"/>
      <c r="C99" s="313"/>
      <c r="D99" s="313"/>
      <c r="E99" s="313"/>
      <c r="F99" s="313"/>
      <c r="G99" s="313"/>
      <c r="H99" s="313"/>
      <c r="I99" s="313"/>
      <c r="J99" s="313"/>
      <c r="K99" s="313"/>
      <c r="L99" s="313"/>
    </row>
    <row r="100" spans="2:12">
      <c r="B100" s="313"/>
      <c r="C100" s="313"/>
      <c r="D100" s="313"/>
      <c r="E100" s="313"/>
      <c r="F100" s="313"/>
      <c r="G100" s="313"/>
      <c r="H100" s="313"/>
      <c r="I100" s="313"/>
      <c r="J100" s="313"/>
      <c r="K100" s="313"/>
      <c r="L100" s="313"/>
    </row>
    <row r="101" spans="2:12">
      <c r="B101" s="313"/>
      <c r="C101" s="313"/>
      <c r="D101" s="313"/>
      <c r="E101" s="313"/>
      <c r="F101" s="313"/>
      <c r="G101" s="313"/>
      <c r="H101" s="313"/>
      <c r="I101" s="313"/>
      <c r="J101" s="313"/>
      <c r="K101" s="313"/>
      <c r="L101" s="313"/>
    </row>
    <row r="106" spans="2:12" s="330" customFormat="1"/>
    <row r="108" spans="2:12" s="330" customFormat="1" ht="15.75" thickBot="1"/>
    <row r="109" spans="2:12" ht="32.25">
      <c r="B109" s="1104" t="s">
        <v>107</v>
      </c>
      <c r="C109" s="1105"/>
      <c r="D109" s="1105"/>
      <c r="E109" s="1105"/>
      <c r="F109" s="1105"/>
      <c r="G109" s="1105"/>
      <c r="H109" s="1105"/>
      <c r="I109" s="1105"/>
      <c r="J109" s="1105"/>
      <c r="K109" s="1105"/>
      <c r="L109" s="1106"/>
    </row>
    <row r="110" spans="2:12" ht="23.25">
      <c r="B110" s="1084" t="s">
        <v>108</v>
      </c>
      <c r="C110" s="1085"/>
      <c r="D110" s="1085"/>
      <c r="E110" s="1085"/>
      <c r="F110" s="1085"/>
      <c r="G110" s="1085"/>
      <c r="H110" s="1085"/>
      <c r="I110" s="1085"/>
      <c r="J110" s="1085"/>
      <c r="K110" s="1085"/>
      <c r="L110" s="1086"/>
    </row>
    <row r="111" spans="2:12" ht="16.5" thickBot="1">
      <c r="B111" s="1087" t="s">
        <v>382</v>
      </c>
      <c r="C111" s="1088"/>
      <c r="D111" s="1088"/>
      <c r="E111" s="1088"/>
      <c r="F111" s="1088"/>
      <c r="G111" s="1088"/>
      <c r="H111" s="1088"/>
      <c r="I111" s="1088"/>
      <c r="J111" s="1088"/>
      <c r="K111" s="1088"/>
      <c r="L111" s="1089"/>
    </row>
    <row r="112" spans="2:12">
      <c r="B112" s="1090" t="s">
        <v>109</v>
      </c>
      <c r="C112" s="1091"/>
      <c r="D112" s="1091"/>
      <c r="E112" s="1091"/>
      <c r="F112" s="1091"/>
      <c r="G112" s="313"/>
      <c r="H112" s="1092" t="s">
        <v>110</v>
      </c>
      <c r="I112" s="1092"/>
      <c r="J112" s="1092"/>
      <c r="K112" s="1092"/>
      <c r="L112" s="1093"/>
    </row>
    <row r="113" spans="2:12" ht="15.75" thickBot="1">
      <c r="B113" s="1090"/>
      <c r="C113" s="1091"/>
      <c r="D113" s="1091"/>
      <c r="E113" s="1091"/>
      <c r="F113" s="1091"/>
      <c r="G113" s="313"/>
      <c r="H113" s="1092"/>
      <c r="I113" s="1092"/>
      <c r="J113" s="1092"/>
      <c r="K113" s="1092"/>
      <c r="L113" s="1093"/>
    </row>
    <row r="114" spans="2:12">
      <c r="B114" s="73"/>
      <c r="C114" s="74"/>
      <c r="D114" s="74"/>
      <c r="E114" s="74"/>
      <c r="F114" s="75"/>
      <c r="G114" s="313"/>
      <c r="H114" s="73"/>
      <c r="I114" s="74"/>
      <c r="J114" s="74"/>
      <c r="K114" s="74"/>
      <c r="L114" s="75"/>
    </row>
    <row r="115" spans="2:12">
      <c r="B115" s="76" t="str">
        <f>'0422Master'!F5</f>
        <v>Burgeon IT Services Pvt.Ltd.</v>
      </c>
      <c r="C115" s="313"/>
      <c r="D115" s="313"/>
      <c r="E115" s="313"/>
      <c r="F115" s="13"/>
      <c r="G115" s="313"/>
      <c r="H115" s="76" t="str">
        <f>'0422Master'!AP5</f>
        <v>Burgeon IT Services Pvt.Ltd.</v>
      </c>
      <c r="I115" s="313"/>
      <c r="J115" s="313"/>
      <c r="K115" s="313"/>
      <c r="L115" s="13"/>
    </row>
    <row r="116" spans="2:12">
      <c r="B116" s="12"/>
      <c r="C116" s="313"/>
      <c r="D116" s="313"/>
      <c r="E116" s="313"/>
      <c r="F116" s="13"/>
      <c r="G116" s="313"/>
      <c r="H116" s="12"/>
      <c r="I116" s="313"/>
      <c r="J116" s="313"/>
      <c r="K116" s="313"/>
      <c r="L116" s="13"/>
    </row>
    <row r="117" spans="2:12">
      <c r="B117" s="76" t="str">
        <f>'0422Master'!F6</f>
        <v>Siri Mansion LIGB 436 Dr.A S Rao Nagar,Hyderabad</v>
      </c>
      <c r="C117" s="313"/>
      <c r="D117" s="313"/>
      <c r="E117" s="313"/>
      <c r="F117" s="13"/>
      <c r="G117" s="313"/>
      <c r="H117" s="76" t="str">
        <f>'0422Master'!AP6</f>
        <v>Siri Mansion LIGB 436 Dr.A S Rao Nagar,Hyderabad</v>
      </c>
      <c r="I117" s="313"/>
      <c r="J117" s="313"/>
      <c r="K117" s="313"/>
      <c r="L117" s="13"/>
    </row>
    <row r="118" spans="2:12" ht="15.75" thickBot="1">
      <c r="B118" s="24"/>
      <c r="C118" s="22"/>
      <c r="D118" s="22"/>
      <c r="E118" s="22"/>
      <c r="F118" s="23"/>
      <c r="G118" s="313"/>
      <c r="H118" s="24"/>
      <c r="I118" s="22"/>
      <c r="J118" s="22"/>
      <c r="K118" s="22"/>
      <c r="L118" s="23"/>
    </row>
    <row r="119" spans="2:12">
      <c r="B119" s="12"/>
      <c r="C119" s="313"/>
      <c r="D119" s="313"/>
      <c r="E119" s="313"/>
      <c r="F119" s="313"/>
      <c r="G119" s="313"/>
      <c r="H119" s="313"/>
      <c r="I119" s="313"/>
      <c r="J119" s="313" t="s">
        <v>111</v>
      </c>
      <c r="K119" s="313"/>
      <c r="L119" s="13"/>
    </row>
    <row r="120" spans="2:12">
      <c r="B120" s="1094" t="s">
        <v>112</v>
      </c>
      <c r="C120" s="1095"/>
      <c r="D120" s="1095"/>
      <c r="E120" s="1095"/>
      <c r="F120" s="1095"/>
      <c r="G120" s="313"/>
      <c r="H120" s="1095" t="s">
        <v>4</v>
      </c>
      <c r="I120" s="1095"/>
      <c r="J120" s="1095"/>
      <c r="K120" s="1095"/>
      <c r="L120" s="1096"/>
    </row>
    <row r="121" spans="2:12" ht="15.75" thickBot="1">
      <c r="B121" s="12"/>
      <c r="C121" s="313"/>
      <c r="D121" s="313"/>
      <c r="E121" s="313"/>
      <c r="F121" s="313"/>
      <c r="G121" s="313"/>
      <c r="H121" s="313"/>
      <c r="I121" s="313"/>
      <c r="J121" s="313"/>
      <c r="K121" s="313"/>
      <c r="L121" s="13"/>
    </row>
    <row r="122" spans="2:12">
      <c r="B122" s="73"/>
      <c r="C122" s="74"/>
      <c r="D122" s="74"/>
      <c r="E122" s="74"/>
      <c r="F122" s="75"/>
      <c r="G122" s="313"/>
      <c r="H122" s="77"/>
      <c r="I122" s="78"/>
      <c r="J122" s="78"/>
      <c r="K122" s="78"/>
      <c r="L122" s="79"/>
    </row>
    <row r="123" spans="2:12">
      <c r="B123" s="12"/>
      <c r="C123" s="313"/>
      <c r="D123" s="313"/>
      <c r="E123" s="313"/>
      <c r="F123" s="13"/>
      <c r="G123" s="313"/>
      <c r="H123" s="76" t="str">
        <f>'0422Master'!AP10</f>
        <v>INFOSYS  LTD.IL Pune SEZ Unit-II,Plot No. 24/3</v>
      </c>
      <c r="I123" s="316"/>
      <c r="J123" s="316"/>
      <c r="K123" s="316"/>
      <c r="L123" s="80"/>
    </row>
    <row r="124" spans="2:12">
      <c r="B124" s="76" t="str">
        <f>'0422Master'!F8</f>
        <v>IT SUPPORTIVE SERVICES&amp; PUNE SEZ UNIT-II</v>
      </c>
      <c r="C124" s="313"/>
      <c r="D124" s="313"/>
      <c r="E124" s="313"/>
      <c r="F124" s="13"/>
      <c r="G124" s="313"/>
      <c r="H124" s="76"/>
      <c r="I124" s="316"/>
      <c r="J124" s="316"/>
      <c r="K124" s="316"/>
      <c r="L124" s="80"/>
    </row>
    <row r="125" spans="2:12">
      <c r="B125" s="12"/>
      <c r="C125" s="313"/>
      <c r="D125" s="313"/>
      <c r="E125" s="313"/>
      <c r="F125" s="13"/>
      <c r="G125" s="313"/>
      <c r="H125" s="76" t="str">
        <f>'0422Master'!AP11</f>
        <v>Rajiv gandhi Info tech park,Village Mann,Pune,Maharashtra 411057</v>
      </c>
      <c r="I125" s="316"/>
      <c r="J125" s="316"/>
      <c r="K125" s="316"/>
      <c r="L125" s="80"/>
    </row>
    <row r="126" spans="2:12" ht="15.75" thickBot="1">
      <c r="B126" s="24"/>
      <c r="C126" s="22"/>
      <c r="D126" s="22"/>
      <c r="E126" s="22"/>
      <c r="F126" s="23"/>
      <c r="G126" s="313"/>
      <c r="H126" s="76"/>
      <c r="I126" s="316"/>
      <c r="J126" s="316"/>
      <c r="K126" s="316"/>
      <c r="L126" s="80"/>
    </row>
    <row r="127" spans="2:12" ht="27.95" customHeight="1">
      <c r="B127" s="1068" t="s">
        <v>113</v>
      </c>
      <c r="C127" s="1069"/>
      <c r="D127" s="1069"/>
      <c r="E127" s="1069"/>
      <c r="F127" s="1069"/>
      <c r="G127" s="1097"/>
      <c r="H127" s="1098" t="str">
        <f>'0422Master'!B18</f>
        <v>Savana Saritha Dora</v>
      </c>
      <c r="I127" s="1099"/>
      <c r="J127" s="1099"/>
      <c r="K127" s="1099"/>
      <c r="L127" s="1100"/>
    </row>
    <row r="128" spans="2:12" ht="27.95" customHeight="1" thickBot="1">
      <c r="B128" s="385"/>
      <c r="C128" s="386"/>
      <c r="D128" s="386"/>
      <c r="E128" s="386"/>
      <c r="F128" s="386"/>
      <c r="G128" s="389"/>
      <c r="H128" s="1101" t="str">
        <f>'0422Master'!G18</f>
        <v>Shafa Nagar Ausa, Dist- Latur, Maharashtra</v>
      </c>
      <c r="I128" s="1102"/>
      <c r="J128" s="1102"/>
      <c r="K128" s="1102"/>
      <c r="L128" s="1103"/>
    </row>
    <row r="129" spans="2:13" ht="27.95" customHeight="1">
      <c r="B129" s="1072" t="s">
        <v>114</v>
      </c>
      <c r="C129" s="1073"/>
      <c r="D129" s="1073"/>
      <c r="E129" s="1073"/>
      <c r="F129" s="1073"/>
      <c r="G129" s="1073"/>
      <c r="H129" s="1074">
        <f>'0422Master'!AY18</f>
        <v>55</v>
      </c>
      <c r="I129" s="1075"/>
      <c r="J129" s="1075"/>
      <c r="K129" s="1075"/>
      <c r="L129" s="1076"/>
    </row>
    <row r="130" spans="2:13" ht="27.95" customHeight="1">
      <c r="B130" s="1068" t="s">
        <v>115</v>
      </c>
      <c r="C130" s="1069"/>
      <c r="D130" s="1069"/>
      <c r="E130" s="1069"/>
      <c r="F130" s="1069"/>
      <c r="G130" s="1069"/>
      <c r="H130" s="1077" t="str">
        <f>'0422Master'!F18</f>
        <v xml:space="preserve">ASSISTANT PROJECT MANAGER </v>
      </c>
      <c r="I130" s="1070"/>
      <c r="J130" s="1070"/>
      <c r="K130" s="1070"/>
      <c r="L130" s="1071"/>
    </row>
    <row r="131" spans="2:13" ht="27.95" customHeight="1">
      <c r="B131" s="1068" t="s">
        <v>116</v>
      </c>
      <c r="C131" s="1069"/>
      <c r="D131" s="1069"/>
      <c r="E131" s="1069"/>
      <c r="F131" s="1069"/>
      <c r="G131" s="1069"/>
      <c r="H131" s="1078">
        <f>'0422Master'!N18</f>
        <v>44495</v>
      </c>
      <c r="I131" s="1079"/>
      <c r="J131" s="1079"/>
      <c r="K131" s="1079"/>
      <c r="L131" s="1080"/>
    </row>
    <row r="132" spans="2:13" ht="27.95" customHeight="1">
      <c r="B132" s="332" t="s">
        <v>117</v>
      </c>
      <c r="C132" s="86"/>
      <c r="D132" s="86"/>
      <c r="E132" s="86"/>
      <c r="F132" s="86"/>
      <c r="G132" s="86"/>
      <c r="H132" s="392"/>
      <c r="I132" s="88"/>
      <c r="J132" s="331" t="str">
        <f>'0422Master'!T18</f>
        <v>N/A</v>
      </c>
      <c r="K132" s="390"/>
      <c r="L132" s="391"/>
    </row>
    <row r="133" spans="2:13" ht="27.95" customHeight="1">
      <c r="B133" s="332" t="s">
        <v>118</v>
      </c>
      <c r="C133" s="86"/>
      <c r="D133" s="86"/>
      <c r="E133" s="86"/>
      <c r="F133" s="86"/>
      <c r="G133" s="367"/>
      <c r="H133" s="91"/>
      <c r="I133" s="92"/>
      <c r="J133" s="331" t="str">
        <f>'0422Master'!S18</f>
        <v>101749326014</v>
      </c>
      <c r="K133" s="92"/>
      <c r="L133" s="93"/>
    </row>
    <row r="134" spans="2:13" ht="27.95" customHeight="1">
      <c r="B134" s="1081" t="s">
        <v>119</v>
      </c>
      <c r="C134" s="1082"/>
      <c r="D134" s="1082"/>
      <c r="E134" s="1082"/>
      <c r="F134" s="1082"/>
      <c r="G134" s="1082"/>
      <c r="H134" s="1074">
        <f>'0422Master'!Y18</f>
        <v>55251</v>
      </c>
      <c r="I134" s="1075"/>
      <c r="J134" s="1075"/>
      <c r="K134" s="1075"/>
      <c r="L134" s="1076"/>
    </row>
    <row r="135" spans="2:13" ht="27.95" customHeight="1">
      <c r="B135" s="1068" t="s">
        <v>120</v>
      </c>
      <c r="C135" s="1069"/>
      <c r="D135" s="1069"/>
      <c r="E135" s="1069"/>
      <c r="F135" s="1069"/>
      <c r="G135" s="1069"/>
      <c r="H135" s="1083">
        <f>'0422Master'!D10</f>
        <v>44652</v>
      </c>
      <c r="I135" s="1070"/>
      <c r="J135" s="1070"/>
      <c r="K135" s="1070"/>
      <c r="L135" s="1071"/>
    </row>
    <row r="136" spans="2:13" ht="27.95" customHeight="1">
      <c r="B136" s="1068" t="s">
        <v>121</v>
      </c>
      <c r="C136" s="1069"/>
      <c r="D136" s="1069"/>
      <c r="E136" s="1069"/>
      <c r="F136" s="1069"/>
      <c r="G136" s="1069"/>
      <c r="H136" s="1070" t="s">
        <v>122</v>
      </c>
      <c r="I136" s="1070"/>
      <c r="J136" s="1070"/>
      <c r="K136" s="1070"/>
      <c r="L136" s="1071"/>
    </row>
    <row r="137" spans="2:13" ht="27.95" customHeight="1">
      <c r="B137" s="332" t="s">
        <v>123</v>
      </c>
      <c r="C137" s="86"/>
      <c r="D137" s="86"/>
      <c r="E137" s="86"/>
      <c r="F137" s="86"/>
      <c r="G137" s="367"/>
      <c r="H137" s="392"/>
      <c r="I137" s="390"/>
      <c r="J137" s="95">
        <f>'0422Master'!W18</f>
        <v>30</v>
      </c>
      <c r="K137" s="390"/>
      <c r="L137" s="391"/>
    </row>
    <row r="138" spans="2:13" ht="27.95" customHeight="1">
      <c r="B138" s="332" t="s">
        <v>124</v>
      </c>
      <c r="C138" s="86"/>
      <c r="D138" s="86"/>
      <c r="E138" s="86"/>
      <c r="F138" s="86"/>
      <c r="G138" s="367"/>
      <c r="H138" s="392"/>
      <c r="I138" s="390"/>
      <c r="J138" s="390" t="s">
        <v>37</v>
      </c>
      <c r="K138" s="390"/>
      <c r="L138" s="391"/>
    </row>
    <row r="139" spans="2:13" ht="27.95" customHeight="1">
      <c r="B139" s="332" t="s">
        <v>125</v>
      </c>
      <c r="C139" s="86"/>
      <c r="D139" s="86"/>
      <c r="E139" s="86"/>
      <c r="F139" s="86"/>
      <c r="G139" s="367"/>
      <c r="H139" s="392"/>
      <c r="I139" s="390"/>
      <c r="J139" s="95">
        <v>0</v>
      </c>
      <c r="K139" s="390"/>
      <c r="L139" s="391"/>
    </row>
    <row r="140" spans="2:13" ht="27.95" customHeight="1">
      <c r="B140" s="332" t="s">
        <v>126</v>
      </c>
      <c r="C140" s="86"/>
      <c r="D140" s="86"/>
      <c r="E140" s="86"/>
      <c r="F140" s="86"/>
      <c r="G140" s="367"/>
      <c r="H140" s="392"/>
      <c r="I140" s="390"/>
      <c r="J140" s="390">
        <v>0</v>
      </c>
      <c r="K140" s="390"/>
      <c r="L140" s="391"/>
    </row>
    <row r="141" spans="2:13" ht="27.95" customHeight="1">
      <c r="B141" s="332" t="s">
        <v>127</v>
      </c>
      <c r="C141" s="86"/>
      <c r="D141" s="86"/>
      <c r="E141" s="86"/>
      <c r="F141" s="86"/>
      <c r="G141" s="367"/>
      <c r="H141" s="392"/>
      <c r="I141" s="390"/>
      <c r="J141" s="311">
        <f>'0422Master'!AM18</f>
        <v>61275.702859999998</v>
      </c>
      <c r="K141" s="390"/>
      <c r="L141" s="391" t="s">
        <v>35</v>
      </c>
    </row>
    <row r="142" spans="2:13" ht="27.95" customHeight="1">
      <c r="B142" s="332" t="s">
        <v>128</v>
      </c>
      <c r="C142" s="86"/>
      <c r="D142" s="387" t="s">
        <v>32</v>
      </c>
      <c r="E142" s="388">
        <f>'0422Master'!AO18</f>
        <v>1800</v>
      </c>
      <c r="F142" s="387" t="s">
        <v>31</v>
      </c>
      <c r="G142" s="388">
        <f>'0422Master'!AN18</f>
        <v>0</v>
      </c>
      <c r="H142" s="387" t="s">
        <v>33</v>
      </c>
      <c r="I142" s="388">
        <f>'0422Master'!AP18</f>
        <v>200</v>
      </c>
      <c r="J142" s="387" t="s">
        <v>34</v>
      </c>
      <c r="K142" s="388">
        <f>'0422Master'!AQ18</f>
        <v>0</v>
      </c>
      <c r="L142" s="100">
        <f>'0422Master'!AR18</f>
        <v>286</v>
      </c>
    </row>
    <row r="143" spans="2:13" ht="27.95" customHeight="1">
      <c r="B143" s="332" t="s">
        <v>129</v>
      </c>
      <c r="C143" s="86"/>
      <c r="D143" s="86"/>
      <c r="E143" s="86"/>
      <c r="F143" s="86"/>
      <c r="G143" s="367"/>
      <c r="H143" s="392"/>
      <c r="I143" s="390"/>
      <c r="J143" s="95">
        <f>J141-(E142+G142+I142+K142+L142)</f>
        <v>58989.702859999998</v>
      </c>
      <c r="K143" s="390"/>
      <c r="L143" s="391"/>
      <c r="M143">
        <v>4</v>
      </c>
    </row>
    <row r="144" spans="2:13" ht="27.95" customHeight="1">
      <c r="B144" s="333" t="s">
        <v>130</v>
      </c>
      <c r="C144" s="334"/>
      <c r="D144" s="334"/>
      <c r="E144" s="334"/>
      <c r="F144" s="334"/>
      <c r="G144" s="335"/>
      <c r="H144" s="336"/>
      <c r="I144" s="337"/>
      <c r="J144" s="337"/>
      <c r="K144" s="337"/>
      <c r="L144" s="97"/>
    </row>
    <row r="145" spans="2:12" ht="27.95" customHeight="1">
      <c r="B145" s="358" t="s">
        <v>131</v>
      </c>
      <c r="C145" s="316"/>
      <c r="D145" s="316"/>
      <c r="E145" s="316"/>
      <c r="F145" s="316"/>
      <c r="G145" s="359"/>
      <c r="H145" s="70"/>
      <c r="I145" s="313"/>
      <c r="J145" s="313"/>
      <c r="K145" s="313"/>
      <c r="L145" s="13"/>
    </row>
    <row r="146" spans="2:12">
      <c r="B146" s="12"/>
      <c r="C146" s="313"/>
      <c r="D146" s="313"/>
      <c r="E146" s="313"/>
      <c r="F146" s="313"/>
      <c r="G146" s="313"/>
      <c r="H146" s="313"/>
      <c r="I146" s="313"/>
      <c r="J146" s="313"/>
      <c r="K146" s="313"/>
      <c r="L146" s="13"/>
    </row>
    <row r="147" spans="2:12" ht="15.75" thickBot="1">
      <c r="B147" s="24"/>
      <c r="C147" s="22"/>
      <c r="D147" s="22"/>
      <c r="E147" s="22"/>
      <c r="F147" s="22"/>
      <c r="G147" s="22"/>
      <c r="H147" s="22"/>
      <c r="I147" s="22"/>
      <c r="J147" s="22"/>
      <c r="K147" s="22"/>
      <c r="L147" s="23"/>
    </row>
    <row r="148" spans="2:12">
      <c r="B148" s="313"/>
      <c r="C148" s="313"/>
      <c r="D148" s="313"/>
      <c r="E148" s="313"/>
      <c r="F148" s="313"/>
      <c r="G148" s="313"/>
      <c r="H148" s="313"/>
      <c r="I148" s="313"/>
      <c r="J148" s="313"/>
      <c r="K148" s="313"/>
      <c r="L148" s="313"/>
    </row>
    <row r="149" spans="2:12">
      <c r="B149" s="313"/>
      <c r="C149" s="313"/>
      <c r="D149" s="313"/>
      <c r="E149" s="313"/>
      <c r="F149" s="313"/>
      <c r="G149" s="313"/>
      <c r="H149" s="313"/>
      <c r="I149" s="313"/>
      <c r="J149" s="313"/>
      <c r="K149" s="313"/>
      <c r="L149" s="313"/>
    </row>
    <row r="150" spans="2:12">
      <c r="B150" s="313"/>
      <c r="C150" s="313"/>
      <c r="D150" s="313"/>
      <c r="E150" s="313"/>
      <c r="F150" s="313"/>
      <c r="G150" s="313"/>
      <c r="H150" s="313"/>
      <c r="I150" s="313"/>
      <c r="J150" s="313"/>
      <c r="K150" s="313"/>
      <c r="L150" s="313"/>
    </row>
    <row r="151" spans="2:12">
      <c r="B151" s="313"/>
      <c r="C151" s="313"/>
      <c r="D151" s="313"/>
      <c r="E151" s="313"/>
      <c r="F151" s="313"/>
      <c r="G151" s="313"/>
      <c r="H151" s="313"/>
      <c r="I151" s="313"/>
      <c r="J151" s="313"/>
      <c r="K151" s="313"/>
      <c r="L151" s="313"/>
    </row>
    <row r="152" spans="2:12">
      <c r="B152" s="313"/>
      <c r="C152" s="313"/>
      <c r="D152" s="313"/>
      <c r="E152" s="313"/>
      <c r="F152" s="313"/>
      <c r="G152" s="313"/>
      <c r="H152" s="313"/>
      <c r="I152" s="313"/>
      <c r="J152" s="313"/>
      <c r="K152" s="313"/>
      <c r="L152" s="313"/>
    </row>
    <row r="153" spans="2:12">
      <c r="B153" s="313"/>
      <c r="C153" s="313"/>
      <c r="D153" s="313"/>
      <c r="E153" s="313"/>
      <c r="F153" s="313"/>
      <c r="G153" s="313"/>
      <c r="H153" s="313"/>
      <c r="I153" s="313"/>
      <c r="J153" s="313"/>
      <c r="K153" s="313"/>
      <c r="L153" s="313"/>
    </row>
    <row r="154" spans="2:12">
      <c r="B154" s="313"/>
      <c r="C154" s="313"/>
      <c r="D154" s="313"/>
      <c r="E154" s="313"/>
      <c r="F154" s="313"/>
      <c r="G154" s="313"/>
      <c r="H154" s="313"/>
      <c r="I154" s="313"/>
      <c r="J154" s="313"/>
      <c r="K154" s="313"/>
      <c r="L154" s="313"/>
    </row>
    <row r="159" spans="2:12" s="330" customFormat="1"/>
    <row r="160" spans="2:12" s="330" customFormat="1"/>
    <row r="161" spans="2:12" s="330" customFormat="1"/>
    <row r="163" spans="2:12" s="330" customFormat="1"/>
    <row r="164" spans="2:12" s="330" customFormat="1"/>
    <row r="165" spans="2:12" ht="15.75" thickBot="1"/>
    <row r="166" spans="2:12" ht="32.25">
      <c r="B166" s="1104" t="s">
        <v>107</v>
      </c>
      <c r="C166" s="1105"/>
      <c r="D166" s="1105"/>
      <c r="E166" s="1105"/>
      <c r="F166" s="1105"/>
      <c r="G166" s="1105"/>
      <c r="H166" s="1105"/>
      <c r="I166" s="1105"/>
      <c r="J166" s="1105"/>
      <c r="K166" s="1105"/>
      <c r="L166" s="1106"/>
    </row>
    <row r="167" spans="2:12" ht="23.25">
      <c r="B167" s="1084" t="s">
        <v>108</v>
      </c>
      <c r="C167" s="1085"/>
      <c r="D167" s="1085"/>
      <c r="E167" s="1085"/>
      <c r="F167" s="1085"/>
      <c r="G167" s="1085"/>
      <c r="H167" s="1085"/>
      <c r="I167" s="1085"/>
      <c r="J167" s="1085"/>
      <c r="K167" s="1085"/>
      <c r="L167" s="1086"/>
    </row>
    <row r="168" spans="2:12" ht="16.5" thickBot="1">
      <c r="B168" s="1087" t="s">
        <v>382</v>
      </c>
      <c r="C168" s="1088"/>
      <c r="D168" s="1088"/>
      <c r="E168" s="1088"/>
      <c r="F168" s="1088"/>
      <c r="G168" s="1088"/>
      <c r="H168" s="1088"/>
      <c r="I168" s="1088"/>
      <c r="J168" s="1088"/>
      <c r="K168" s="1088"/>
      <c r="L168" s="1089"/>
    </row>
    <row r="169" spans="2:12" ht="24" customHeight="1">
      <c r="B169" s="1090" t="s">
        <v>109</v>
      </c>
      <c r="C169" s="1091"/>
      <c r="D169" s="1091"/>
      <c r="E169" s="1091"/>
      <c r="F169" s="1091"/>
      <c r="G169" s="313"/>
      <c r="H169" s="1092" t="s">
        <v>110</v>
      </c>
      <c r="I169" s="1092"/>
      <c r="J169" s="1092"/>
      <c r="K169" s="1092"/>
      <c r="L169" s="1093"/>
    </row>
    <row r="170" spans="2:12" ht="24" customHeight="1" thickBot="1">
      <c r="B170" s="1090"/>
      <c r="C170" s="1091"/>
      <c r="D170" s="1091"/>
      <c r="E170" s="1091"/>
      <c r="F170" s="1091"/>
      <c r="G170" s="313"/>
      <c r="H170" s="1092"/>
      <c r="I170" s="1092"/>
      <c r="J170" s="1092"/>
      <c r="K170" s="1092"/>
      <c r="L170" s="1093"/>
    </row>
    <row r="171" spans="2:12" ht="24" customHeight="1">
      <c r="B171" s="73"/>
      <c r="C171" s="74"/>
      <c r="D171" s="74"/>
      <c r="E171" s="74"/>
      <c r="F171" s="75"/>
      <c r="G171" s="313"/>
      <c r="H171" s="73"/>
      <c r="I171" s="74"/>
      <c r="J171" s="74"/>
      <c r="K171" s="74"/>
      <c r="L171" s="75"/>
    </row>
    <row r="172" spans="2:12" ht="24" customHeight="1">
      <c r="B172" s="76" t="s">
        <v>384</v>
      </c>
      <c r="C172" s="313"/>
      <c r="D172" s="313"/>
      <c r="E172" s="313"/>
      <c r="F172" s="13"/>
      <c r="G172" s="313"/>
      <c r="H172" s="76" t="s">
        <v>384</v>
      </c>
      <c r="I172" s="313"/>
      <c r="J172" s="313"/>
      <c r="K172" s="313"/>
      <c r="L172" s="13"/>
    </row>
    <row r="173" spans="2:12" ht="24" customHeight="1">
      <c r="B173" s="12"/>
      <c r="C173" s="313"/>
      <c r="D173" s="313"/>
      <c r="E173" s="313"/>
      <c r="F173" s="13"/>
      <c r="G173" s="313"/>
      <c r="H173" s="12"/>
      <c r="I173" s="313"/>
      <c r="J173" s="313"/>
      <c r="K173" s="313"/>
      <c r="L173" s="13"/>
    </row>
    <row r="174" spans="2:12" ht="24" customHeight="1">
      <c r="B174" s="76" t="s">
        <v>385</v>
      </c>
      <c r="C174" s="313"/>
      <c r="D174" s="313"/>
      <c r="E174" s="313"/>
      <c r="F174" s="13"/>
      <c r="G174" s="313"/>
      <c r="H174" s="76" t="s">
        <v>385</v>
      </c>
      <c r="I174" s="313"/>
      <c r="J174" s="313"/>
      <c r="K174" s="313"/>
      <c r="L174" s="13"/>
    </row>
    <row r="175" spans="2:12" ht="24" customHeight="1" thickBot="1">
      <c r="B175" s="24"/>
      <c r="C175" s="22"/>
      <c r="D175" s="22"/>
      <c r="E175" s="22"/>
      <c r="F175" s="23"/>
      <c r="G175" s="313"/>
      <c r="H175" s="24"/>
      <c r="I175" s="22"/>
      <c r="J175" s="22"/>
      <c r="K175" s="22"/>
      <c r="L175" s="23"/>
    </row>
    <row r="176" spans="2:12" ht="24" customHeight="1">
      <c r="B176" s="12"/>
      <c r="C176" s="313"/>
      <c r="D176" s="313"/>
      <c r="E176" s="313"/>
      <c r="F176" s="313"/>
      <c r="G176" s="313"/>
      <c r="H176" s="313"/>
      <c r="I176" s="313"/>
      <c r="J176" s="313" t="s">
        <v>111</v>
      </c>
      <c r="K176" s="313"/>
      <c r="L176" s="13"/>
    </row>
    <row r="177" spans="2:12" ht="24" customHeight="1">
      <c r="B177" s="1094" t="s">
        <v>112</v>
      </c>
      <c r="C177" s="1095"/>
      <c r="D177" s="1095"/>
      <c r="E177" s="1095"/>
      <c r="F177" s="1095"/>
      <c r="G177" s="313"/>
      <c r="H177" s="1095" t="s">
        <v>4</v>
      </c>
      <c r="I177" s="1095"/>
      <c r="J177" s="1095"/>
      <c r="K177" s="1095"/>
      <c r="L177" s="1096"/>
    </row>
    <row r="178" spans="2:12" ht="24" customHeight="1" thickBot="1">
      <c r="B178" s="12"/>
      <c r="C178" s="313"/>
      <c r="D178" s="313"/>
      <c r="E178" s="313"/>
      <c r="F178" s="313"/>
      <c r="G178" s="313"/>
      <c r="H178" s="313"/>
      <c r="I178" s="313"/>
      <c r="J178" s="313"/>
      <c r="K178" s="313"/>
      <c r="L178" s="13"/>
    </row>
    <row r="179" spans="2:12" ht="24" customHeight="1">
      <c r="B179" s="73"/>
      <c r="C179" s="74"/>
      <c r="D179" s="74"/>
      <c r="E179" s="74"/>
      <c r="F179" s="75"/>
      <c r="G179" s="313"/>
      <c r="H179" s="77"/>
      <c r="I179" s="78"/>
      <c r="J179" s="78"/>
      <c r="K179" s="78"/>
      <c r="L179" s="79"/>
    </row>
    <row r="180" spans="2:12" ht="24" customHeight="1">
      <c r="B180" s="12"/>
      <c r="C180" s="313"/>
      <c r="D180" s="313"/>
      <c r="E180" s="313"/>
      <c r="F180" s="13"/>
      <c r="G180" s="313"/>
      <c r="H180" s="76" t="s">
        <v>522</v>
      </c>
      <c r="I180" s="316"/>
      <c r="J180" s="316"/>
      <c r="K180" s="316"/>
      <c r="L180" s="80"/>
    </row>
    <row r="181" spans="2:12" ht="24" customHeight="1">
      <c r="B181" s="76" t="s">
        <v>374</v>
      </c>
      <c r="C181" s="313"/>
      <c r="D181" s="313"/>
      <c r="E181" s="313"/>
      <c r="F181" s="13"/>
      <c r="G181" s="313"/>
      <c r="H181" s="76"/>
      <c r="I181" s="316"/>
      <c r="J181" s="316"/>
      <c r="K181" s="316"/>
      <c r="L181" s="80"/>
    </row>
    <row r="182" spans="2:12" ht="24" customHeight="1">
      <c r="B182" s="12"/>
      <c r="C182" s="313"/>
      <c r="D182" s="313"/>
      <c r="E182" s="313"/>
      <c r="F182" s="13"/>
      <c r="G182" s="313"/>
      <c r="H182" s="76" t="s">
        <v>494</v>
      </c>
      <c r="I182" s="316"/>
      <c r="J182" s="316"/>
      <c r="K182" s="316"/>
      <c r="L182" s="80"/>
    </row>
    <row r="183" spans="2:12" ht="24" customHeight="1" thickBot="1">
      <c r="B183" s="24"/>
      <c r="C183" s="22"/>
      <c r="D183" s="22"/>
      <c r="E183" s="22"/>
      <c r="F183" s="23"/>
      <c r="G183" s="313"/>
      <c r="H183" s="76"/>
      <c r="I183" s="316"/>
      <c r="J183" s="316"/>
      <c r="K183" s="316"/>
      <c r="L183" s="80"/>
    </row>
    <row r="184" spans="2:12" ht="24" customHeight="1">
      <c r="B184" s="1068" t="s">
        <v>113</v>
      </c>
      <c r="C184" s="1069"/>
      <c r="D184" s="1069"/>
      <c r="E184" s="1069"/>
      <c r="F184" s="1069"/>
      <c r="G184" s="1097"/>
      <c r="H184" s="1098" t="str">
        <f>'0422Master'!B19</f>
        <v xml:space="preserve">Mandar Shetty </v>
      </c>
      <c r="I184" s="1099"/>
      <c r="J184" s="1099"/>
      <c r="K184" s="1099"/>
      <c r="L184" s="1100"/>
    </row>
    <row r="185" spans="2:12" ht="24" customHeight="1" thickBot="1">
      <c r="B185" s="529"/>
      <c r="C185" s="530"/>
      <c r="D185" s="530"/>
      <c r="E185" s="530"/>
      <c r="F185" s="530"/>
      <c r="G185" s="533"/>
      <c r="H185" s="1107" t="str">
        <f>'0422Master'!G19</f>
        <v>B-301,Hemarold Isle,Wagholi-Lohegaon,Behind Wagheshwar Temple,Wagholi,Pune 412207</v>
      </c>
      <c r="I185" s="1108"/>
      <c r="J185" s="1108"/>
      <c r="K185" s="1108"/>
      <c r="L185" s="1109"/>
    </row>
    <row r="186" spans="2:12" ht="24" customHeight="1">
      <c r="B186" s="1072" t="s">
        <v>114</v>
      </c>
      <c r="C186" s="1073"/>
      <c r="D186" s="1073"/>
      <c r="E186" s="1073"/>
      <c r="F186" s="1073"/>
      <c r="G186" s="1073"/>
      <c r="H186" s="1074">
        <v>57</v>
      </c>
      <c r="I186" s="1075"/>
      <c r="J186" s="1075"/>
      <c r="K186" s="1075"/>
      <c r="L186" s="1076"/>
    </row>
    <row r="187" spans="2:12" ht="24" customHeight="1">
      <c r="B187" s="1068" t="s">
        <v>115</v>
      </c>
      <c r="C187" s="1069"/>
      <c r="D187" s="1069"/>
      <c r="E187" s="1069"/>
      <c r="F187" s="1069"/>
      <c r="G187" s="1069"/>
      <c r="H187" s="1077" t="str">
        <f>'0422Master'!F19</f>
        <v>Project Manager</v>
      </c>
      <c r="I187" s="1070"/>
      <c r="J187" s="1070"/>
      <c r="K187" s="1070"/>
      <c r="L187" s="1071"/>
    </row>
    <row r="188" spans="2:12" ht="24" customHeight="1">
      <c r="B188" s="1068" t="s">
        <v>116</v>
      </c>
      <c r="C188" s="1069"/>
      <c r="D188" s="1069"/>
      <c r="E188" s="1069"/>
      <c r="F188" s="1069"/>
      <c r="G188" s="1069"/>
      <c r="H188" s="1078">
        <v>44509</v>
      </c>
      <c r="I188" s="1079"/>
      <c r="J188" s="1079"/>
      <c r="K188" s="1079"/>
      <c r="L188" s="1080"/>
    </row>
    <row r="189" spans="2:12" ht="24" customHeight="1">
      <c r="B189" s="332" t="s">
        <v>117</v>
      </c>
      <c r="C189" s="86"/>
      <c r="D189" s="86"/>
      <c r="E189" s="86"/>
      <c r="F189" s="86"/>
      <c r="G189" s="86"/>
      <c r="H189" s="536"/>
      <c r="I189" s="88"/>
      <c r="J189" s="331" t="str">
        <f>'0422Master'!S19</f>
        <v>100217449855</v>
      </c>
      <c r="K189" s="534"/>
      <c r="L189" s="535"/>
    </row>
    <row r="190" spans="2:12" ht="24" customHeight="1">
      <c r="B190" s="332" t="s">
        <v>118</v>
      </c>
      <c r="C190" s="86"/>
      <c r="D190" s="86"/>
      <c r="E190" s="86"/>
      <c r="F190" s="86"/>
      <c r="G190" s="367"/>
      <c r="H190" s="91"/>
      <c r="I190" s="92"/>
      <c r="J190" s="331">
        <f>'0422Master'!S60</f>
        <v>0</v>
      </c>
      <c r="K190" s="92"/>
      <c r="L190" s="93"/>
    </row>
    <row r="191" spans="2:12" ht="24" customHeight="1">
      <c r="B191" s="1081" t="s">
        <v>119</v>
      </c>
      <c r="C191" s="1082"/>
      <c r="D191" s="1082"/>
      <c r="E191" s="1082"/>
      <c r="F191" s="1082"/>
      <c r="G191" s="1082"/>
      <c r="H191" s="1074">
        <f>'0422Master'!Y19</f>
        <v>104377</v>
      </c>
      <c r="I191" s="1075"/>
      <c r="J191" s="1075"/>
      <c r="K191" s="1075"/>
      <c r="L191" s="1076"/>
    </row>
    <row r="192" spans="2:12" ht="24" customHeight="1">
      <c r="B192" s="1068" t="s">
        <v>120</v>
      </c>
      <c r="C192" s="1069"/>
      <c r="D192" s="1069"/>
      <c r="E192" s="1069"/>
      <c r="F192" s="1069"/>
      <c r="G192" s="1069"/>
      <c r="H192" s="1083">
        <f>'0422Master'!D10</f>
        <v>44652</v>
      </c>
      <c r="I192" s="1070"/>
      <c r="J192" s="1070"/>
      <c r="K192" s="1070"/>
      <c r="L192" s="1071"/>
    </row>
    <row r="193" spans="2:13" ht="24" customHeight="1">
      <c r="B193" s="1068" t="s">
        <v>121</v>
      </c>
      <c r="C193" s="1069"/>
      <c r="D193" s="1069"/>
      <c r="E193" s="1069"/>
      <c r="F193" s="1069"/>
      <c r="G193" s="1069"/>
      <c r="H193" s="1070" t="s">
        <v>122</v>
      </c>
      <c r="I193" s="1070"/>
      <c r="J193" s="1070"/>
      <c r="K193" s="1070"/>
      <c r="L193" s="1071"/>
    </row>
    <row r="194" spans="2:13" ht="24" customHeight="1">
      <c r="B194" s="332" t="s">
        <v>123</v>
      </c>
      <c r="C194" s="86"/>
      <c r="D194" s="86"/>
      <c r="E194" s="86"/>
      <c r="F194" s="86"/>
      <c r="G194" s="367"/>
      <c r="H194" s="536"/>
      <c r="I194" s="534"/>
      <c r="J194" s="95">
        <f>'0422Master'!W19</f>
        <v>30</v>
      </c>
      <c r="K194" s="534"/>
      <c r="L194" s="535"/>
    </row>
    <row r="195" spans="2:13" ht="24" customHeight="1">
      <c r="B195" s="332" t="s">
        <v>124</v>
      </c>
      <c r="C195" s="86"/>
      <c r="D195" s="86"/>
      <c r="E195" s="86"/>
      <c r="F195" s="86"/>
      <c r="G195" s="367"/>
      <c r="H195" s="536"/>
      <c r="I195" s="534"/>
      <c r="J195" s="534" t="s">
        <v>37</v>
      </c>
      <c r="K195" s="534"/>
      <c r="L195" s="535"/>
    </row>
    <row r="196" spans="2:13" ht="24" customHeight="1">
      <c r="B196" s="332" t="s">
        <v>125</v>
      </c>
      <c r="C196" s="86"/>
      <c r="D196" s="86"/>
      <c r="E196" s="86"/>
      <c r="F196" s="86"/>
      <c r="G196" s="367"/>
      <c r="H196" s="536"/>
      <c r="I196" s="534"/>
      <c r="J196" s="95">
        <v>0</v>
      </c>
      <c r="K196" s="534"/>
      <c r="L196" s="535"/>
    </row>
    <row r="197" spans="2:13" ht="24" customHeight="1">
      <c r="B197" s="332" t="s">
        <v>126</v>
      </c>
      <c r="C197" s="86"/>
      <c r="D197" s="86"/>
      <c r="E197" s="86"/>
      <c r="F197" s="86"/>
      <c r="G197" s="367"/>
      <c r="H197" s="536"/>
      <c r="I197" s="534"/>
      <c r="J197" s="534">
        <v>0</v>
      </c>
      <c r="K197" s="534"/>
      <c r="L197" s="535"/>
    </row>
    <row r="198" spans="2:13" ht="24" customHeight="1">
      <c r="B198" s="332" t="s">
        <v>127</v>
      </c>
      <c r="C198" s="86"/>
      <c r="D198" s="86"/>
      <c r="E198" s="86"/>
      <c r="F198" s="86"/>
      <c r="G198" s="367"/>
      <c r="H198" s="536"/>
      <c r="I198" s="534"/>
      <c r="J198" s="311">
        <f>'0422Master'!AM19</f>
        <v>114275.77922</v>
      </c>
      <c r="K198" s="534"/>
      <c r="L198" s="535" t="s">
        <v>35</v>
      </c>
    </row>
    <row r="199" spans="2:13" ht="24" customHeight="1">
      <c r="B199" s="332" t="s">
        <v>128</v>
      </c>
      <c r="C199" s="86"/>
      <c r="D199" s="531" t="s">
        <v>32</v>
      </c>
      <c r="E199" s="532">
        <f>'0422Master'!AO19</f>
        <v>1800</v>
      </c>
      <c r="F199" s="531" t="s">
        <v>31</v>
      </c>
      <c r="G199" s="532">
        <f>'0422Master'!AN60</f>
        <v>0</v>
      </c>
      <c r="H199" s="531" t="s">
        <v>33</v>
      </c>
      <c r="I199" s="532">
        <f>'0422Master'!AP19</f>
        <v>200</v>
      </c>
      <c r="J199" s="531" t="s">
        <v>34</v>
      </c>
      <c r="K199" s="532">
        <f>'0422Master'!AQ19</f>
        <v>0</v>
      </c>
      <c r="L199" s="100">
        <f>'0422Master'!AR19</f>
        <v>283</v>
      </c>
    </row>
    <row r="200" spans="2:13" ht="24" customHeight="1">
      <c r="B200" s="332" t="s">
        <v>129</v>
      </c>
      <c r="C200" s="86"/>
      <c r="D200" s="86"/>
      <c r="E200" s="86"/>
      <c r="F200" s="86"/>
      <c r="G200" s="367"/>
      <c r="H200" s="536"/>
      <c r="I200" s="534"/>
      <c r="J200" s="95">
        <f>J198-(E199+G199+I199+K199+L199)</f>
        <v>111992.77922</v>
      </c>
      <c r="K200" s="534"/>
      <c r="L200" s="535"/>
      <c r="M200">
        <v>5</v>
      </c>
    </row>
    <row r="201" spans="2:13" ht="24" customHeight="1">
      <c r="B201" s="333" t="s">
        <v>130</v>
      </c>
      <c r="C201" s="334"/>
      <c r="D201" s="334"/>
      <c r="E201" s="334"/>
      <c r="F201" s="334"/>
      <c r="G201" s="335"/>
      <c r="H201" s="336"/>
      <c r="I201" s="337"/>
      <c r="J201" s="337"/>
      <c r="K201" s="337"/>
      <c r="L201" s="97"/>
    </row>
    <row r="202" spans="2:13" ht="24" customHeight="1">
      <c r="B202" s="358" t="s">
        <v>131</v>
      </c>
      <c r="C202" s="316"/>
      <c r="D202" s="316"/>
      <c r="E202" s="316"/>
      <c r="F202" s="316"/>
      <c r="G202" s="359"/>
      <c r="H202" s="70"/>
      <c r="I202" s="313"/>
      <c r="J202" s="313"/>
      <c r="K202" s="313"/>
      <c r="L202" s="13"/>
    </row>
    <row r="203" spans="2:13">
      <c r="B203" s="12"/>
      <c r="C203" s="313"/>
      <c r="D203" s="313"/>
      <c r="E203" s="313"/>
      <c r="F203" s="313"/>
      <c r="G203" s="313"/>
      <c r="H203" s="313"/>
      <c r="I203" s="313"/>
      <c r="J203" s="313"/>
      <c r="K203" s="313"/>
      <c r="L203" s="13"/>
    </row>
    <row r="204" spans="2:13" ht="15.75" thickBot="1">
      <c r="B204" s="24"/>
      <c r="C204" s="22"/>
      <c r="D204" s="22"/>
      <c r="E204" s="22"/>
      <c r="F204" s="22"/>
      <c r="G204" s="22"/>
      <c r="H204" s="22"/>
      <c r="I204" s="22"/>
      <c r="J204" s="22"/>
      <c r="K204" s="22"/>
      <c r="L204" s="23"/>
    </row>
    <row r="205" spans="2:13">
      <c r="B205" s="313"/>
      <c r="C205" s="313"/>
      <c r="D205" s="313"/>
      <c r="E205" s="313"/>
      <c r="F205" s="313"/>
      <c r="G205" s="313"/>
      <c r="H205" s="313"/>
      <c r="I205" s="313"/>
      <c r="J205" s="313"/>
      <c r="K205" s="313"/>
      <c r="L205" s="313"/>
    </row>
    <row r="206" spans="2:13">
      <c r="B206" s="313"/>
      <c r="C206" s="313"/>
      <c r="D206" s="313"/>
      <c r="E206" s="313"/>
      <c r="F206" s="313"/>
      <c r="G206" s="313"/>
      <c r="H206" s="313"/>
      <c r="I206" s="313"/>
      <c r="J206" s="313"/>
      <c r="K206" s="313"/>
      <c r="L206" s="313"/>
    </row>
    <row r="207" spans="2:13">
      <c r="B207" s="313"/>
      <c r="C207" s="313"/>
      <c r="D207" s="313"/>
      <c r="E207" s="313"/>
      <c r="F207" s="313"/>
      <c r="G207" s="313"/>
      <c r="H207" s="313"/>
      <c r="I207" s="313"/>
      <c r="J207" s="313"/>
      <c r="K207" s="313"/>
      <c r="L207" s="313"/>
    </row>
    <row r="208" spans="2:13">
      <c r="B208" s="313"/>
      <c r="C208" s="313"/>
      <c r="D208" s="313"/>
      <c r="E208" s="313"/>
      <c r="F208" s="313"/>
      <c r="G208" s="313"/>
      <c r="H208" s="313"/>
      <c r="I208" s="313"/>
      <c r="J208" s="313"/>
      <c r="K208" s="313"/>
      <c r="L208" s="313"/>
    </row>
    <row r="209" spans="2:12">
      <c r="B209" s="313"/>
      <c r="C209" s="313"/>
      <c r="D209" s="313"/>
      <c r="E209" s="313"/>
      <c r="F209" s="313"/>
      <c r="G209" s="313"/>
      <c r="H209" s="313"/>
      <c r="I209" s="313"/>
      <c r="J209" s="313"/>
      <c r="K209" s="313"/>
      <c r="L209" s="313"/>
    </row>
    <row r="210" spans="2:12">
      <c r="B210" s="313"/>
      <c r="C210" s="313"/>
      <c r="D210" s="313"/>
      <c r="E210" s="313"/>
      <c r="F210" s="313"/>
      <c r="G210" s="313"/>
      <c r="H210" s="313"/>
      <c r="I210" s="313"/>
      <c r="J210" s="313"/>
      <c r="K210" s="313"/>
      <c r="L210" s="313"/>
    </row>
    <row r="214" spans="2:12" s="330" customFormat="1"/>
    <row r="216" spans="2:12" ht="15.75" thickBot="1"/>
    <row r="217" spans="2:12" ht="21.6" customHeight="1">
      <c r="B217" s="1104" t="s">
        <v>107</v>
      </c>
      <c r="C217" s="1105"/>
      <c r="D217" s="1105"/>
      <c r="E217" s="1105"/>
      <c r="F217" s="1105"/>
      <c r="G217" s="1105"/>
      <c r="H217" s="1105"/>
      <c r="I217" s="1105"/>
      <c r="J217" s="1105"/>
      <c r="K217" s="1105"/>
      <c r="L217" s="1106"/>
    </row>
    <row r="218" spans="2:12" ht="21.6" customHeight="1">
      <c r="B218" s="1084" t="s">
        <v>108</v>
      </c>
      <c r="C218" s="1085"/>
      <c r="D218" s="1085"/>
      <c r="E218" s="1085"/>
      <c r="F218" s="1085"/>
      <c r="G218" s="1085"/>
      <c r="H218" s="1085"/>
      <c r="I218" s="1085"/>
      <c r="J218" s="1085"/>
      <c r="K218" s="1085"/>
      <c r="L218" s="1086"/>
    </row>
    <row r="219" spans="2:12" ht="21.6" customHeight="1" thickBot="1">
      <c r="B219" s="1087" t="s">
        <v>382</v>
      </c>
      <c r="C219" s="1088"/>
      <c r="D219" s="1088"/>
      <c r="E219" s="1088"/>
      <c r="F219" s="1088"/>
      <c r="G219" s="1088"/>
      <c r="H219" s="1088"/>
      <c r="I219" s="1088"/>
      <c r="J219" s="1088"/>
      <c r="K219" s="1088"/>
      <c r="L219" s="1089"/>
    </row>
    <row r="220" spans="2:12" ht="21.6" customHeight="1">
      <c r="B220" s="1090" t="s">
        <v>109</v>
      </c>
      <c r="C220" s="1091"/>
      <c r="D220" s="1091"/>
      <c r="E220" s="1091"/>
      <c r="F220" s="1091"/>
      <c r="G220" s="313"/>
      <c r="H220" s="1092" t="s">
        <v>110</v>
      </c>
      <c r="I220" s="1092"/>
      <c r="J220" s="1092"/>
      <c r="K220" s="1092"/>
      <c r="L220" s="1093"/>
    </row>
    <row r="221" spans="2:12" ht="21.6" customHeight="1" thickBot="1">
      <c r="B221" s="1090"/>
      <c r="C221" s="1091"/>
      <c r="D221" s="1091"/>
      <c r="E221" s="1091"/>
      <c r="F221" s="1091"/>
      <c r="G221" s="313"/>
      <c r="H221" s="1092"/>
      <c r="I221" s="1092"/>
      <c r="J221" s="1092"/>
      <c r="K221" s="1092"/>
      <c r="L221" s="1093"/>
    </row>
    <row r="222" spans="2:12" ht="21.6" customHeight="1">
      <c r="B222" s="73"/>
      <c r="C222" s="74"/>
      <c r="D222" s="74"/>
      <c r="E222" s="74"/>
      <c r="F222" s="75"/>
      <c r="G222" s="313"/>
      <c r="H222" s="73"/>
      <c r="I222" s="74"/>
      <c r="J222" s="74"/>
      <c r="K222" s="74"/>
      <c r="L222" s="75"/>
    </row>
    <row r="223" spans="2:12" ht="21.6" customHeight="1">
      <c r="B223" s="76" t="s">
        <v>384</v>
      </c>
      <c r="C223" s="313"/>
      <c r="D223" s="313"/>
      <c r="E223" s="313"/>
      <c r="F223" s="13"/>
      <c r="G223" s="313"/>
      <c r="H223" s="76" t="s">
        <v>384</v>
      </c>
      <c r="I223" s="313"/>
      <c r="J223" s="313"/>
      <c r="K223" s="313"/>
      <c r="L223" s="13"/>
    </row>
    <row r="224" spans="2:12" ht="21.6" customHeight="1">
      <c r="B224" s="12"/>
      <c r="C224" s="313"/>
      <c r="D224" s="313"/>
      <c r="E224" s="313"/>
      <c r="F224" s="13"/>
      <c r="G224" s="313"/>
      <c r="H224" s="12"/>
      <c r="I224" s="313"/>
      <c r="J224" s="313"/>
      <c r="K224" s="313"/>
      <c r="L224" s="13"/>
    </row>
    <row r="225" spans="2:12" ht="21.6" customHeight="1">
      <c r="B225" s="76" t="s">
        <v>385</v>
      </c>
      <c r="C225" s="313"/>
      <c r="D225" s="313"/>
      <c r="E225" s="313"/>
      <c r="F225" s="13"/>
      <c r="G225" s="313"/>
      <c r="H225" s="76" t="s">
        <v>385</v>
      </c>
      <c r="I225" s="313"/>
      <c r="J225" s="313"/>
      <c r="K225" s="313"/>
      <c r="L225" s="13"/>
    </row>
    <row r="226" spans="2:12" ht="21.6" customHeight="1" thickBot="1">
      <c r="B226" s="24"/>
      <c r="C226" s="22"/>
      <c r="D226" s="22"/>
      <c r="E226" s="22"/>
      <c r="F226" s="23"/>
      <c r="G226" s="313"/>
      <c r="H226" s="24"/>
      <c r="I226" s="22"/>
      <c r="J226" s="22"/>
      <c r="K226" s="22"/>
      <c r="L226" s="23"/>
    </row>
    <row r="227" spans="2:12" ht="21.6" customHeight="1">
      <c r="B227" s="12"/>
      <c r="C227" s="313"/>
      <c r="D227" s="313"/>
      <c r="E227" s="313"/>
      <c r="F227" s="313"/>
      <c r="G227" s="313"/>
      <c r="H227" s="313"/>
      <c r="I227" s="313"/>
      <c r="J227" s="313" t="s">
        <v>111</v>
      </c>
      <c r="K227" s="313"/>
      <c r="L227" s="13"/>
    </row>
    <row r="228" spans="2:12" ht="21.6" customHeight="1">
      <c r="B228" s="1094" t="s">
        <v>112</v>
      </c>
      <c r="C228" s="1095"/>
      <c r="D228" s="1095"/>
      <c r="E228" s="1095"/>
      <c r="F228" s="1095"/>
      <c r="G228" s="313"/>
      <c r="H228" s="1095" t="s">
        <v>4</v>
      </c>
      <c r="I228" s="1095"/>
      <c r="J228" s="1095"/>
      <c r="K228" s="1095"/>
      <c r="L228" s="1096"/>
    </row>
    <row r="229" spans="2:12" ht="21.6" customHeight="1" thickBot="1">
      <c r="B229" s="12"/>
      <c r="C229" s="313"/>
      <c r="D229" s="313"/>
      <c r="E229" s="313"/>
      <c r="F229" s="313"/>
      <c r="G229" s="313"/>
      <c r="H229" s="313"/>
      <c r="I229" s="313"/>
      <c r="J229" s="313"/>
      <c r="K229" s="313"/>
      <c r="L229" s="13"/>
    </row>
    <row r="230" spans="2:12" ht="21.6" customHeight="1">
      <c r="B230" s="73"/>
      <c r="C230" s="74"/>
      <c r="D230" s="74"/>
      <c r="E230" s="74"/>
      <c r="F230" s="75"/>
      <c r="G230" s="313"/>
      <c r="H230" s="77"/>
      <c r="I230" s="78"/>
      <c r="J230" s="78"/>
      <c r="K230" s="78"/>
      <c r="L230" s="79"/>
    </row>
    <row r="231" spans="2:12" ht="21.6" customHeight="1">
      <c r="B231" s="12"/>
      <c r="C231" s="313"/>
      <c r="D231" s="313"/>
      <c r="E231" s="313"/>
      <c r="F231" s="13"/>
      <c r="G231" s="313"/>
      <c r="H231" s="76" t="s">
        <v>522</v>
      </c>
      <c r="I231" s="316"/>
      <c r="J231" s="316"/>
      <c r="K231" s="316"/>
      <c r="L231" s="80"/>
    </row>
    <row r="232" spans="2:12" ht="21.6" customHeight="1">
      <c r="B232" s="76" t="s">
        <v>374</v>
      </c>
      <c r="C232" s="313"/>
      <c r="D232" s="313"/>
      <c r="E232" s="313"/>
      <c r="F232" s="13"/>
      <c r="G232" s="313"/>
      <c r="H232" s="76"/>
      <c r="I232" s="316"/>
      <c r="J232" s="316"/>
      <c r="K232" s="316"/>
      <c r="L232" s="80"/>
    </row>
    <row r="233" spans="2:12" ht="21.6" customHeight="1">
      <c r="B233" s="12"/>
      <c r="C233" s="313"/>
      <c r="D233" s="313"/>
      <c r="E233" s="313"/>
      <c r="F233" s="13"/>
      <c r="G233" s="313"/>
      <c r="H233" s="76" t="s">
        <v>494</v>
      </c>
      <c r="I233" s="316"/>
      <c r="J233" s="316"/>
      <c r="K233" s="316"/>
      <c r="L233" s="80"/>
    </row>
    <row r="234" spans="2:12" ht="21.6" customHeight="1" thickBot="1">
      <c r="B234" s="24"/>
      <c r="C234" s="22"/>
      <c r="D234" s="22"/>
      <c r="E234" s="22"/>
      <c r="F234" s="23"/>
      <c r="G234" s="313"/>
      <c r="H234" s="76"/>
      <c r="I234" s="316"/>
      <c r="J234" s="316"/>
      <c r="K234" s="316"/>
      <c r="L234" s="80"/>
    </row>
    <row r="235" spans="2:12" ht="30" customHeight="1">
      <c r="B235" s="1068" t="s">
        <v>113</v>
      </c>
      <c r="C235" s="1069"/>
      <c r="D235" s="1069"/>
      <c r="E235" s="1069"/>
      <c r="F235" s="1069"/>
      <c r="G235" s="1097"/>
      <c r="H235" s="1098" t="str">
        <f>'0422Master'!B20</f>
        <v xml:space="preserve">Vivek Dongre </v>
      </c>
      <c r="I235" s="1099"/>
      <c r="J235" s="1099"/>
      <c r="K235" s="1099"/>
      <c r="L235" s="1100"/>
    </row>
    <row r="236" spans="2:12" ht="30" customHeight="1" thickBot="1">
      <c r="B236" s="529"/>
      <c r="C236" s="530"/>
      <c r="D236" s="530"/>
      <c r="E236" s="530"/>
      <c r="F236" s="530"/>
      <c r="G236" s="533"/>
      <c r="H236" s="1101" t="str">
        <f>'0422Master'!G20</f>
        <v>B-8,Good will Samwrudhi,Gokul nagar,Dhanuri road No.15,Pune 411015</v>
      </c>
      <c r="I236" s="1102"/>
      <c r="J236" s="1102"/>
      <c r="K236" s="1102"/>
      <c r="L236" s="1103"/>
    </row>
    <row r="237" spans="2:12" ht="30" customHeight="1">
      <c r="B237" s="1072" t="s">
        <v>114</v>
      </c>
      <c r="C237" s="1073"/>
      <c r="D237" s="1073"/>
      <c r="E237" s="1073"/>
      <c r="F237" s="1073"/>
      <c r="G237" s="1073"/>
      <c r="H237" s="1074">
        <v>58</v>
      </c>
      <c r="I237" s="1075"/>
      <c r="J237" s="1075"/>
      <c r="K237" s="1075"/>
      <c r="L237" s="1076"/>
    </row>
    <row r="238" spans="2:12" ht="30" customHeight="1">
      <c r="B238" s="1068" t="s">
        <v>115</v>
      </c>
      <c r="C238" s="1069"/>
      <c r="D238" s="1069"/>
      <c r="E238" s="1069"/>
      <c r="F238" s="1069"/>
      <c r="G238" s="1069"/>
      <c r="H238" s="1077" t="str">
        <f>'0422Master'!F20</f>
        <v>Project Manager</v>
      </c>
      <c r="I238" s="1070"/>
      <c r="J238" s="1070"/>
      <c r="K238" s="1070"/>
      <c r="L238" s="1071"/>
    </row>
    <row r="239" spans="2:12" ht="30" customHeight="1">
      <c r="B239" s="1068" t="s">
        <v>116</v>
      </c>
      <c r="C239" s="1069"/>
      <c r="D239" s="1069"/>
      <c r="E239" s="1069"/>
      <c r="F239" s="1069"/>
      <c r="G239" s="1069"/>
      <c r="H239" s="1078">
        <v>44515</v>
      </c>
      <c r="I239" s="1079"/>
      <c r="J239" s="1079"/>
      <c r="K239" s="1079"/>
      <c r="L239" s="1080"/>
    </row>
    <row r="240" spans="2:12" ht="30" customHeight="1">
      <c r="B240" s="332" t="s">
        <v>117</v>
      </c>
      <c r="C240" s="86"/>
      <c r="D240" s="86"/>
      <c r="E240" s="86"/>
      <c r="F240" s="86"/>
      <c r="G240" s="86"/>
      <c r="H240" s="536"/>
      <c r="I240" s="88"/>
      <c r="J240" s="331" t="str">
        <f>'0422Master'!T20</f>
        <v>N/A</v>
      </c>
      <c r="K240" s="534"/>
      <c r="L240" s="535"/>
    </row>
    <row r="241" spans="2:13" ht="30" customHeight="1">
      <c r="B241" s="332" t="s">
        <v>118</v>
      </c>
      <c r="C241" s="86"/>
      <c r="D241" s="86"/>
      <c r="E241" s="86"/>
      <c r="F241" s="86"/>
      <c r="G241" s="367"/>
      <c r="H241" s="91"/>
      <c r="I241" s="92"/>
      <c r="J241" s="331" t="str">
        <f>'0422Master'!S20</f>
        <v>100857629834</v>
      </c>
      <c r="K241" s="92"/>
      <c r="L241" s="93"/>
    </row>
    <row r="242" spans="2:13" ht="30" customHeight="1">
      <c r="B242" s="1081" t="s">
        <v>119</v>
      </c>
      <c r="C242" s="1082"/>
      <c r="D242" s="1082"/>
      <c r="E242" s="1082"/>
      <c r="F242" s="1082"/>
      <c r="G242" s="1082"/>
      <c r="H242" s="1074">
        <f>'0422Master'!Y20</f>
        <v>66374</v>
      </c>
      <c r="I242" s="1075"/>
      <c r="J242" s="1075"/>
      <c r="K242" s="1075"/>
      <c r="L242" s="1076"/>
    </row>
    <row r="243" spans="2:13" ht="30" customHeight="1">
      <c r="B243" s="1068" t="s">
        <v>120</v>
      </c>
      <c r="C243" s="1069"/>
      <c r="D243" s="1069"/>
      <c r="E243" s="1069"/>
      <c r="F243" s="1069"/>
      <c r="G243" s="1069"/>
      <c r="H243" s="1083">
        <f>'0422Master'!D10</f>
        <v>44652</v>
      </c>
      <c r="I243" s="1070"/>
      <c r="J243" s="1070"/>
      <c r="K243" s="1070"/>
      <c r="L243" s="1071"/>
    </row>
    <row r="244" spans="2:13" ht="30" customHeight="1">
      <c r="B244" s="1068" t="s">
        <v>121</v>
      </c>
      <c r="C244" s="1069"/>
      <c r="D244" s="1069"/>
      <c r="E244" s="1069"/>
      <c r="F244" s="1069"/>
      <c r="G244" s="1069"/>
      <c r="H244" s="1070" t="s">
        <v>122</v>
      </c>
      <c r="I244" s="1070"/>
      <c r="J244" s="1070"/>
      <c r="K244" s="1070"/>
      <c r="L244" s="1071"/>
    </row>
    <row r="245" spans="2:13" ht="30" customHeight="1">
      <c r="B245" s="332" t="s">
        <v>123</v>
      </c>
      <c r="C245" s="86"/>
      <c r="D245" s="86"/>
      <c r="E245" s="86"/>
      <c r="F245" s="86"/>
      <c r="G245" s="367"/>
      <c r="H245" s="536"/>
      <c r="I245" s="534"/>
      <c r="J245" s="95">
        <f>'0422Master'!W20</f>
        <v>30</v>
      </c>
      <c r="K245" s="534"/>
      <c r="L245" s="535"/>
    </row>
    <row r="246" spans="2:13" ht="30" customHeight="1">
      <c r="B246" s="332" t="s">
        <v>124</v>
      </c>
      <c r="C246" s="86"/>
      <c r="D246" s="86"/>
      <c r="E246" s="86"/>
      <c r="F246" s="86"/>
      <c r="G246" s="367"/>
      <c r="H246" s="536"/>
      <c r="I246" s="534"/>
      <c r="J246" s="534" t="s">
        <v>37</v>
      </c>
      <c r="K246" s="534"/>
      <c r="L246" s="535"/>
    </row>
    <row r="247" spans="2:13" ht="30" customHeight="1">
      <c r="B247" s="332" t="s">
        <v>125</v>
      </c>
      <c r="C247" s="86"/>
      <c r="D247" s="86"/>
      <c r="E247" s="86"/>
      <c r="F247" s="86"/>
      <c r="G247" s="367"/>
      <c r="H247" s="536"/>
      <c r="I247" s="534"/>
      <c r="J247" s="95">
        <v>0</v>
      </c>
      <c r="K247" s="534"/>
      <c r="L247" s="535"/>
    </row>
    <row r="248" spans="2:13" ht="30" customHeight="1">
      <c r="B248" s="332" t="s">
        <v>126</v>
      </c>
      <c r="C248" s="86"/>
      <c r="D248" s="86"/>
      <c r="E248" s="86"/>
      <c r="F248" s="86"/>
      <c r="G248" s="367"/>
      <c r="H248" s="536"/>
      <c r="I248" s="534"/>
      <c r="J248" s="534">
        <v>0</v>
      </c>
      <c r="K248" s="534"/>
      <c r="L248" s="535"/>
    </row>
    <row r="249" spans="2:13" ht="30" customHeight="1">
      <c r="B249" s="332" t="s">
        <v>127</v>
      </c>
      <c r="C249" s="86"/>
      <c r="D249" s="86"/>
      <c r="E249" s="86"/>
      <c r="F249" s="86"/>
      <c r="G249" s="367"/>
      <c r="H249" s="536"/>
      <c r="I249" s="534"/>
      <c r="J249" s="311">
        <f>'0422Master'!AM20</f>
        <v>73275.862639999992</v>
      </c>
      <c r="K249" s="534"/>
      <c r="L249" s="535" t="s">
        <v>35</v>
      </c>
    </row>
    <row r="250" spans="2:13" ht="30" customHeight="1">
      <c r="B250" s="332" t="s">
        <v>128</v>
      </c>
      <c r="C250" s="86"/>
      <c r="D250" s="531" t="s">
        <v>32</v>
      </c>
      <c r="E250" s="532">
        <f>'0422Master'!AO20</f>
        <v>1800</v>
      </c>
      <c r="F250" s="531" t="s">
        <v>31</v>
      </c>
      <c r="G250" s="532">
        <f>'0422Master'!AN110</f>
        <v>0</v>
      </c>
      <c r="H250" s="531" t="s">
        <v>33</v>
      </c>
      <c r="I250" s="532">
        <f>'0422Master'!AP20</f>
        <v>200</v>
      </c>
      <c r="J250" s="531" t="s">
        <v>34</v>
      </c>
      <c r="K250" s="532">
        <f>'0422Master'!AQ20</f>
        <v>0</v>
      </c>
      <c r="L250" s="100">
        <f>'0422Master'!AR20</f>
        <v>252</v>
      </c>
    </row>
    <row r="251" spans="2:13" ht="30" customHeight="1">
      <c r="B251" s="332" t="s">
        <v>129</v>
      </c>
      <c r="C251" s="86"/>
      <c r="D251" s="86"/>
      <c r="E251" s="86"/>
      <c r="F251" s="86"/>
      <c r="G251" s="367"/>
      <c r="H251" s="536"/>
      <c r="I251" s="534"/>
      <c r="J251" s="95">
        <f>J249-(E250+G250+I250+K250+L250)</f>
        <v>71023.862639999992</v>
      </c>
      <c r="K251" s="534"/>
      <c r="L251" s="535"/>
      <c r="M251">
        <v>6</v>
      </c>
    </row>
    <row r="252" spans="2:13" ht="21.6" customHeight="1">
      <c r="B252" s="333" t="s">
        <v>130</v>
      </c>
      <c r="C252" s="334"/>
      <c r="D252" s="334"/>
      <c r="E252" s="334"/>
      <c r="F252" s="334"/>
      <c r="G252" s="335"/>
      <c r="H252" s="336"/>
      <c r="I252" s="337"/>
      <c r="J252" s="337"/>
      <c r="K252" s="337"/>
      <c r="L252" s="97"/>
    </row>
    <row r="253" spans="2:13" ht="21.6" customHeight="1">
      <c r="B253" s="358" t="s">
        <v>131</v>
      </c>
      <c r="C253" s="316"/>
      <c r="D253" s="316"/>
      <c r="E253" s="316"/>
      <c r="F253" s="316"/>
      <c r="G253" s="359"/>
      <c r="H253" s="70"/>
      <c r="I253" s="313"/>
      <c r="J253" s="313"/>
      <c r="K253" s="313"/>
      <c r="L253" s="13"/>
    </row>
    <row r="254" spans="2:13" ht="21.6" customHeight="1">
      <c r="B254" s="12"/>
      <c r="C254" s="313"/>
      <c r="D254" s="313"/>
      <c r="E254" s="313"/>
      <c r="F254" s="313"/>
      <c r="G254" s="313"/>
      <c r="H254" s="313"/>
      <c r="I254" s="313"/>
      <c r="J254" s="313"/>
      <c r="K254" s="313"/>
      <c r="L254" s="13"/>
    </row>
    <row r="255" spans="2:13" ht="15.75" thickBot="1">
      <c r="B255" s="24"/>
      <c r="C255" s="22"/>
      <c r="D255" s="22"/>
      <c r="E255" s="22"/>
      <c r="F255" s="22"/>
      <c r="G255" s="22"/>
      <c r="H255" s="22"/>
      <c r="I255" s="22"/>
      <c r="J255" s="22"/>
      <c r="K255" s="22"/>
      <c r="L255" s="23"/>
    </row>
    <row r="262" spans="2:12" ht="15.75" thickBot="1"/>
    <row r="263" spans="2:12" ht="32.25">
      <c r="B263" s="1104" t="s">
        <v>107</v>
      </c>
      <c r="C263" s="1105"/>
      <c r="D263" s="1105"/>
      <c r="E263" s="1105"/>
      <c r="F263" s="1105"/>
      <c r="G263" s="1105"/>
      <c r="H263" s="1105"/>
      <c r="I263" s="1105"/>
      <c r="J263" s="1105"/>
      <c r="K263" s="1105"/>
      <c r="L263" s="1106"/>
    </row>
    <row r="264" spans="2:12" ht="23.25">
      <c r="B264" s="1084" t="s">
        <v>108</v>
      </c>
      <c r="C264" s="1085"/>
      <c r="D264" s="1085"/>
      <c r="E264" s="1085"/>
      <c r="F264" s="1085"/>
      <c r="G264" s="1085"/>
      <c r="H264" s="1085"/>
      <c r="I264" s="1085"/>
      <c r="J264" s="1085"/>
      <c r="K264" s="1085"/>
      <c r="L264" s="1086"/>
    </row>
    <row r="265" spans="2:12" ht="16.5" thickBot="1">
      <c r="B265" s="1087" t="s">
        <v>382</v>
      </c>
      <c r="C265" s="1088"/>
      <c r="D265" s="1088"/>
      <c r="E265" s="1088"/>
      <c r="F265" s="1088"/>
      <c r="G265" s="1088"/>
      <c r="H265" s="1088"/>
      <c r="I265" s="1088"/>
      <c r="J265" s="1088"/>
      <c r="K265" s="1088"/>
      <c r="L265" s="1089"/>
    </row>
    <row r="266" spans="2:12">
      <c r="B266" s="1090" t="s">
        <v>109</v>
      </c>
      <c r="C266" s="1091"/>
      <c r="D266" s="1091"/>
      <c r="E266" s="1091"/>
      <c r="F266" s="1091"/>
      <c r="G266" s="313"/>
      <c r="H266" s="1092" t="s">
        <v>110</v>
      </c>
      <c r="I266" s="1092"/>
      <c r="J266" s="1092"/>
      <c r="K266" s="1092"/>
      <c r="L266" s="1093"/>
    </row>
    <row r="267" spans="2:12" ht="25.9" customHeight="1" thickBot="1">
      <c r="B267" s="1090"/>
      <c r="C267" s="1091"/>
      <c r="D267" s="1091"/>
      <c r="E267" s="1091"/>
      <c r="F267" s="1091"/>
      <c r="G267" s="313"/>
      <c r="H267" s="1092"/>
      <c r="I267" s="1092"/>
      <c r="J267" s="1092"/>
      <c r="K267" s="1092"/>
      <c r="L267" s="1093"/>
    </row>
    <row r="268" spans="2:12" ht="25.9" customHeight="1">
      <c r="B268" s="73"/>
      <c r="C268" s="74"/>
      <c r="D268" s="74"/>
      <c r="E268" s="74"/>
      <c r="F268" s="75"/>
      <c r="G268" s="313"/>
      <c r="H268" s="73"/>
      <c r="I268" s="74"/>
      <c r="J268" s="74"/>
      <c r="K268" s="74"/>
      <c r="L268" s="75"/>
    </row>
    <row r="269" spans="2:12" ht="25.9" customHeight="1">
      <c r="B269" s="76" t="s">
        <v>384</v>
      </c>
      <c r="C269" s="313"/>
      <c r="D269" s="313"/>
      <c r="E269" s="313"/>
      <c r="F269" s="13"/>
      <c r="G269" s="313"/>
      <c r="H269" s="76" t="s">
        <v>384</v>
      </c>
      <c r="I269" s="313"/>
      <c r="J269" s="313"/>
      <c r="K269" s="313"/>
      <c r="L269" s="13"/>
    </row>
    <row r="270" spans="2:12" ht="25.9" customHeight="1">
      <c r="B270" s="12"/>
      <c r="C270" s="313"/>
      <c r="D270" s="313"/>
      <c r="E270" s="313"/>
      <c r="F270" s="13"/>
      <c r="G270" s="313"/>
      <c r="H270" s="12"/>
      <c r="I270" s="313"/>
      <c r="J270" s="313"/>
      <c r="K270" s="313"/>
      <c r="L270" s="13"/>
    </row>
    <row r="271" spans="2:12" ht="25.9" customHeight="1">
      <c r="B271" s="76" t="s">
        <v>385</v>
      </c>
      <c r="C271" s="313"/>
      <c r="D271" s="313"/>
      <c r="E271" s="313"/>
      <c r="F271" s="13"/>
      <c r="G271" s="313"/>
      <c r="H271" s="76" t="s">
        <v>385</v>
      </c>
      <c r="I271" s="313"/>
      <c r="J271" s="313"/>
      <c r="K271" s="313"/>
      <c r="L271" s="13"/>
    </row>
    <row r="272" spans="2:12" ht="25.9" customHeight="1" thickBot="1">
      <c r="B272" s="24"/>
      <c r="C272" s="22"/>
      <c r="D272" s="22"/>
      <c r="E272" s="22"/>
      <c r="F272" s="23"/>
      <c r="G272" s="313"/>
      <c r="H272" s="24"/>
      <c r="I272" s="22"/>
      <c r="J272" s="22"/>
      <c r="K272" s="22"/>
      <c r="L272" s="23"/>
    </row>
    <row r="273" spans="2:12" ht="25.9" customHeight="1">
      <c r="B273" s="12"/>
      <c r="C273" s="313"/>
      <c r="D273" s="313"/>
      <c r="E273" s="313"/>
      <c r="F273" s="313"/>
      <c r="G273" s="313"/>
      <c r="H273" s="313"/>
      <c r="I273" s="313"/>
      <c r="J273" s="313" t="s">
        <v>111</v>
      </c>
      <c r="K273" s="313"/>
      <c r="L273" s="13"/>
    </row>
    <row r="274" spans="2:12" ht="25.9" customHeight="1">
      <c r="B274" s="1094" t="s">
        <v>112</v>
      </c>
      <c r="C274" s="1095"/>
      <c r="D274" s="1095"/>
      <c r="E274" s="1095"/>
      <c r="F274" s="1095"/>
      <c r="G274" s="313"/>
      <c r="H274" s="1095" t="s">
        <v>4</v>
      </c>
      <c r="I274" s="1095"/>
      <c r="J274" s="1095"/>
      <c r="K274" s="1095"/>
      <c r="L274" s="1096"/>
    </row>
    <row r="275" spans="2:12" ht="25.9" customHeight="1" thickBot="1">
      <c r="B275" s="12"/>
      <c r="C275" s="313"/>
      <c r="D275" s="313"/>
      <c r="E275" s="313"/>
      <c r="F275" s="313"/>
      <c r="G275" s="313"/>
      <c r="H275" s="313"/>
      <c r="I275" s="313"/>
      <c r="J275" s="313"/>
      <c r="K275" s="313"/>
      <c r="L275" s="13"/>
    </row>
    <row r="276" spans="2:12" ht="25.9" customHeight="1">
      <c r="B276" s="73"/>
      <c r="C276" s="74"/>
      <c r="D276" s="74"/>
      <c r="E276" s="74"/>
      <c r="F276" s="75"/>
      <c r="G276" s="313"/>
      <c r="H276" s="77"/>
      <c r="I276" s="78"/>
      <c r="J276" s="78"/>
      <c r="K276" s="78"/>
      <c r="L276" s="79"/>
    </row>
    <row r="277" spans="2:12" ht="25.9" customHeight="1">
      <c r="B277" s="12"/>
      <c r="C277" s="313"/>
      <c r="D277" s="313"/>
      <c r="E277" s="313"/>
      <c r="F277" s="13"/>
      <c r="G277" s="313"/>
      <c r="H277" s="76" t="s">
        <v>522</v>
      </c>
      <c r="I277" s="316"/>
      <c r="J277" s="316"/>
      <c r="K277" s="316"/>
      <c r="L277" s="80"/>
    </row>
    <row r="278" spans="2:12" ht="25.9" customHeight="1">
      <c r="B278" s="76" t="s">
        <v>374</v>
      </c>
      <c r="C278" s="313"/>
      <c r="D278" s="313"/>
      <c r="E278" s="313"/>
      <c r="F278" s="13"/>
      <c r="G278" s="313"/>
      <c r="H278" s="76"/>
      <c r="I278" s="316"/>
      <c r="J278" s="316"/>
      <c r="K278" s="316"/>
      <c r="L278" s="80"/>
    </row>
    <row r="279" spans="2:12" ht="25.9" customHeight="1">
      <c r="B279" s="12"/>
      <c r="C279" s="313"/>
      <c r="D279" s="313"/>
      <c r="E279" s="313"/>
      <c r="F279" s="13"/>
      <c r="G279" s="313"/>
      <c r="H279" s="76" t="s">
        <v>494</v>
      </c>
      <c r="I279" s="316"/>
      <c r="J279" s="316"/>
      <c r="K279" s="316"/>
      <c r="L279" s="80"/>
    </row>
    <row r="280" spans="2:12" ht="25.9" customHeight="1" thickBot="1">
      <c r="B280" s="24"/>
      <c r="C280" s="22"/>
      <c r="D280" s="22"/>
      <c r="E280" s="22"/>
      <c r="F280" s="23"/>
      <c r="G280" s="313"/>
      <c r="H280" s="76"/>
      <c r="I280" s="316"/>
      <c r="J280" s="316"/>
      <c r="K280" s="316"/>
      <c r="L280" s="80"/>
    </row>
    <row r="281" spans="2:12" ht="25.9" customHeight="1">
      <c r="B281" s="1068" t="s">
        <v>113</v>
      </c>
      <c r="C281" s="1069"/>
      <c r="D281" s="1069"/>
      <c r="E281" s="1069"/>
      <c r="F281" s="1069"/>
      <c r="G281" s="1097"/>
      <c r="H281" s="1098" t="str">
        <f>'0422Master'!B21</f>
        <v>Amit Chawadi</v>
      </c>
      <c r="I281" s="1099"/>
      <c r="J281" s="1099"/>
      <c r="K281" s="1099"/>
      <c r="L281" s="1100"/>
    </row>
    <row r="282" spans="2:12" ht="25.9" customHeight="1" thickBot="1">
      <c r="B282" s="529"/>
      <c r="C282" s="530"/>
      <c r="D282" s="530"/>
      <c r="E282" s="530"/>
      <c r="F282" s="530"/>
      <c r="G282" s="533"/>
      <c r="H282" s="1101" t="str">
        <f>'0422Master'!G21</f>
        <v>Block No.C-9/10,Bhagyodhaya housing society,Opp Parsi vihar,Nai zindagi road,Solapur,Maharastra 413003</v>
      </c>
      <c r="I282" s="1102"/>
      <c r="J282" s="1102"/>
      <c r="K282" s="1102"/>
      <c r="L282" s="1103"/>
    </row>
    <row r="283" spans="2:12" ht="25.9" customHeight="1">
      <c r="B283" s="1072" t="s">
        <v>114</v>
      </c>
      <c r="C283" s="1073"/>
      <c r="D283" s="1073"/>
      <c r="E283" s="1073"/>
      <c r="F283" s="1073"/>
      <c r="G283" s="1073"/>
      <c r="H283" s="1074">
        <v>59</v>
      </c>
      <c r="I283" s="1075"/>
      <c r="J283" s="1075"/>
      <c r="K283" s="1075"/>
      <c r="L283" s="1076"/>
    </row>
    <row r="284" spans="2:12" ht="25.9" customHeight="1">
      <c r="B284" s="1068" t="s">
        <v>115</v>
      </c>
      <c r="C284" s="1069"/>
      <c r="D284" s="1069"/>
      <c r="E284" s="1069"/>
      <c r="F284" s="1069"/>
      <c r="G284" s="1069"/>
      <c r="H284" s="1077" t="str">
        <f>'0422Master'!F21</f>
        <v>Sr.Software Engineer</v>
      </c>
      <c r="I284" s="1070"/>
      <c r="J284" s="1070"/>
      <c r="K284" s="1070"/>
      <c r="L284" s="1071"/>
    </row>
    <row r="285" spans="2:12" ht="25.9" customHeight="1">
      <c r="B285" s="1068" t="s">
        <v>116</v>
      </c>
      <c r="C285" s="1069"/>
      <c r="D285" s="1069"/>
      <c r="E285" s="1069"/>
      <c r="F285" s="1069"/>
      <c r="G285" s="1069"/>
      <c r="H285" s="1078">
        <v>44522</v>
      </c>
      <c r="I285" s="1079"/>
      <c r="J285" s="1079"/>
      <c r="K285" s="1079"/>
      <c r="L285" s="1080"/>
    </row>
    <row r="286" spans="2:12" ht="25.9" customHeight="1">
      <c r="B286" s="332" t="s">
        <v>117</v>
      </c>
      <c r="C286" s="86"/>
      <c r="D286" s="86"/>
      <c r="E286" s="86"/>
      <c r="F286" s="86"/>
      <c r="G286" s="86"/>
      <c r="H286" s="536"/>
      <c r="I286" s="88"/>
      <c r="J286" s="331">
        <f>'0422Master'!T156</f>
        <v>0</v>
      </c>
      <c r="K286" s="534"/>
      <c r="L286" s="535"/>
    </row>
    <row r="287" spans="2:12" ht="25.9" customHeight="1">
      <c r="B287" s="332" t="s">
        <v>118</v>
      </c>
      <c r="C287" s="86"/>
      <c r="D287" s="86"/>
      <c r="E287" s="86"/>
      <c r="F287" s="86"/>
      <c r="G287" s="367"/>
      <c r="H287" s="91"/>
      <c r="I287" s="92"/>
      <c r="J287" s="331" t="str">
        <f>'0422Master'!S21</f>
        <v>100930453611</v>
      </c>
      <c r="K287" s="92"/>
      <c r="L287" s="93"/>
    </row>
    <row r="288" spans="2:12" ht="25.9" customHeight="1">
      <c r="B288" s="1081" t="s">
        <v>119</v>
      </c>
      <c r="C288" s="1082"/>
      <c r="D288" s="1082"/>
      <c r="E288" s="1082"/>
      <c r="F288" s="1082"/>
      <c r="G288" s="1082"/>
      <c r="H288" s="1074">
        <f>'0422Master'!Y21</f>
        <v>80278</v>
      </c>
      <c r="I288" s="1075"/>
      <c r="J288" s="1075"/>
      <c r="K288" s="1075"/>
      <c r="L288" s="1076"/>
    </row>
    <row r="289" spans="2:13" ht="25.9" customHeight="1">
      <c r="B289" s="1068" t="s">
        <v>120</v>
      </c>
      <c r="C289" s="1069"/>
      <c r="D289" s="1069"/>
      <c r="E289" s="1069"/>
      <c r="F289" s="1069"/>
      <c r="G289" s="1069"/>
      <c r="H289" s="1083">
        <f>'0422Master'!D10</f>
        <v>44652</v>
      </c>
      <c r="I289" s="1070"/>
      <c r="J289" s="1070"/>
      <c r="K289" s="1070"/>
      <c r="L289" s="1071"/>
    </row>
    <row r="290" spans="2:13" ht="25.9" customHeight="1">
      <c r="B290" s="1068" t="s">
        <v>121</v>
      </c>
      <c r="C290" s="1069"/>
      <c r="D290" s="1069"/>
      <c r="E290" s="1069"/>
      <c r="F290" s="1069"/>
      <c r="G290" s="1069"/>
      <c r="H290" s="1070" t="s">
        <v>122</v>
      </c>
      <c r="I290" s="1070"/>
      <c r="J290" s="1070"/>
      <c r="K290" s="1070"/>
      <c r="L290" s="1071"/>
    </row>
    <row r="291" spans="2:13" ht="25.9" customHeight="1">
      <c r="B291" s="332" t="s">
        <v>123</v>
      </c>
      <c r="C291" s="86"/>
      <c r="D291" s="86"/>
      <c r="E291" s="86"/>
      <c r="F291" s="86"/>
      <c r="G291" s="367"/>
      <c r="H291" s="536"/>
      <c r="I291" s="534"/>
      <c r="J291" s="95">
        <f>'0422Master'!W21</f>
        <v>30</v>
      </c>
      <c r="K291" s="534"/>
      <c r="L291" s="535"/>
    </row>
    <row r="292" spans="2:13" ht="25.9" customHeight="1">
      <c r="B292" s="332" t="s">
        <v>124</v>
      </c>
      <c r="C292" s="86"/>
      <c r="D292" s="86"/>
      <c r="E292" s="86"/>
      <c r="F292" s="86"/>
      <c r="G292" s="367"/>
      <c r="H292" s="536"/>
      <c r="I292" s="534"/>
      <c r="J292" s="534" t="s">
        <v>37</v>
      </c>
      <c r="K292" s="534"/>
      <c r="L292" s="535"/>
    </row>
    <row r="293" spans="2:13" ht="25.9" customHeight="1">
      <c r="B293" s="332" t="s">
        <v>125</v>
      </c>
      <c r="C293" s="86"/>
      <c r="D293" s="86"/>
      <c r="E293" s="86"/>
      <c r="F293" s="86"/>
      <c r="G293" s="367"/>
      <c r="H293" s="536"/>
      <c r="I293" s="534"/>
      <c r="J293" s="95">
        <v>0</v>
      </c>
      <c r="K293" s="534"/>
      <c r="L293" s="535"/>
    </row>
    <row r="294" spans="2:13" ht="25.9" customHeight="1">
      <c r="B294" s="332" t="s">
        <v>126</v>
      </c>
      <c r="C294" s="86"/>
      <c r="D294" s="86"/>
      <c r="E294" s="86"/>
      <c r="F294" s="86"/>
      <c r="G294" s="367"/>
      <c r="H294" s="536"/>
      <c r="I294" s="534"/>
      <c r="J294" s="534">
        <v>0</v>
      </c>
      <c r="K294" s="534"/>
      <c r="L294" s="535"/>
    </row>
    <row r="295" spans="2:13" ht="25.9" customHeight="1">
      <c r="B295" s="332" t="s">
        <v>127</v>
      </c>
      <c r="C295" s="86"/>
      <c r="D295" s="86"/>
      <c r="E295" s="86"/>
      <c r="F295" s="86"/>
      <c r="G295" s="367"/>
      <c r="H295" s="536"/>
      <c r="I295" s="534"/>
      <c r="J295" s="311">
        <f>'0422Master'!AM21</f>
        <v>88276.332079999993</v>
      </c>
      <c r="K295" s="534"/>
      <c r="L295" s="535" t="s">
        <v>35</v>
      </c>
    </row>
    <row r="296" spans="2:13" ht="25.9" customHeight="1">
      <c r="B296" s="332" t="s">
        <v>128</v>
      </c>
      <c r="C296" s="86"/>
      <c r="D296" s="531" t="s">
        <v>32</v>
      </c>
      <c r="E296" s="532">
        <f>'0422Master'!AO21</f>
        <v>1800</v>
      </c>
      <c r="F296" s="531" t="s">
        <v>31</v>
      </c>
      <c r="G296" s="532">
        <f>'0422Master'!AN156</f>
        <v>0</v>
      </c>
      <c r="H296" s="531" t="s">
        <v>33</v>
      </c>
      <c r="I296" s="532">
        <f>'0422Master'!AP21</f>
        <v>200</v>
      </c>
      <c r="J296" s="531" t="s">
        <v>34</v>
      </c>
      <c r="K296" s="532">
        <f>'0422Master'!AQ21</f>
        <v>0</v>
      </c>
      <c r="L296" s="100">
        <f>'0422Master'!AR21</f>
        <v>283</v>
      </c>
    </row>
    <row r="297" spans="2:13" ht="25.9" customHeight="1">
      <c r="B297" s="332" t="s">
        <v>129</v>
      </c>
      <c r="C297" s="86"/>
      <c r="D297" s="86"/>
      <c r="E297" s="86"/>
      <c r="F297" s="86"/>
      <c r="G297" s="367"/>
      <c r="H297" s="536"/>
      <c r="I297" s="534"/>
      <c r="J297" s="95">
        <f>J295-(E296+G296+I296+K296+L296)</f>
        <v>85993.332079999993</v>
      </c>
      <c r="K297" s="534"/>
      <c r="L297" s="535"/>
      <c r="M297">
        <v>7</v>
      </c>
    </row>
    <row r="298" spans="2:13" ht="25.9" customHeight="1">
      <c r="B298" s="333" t="s">
        <v>130</v>
      </c>
      <c r="C298" s="334"/>
      <c r="D298" s="334"/>
      <c r="E298" s="334"/>
      <c r="F298" s="334"/>
      <c r="G298" s="335"/>
      <c r="H298" s="336"/>
      <c r="I298" s="337"/>
      <c r="J298" s="337"/>
      <c r="K298" s="337"/>
      <c r="L298" s="97"/>
    </row>
    <row r="299" spans="2:13" ht="25.9" customHeight="1">
      <c r="B299" s="358" t="s">
        <v>131</v>
      </c>
      <c r="C299" s="316"/>
      <c r="D299" s="316"/>
      <c r="E299" s="316"/>
      <c r="F299" s="316"/>
      <c r="G299" s="359"/>
      <c r="H299" s="70"/>
      <c r="I299" s="313"/>
      <c r="J299" s="313"/>
      <c r="K299" s="313"/>
      <c r="L299" s="13"/>
    </row>
    <row r="300" spans="2:13" ht="25.9" customHeight="1">
      <c r="B300" s="12"/>
      <c r="C300" s="313"/>
      <c r="D300" s="313"/>
      <c r="E300" s="313"/>
      <c r="F300" s="313"/>
      <c r="G300" s="313"/>
      <c r="H300" s="313"/>
      <c r="I300" s="313"/>
      <c r="J300" s="313"/>
      <c r="K300" s="313"/>
      <c r="L300" s="13"/>
    </row>
    <row r="301" spans="2:13" ht="25.9" customHeight="1" thickBot="1">
      <c r="B301" s="24"/>
      <c r="C301" s="22"/>
      <c r="D301" s="22"/>
      <c r="E301" s="22"/>
      <c r="F301" s="22"/>
      <c r="G301" s="22"/>
      <c r="H301" s="22"/>
      <c r="I301" s="22"/>
      <c r="J301" s="22"/>
      <c r="K301" s="22"/>
      <c r="L301" s="23"/>
    </row>
    <row r="302" spans="2:13" s="8" customFormat="1"/>
    <row r="303" spans="2:13" s="8" customFormat="1"/>
    <row r="304" spans="2:13" s="8" customFormat="1"/>
    <row r="305" spans="2:12" s="8" customFormat="1"/>
    <row r="306" spans="2:12" s="8" customFormat="1"/>
    <row r="307" spans="2:12" s="8" customFormat="1"/>
    <row r="308" spans="2:12" s="8" customFormat="1" ht="15.75" thickBot="1"/>
    <row r="309" spans="2:12" ht="32.25">
      <c r="B309" s="1104" t="s">
        <v>107</v>
      </c>
      <c r="C309" s="1105"/>
      <c r="D309" s="1105"/>
      <c r="E309" s="1105"/>
      <c r="F309" s="1105"/>
      <c r="G309" s="1105"/>
      <c r="H309" s="1105"/>
      <c r="I309" s="1105"/>
      <c r="J309" s="1105"/>
      <c r="K309" s="1105"/>
      <c r="L309" s="1106"/>
    </row>
    <row r="310" spans="2:12" ht="23.25">
      <c r="B310" s="1084" t="s">
        <v>108</v>
      </c>
      <c r="C310" s="1085"/>
      <c r="D310" s="1085"/>
      <c r="E310" s="1085"/>
      <c r="F310" s="1085"/>
      <c r="G310" s="1085"/>
      <c r="H310" s="1085"/>
      <c r="I310" s="1085"/>
      <c r="J310" s="1085"/>
      <c r="K310" s="1085"/>
      <c r="L310" s="1086"/>
    </row>
    <row r="311" spans="2:12" ht="16.5" thickBot="1">
      <c r="B311" s="1087" t="s">
        <v>382</v>
      </c>
      <c r="C311" s="1088"/>
      <c r="D311" s="1088"/>
      <c r="E311" s="1088"/>
      <c r="F311" s="1088"/>
      <c r="G311" s="1088"/>
      <c r="H311" s="1088"/>
      <c r="I311" s="1088"/>
      <c r="J311" s="1088"/>
      <c r="K311" s="1088"/>
      <c r="L311" s="1089"/>
    </row>
    <row r="312" spans="2:12">
      <c r="B312" s="1090" t="s">
        <v>109</v>
      </c>
      <c r="C312" s="1091"/>
      <c r="D312" s="1091"/>
      <c r="E312" s="1091"/>
      <c r="F312" s="1091"/>
      <c r="G312" s="313"/>
      <c r="H312" s="1092" t="s">
        <v>110</v>
      </c>
      <c r="I312" s="1092"/>
      <c r="J312" s="1092"/>
      <c r="K312" s="1092"/>
      <c r="L312" s="1093"/>
    </row>
    <row r="313" spans="2:12" ht="15.75" thickBot="1">
      <c r="B313" s="1090"/>
      <c r="C313" s="1091"/>
      <c r="D313" s="1091"/>
      <c r="E313" s="1091"/>
      <c r="F313" s="1091"/>
      <c r="G313" s="313"/>
      <c r="H313" s="1092"/>
      <c r="I313" s="1092"/>
      <c r="J313" s="1092"/>
      <c r="K313" s="1092"/>
      <c r="L313" s="1093"/>
    </row>
    <row r="314" spans="2:12">
      <c r="B314" s="73"/>
      <c r="C314" s="74"/>
      <c r="D314" s="74"/>
      <c r="E314" s="74"/>
      <c r="F314" s="75"/>
      <c r="G314" s="313"/>
      <c r="H314" s="73"/>
      <c r="I314" s="74"/>
      <c r="J314" s="74"/>
      <c r="K314" s="74"/>
      <c r="L314" s="75"/>
    </row>
    <row r="315" spans="2:12">
      <c r="B315" s="76" t="s">
        <v>384</v>
      </c>
      <c r="C315" s="313"/>
      <c r="D315" s="313"/>
      <c r="E315" s="313"/>
      <c r="F315" s="13"/>
      <c r="G315" s="313"/>
      <c r="H315" s="76" t="s">
        <v>384</v>
      </c>
      <c r="I315" s="313"/>
      <c r="J315" s="313"/>
      <c r="K315" s="313"/>
      <c r="L315" s="13"/>
    </row>
    <row r="316" spans="2:12">
      <c r="B316" s="12"/>
      <c r="C316" s="313"/>
      <c r="D316" s="313"/>
      <c r="E316" s="313"/>
      <c r="F316" s="13"/>
      <c r="G316" s="313"/>
      <c r="H316" s="12"/>
      <c r="I316" s="313"/>
      <c r="J316" s="313"/>
      <c r="K316" s="313"/>
      <c r="L316" s="13"/>
    </row>
    <row r="317" spans="2:12">
      <c r="B317" s="76" t="s">
        <v>385</v>
      </c>
      <c r="C317" s="313"/>
      <c r="D317" s="313"/>
      <c r="E317" s="313"/>
      <c r="F317" s="13"/>
      <c r="G317" s="313"/>
      <c r="H317" s="76" t="s">
        <v>385</v>
      </c>
      <c r="I317" s="313"/>
      <c r="J317" s="313"/>
      <c r="K317" s="313"/>
      <c r="L317" s="13"/>
    </row>
    <row r="318" spans="2:12" ht="15.75" thickBot="1">
      <c r="B318" s="24"/>
      <c r="C318" s="22"/>
      <c r="D318" s="22"/>
      <c r="E318" s="22"/>
      <c r="F318" s="23"/>
      <c r="G318" s="313"/>
      <c r="H318" s="24"/>
      <c r="I318" s="22"/>
      <c r="J318" s="22"/>
      <c r="K318" s="22"/>
      <c r="L318" s="23"/>
    </row>
    <row r="319" spans="2:12" ht="21.6" customHeight="1">
      <c r="B319" s="12"/>
      <c r="C319" s="313"/>
      <c r="D319" s="313"/>
      <c r="E319" s="313"/>
      <c r="F319" s="313"/>
      <c r="G319" s="313"/>
      <c r="H319" s="313"/>
      <c r="I319" s="313"/>
      <c r="J319" s="313" t="s">
        <v>111</v>
      </c>
      <c r="K319" s="313"/>
      <c r="L319" s="13"/>
    </row>
    <row r="320" spans="2:12" ht="21.6" customHeight="1">
      <c r="B320" s="1094" t="s">
        <v>112</v>
      </c>
      <c r="C320" s="1095"/>
      <c r="D320" s="1095"/>
      <c r="E320" s="1095"/>
      <c r="F320" s="1095"/>
      <c r="G320" s="313"/>
      <c r="H320" s="1095" t="s">
        <v>4</v>
      </c>
      <c r="I320" s="1095"/>
      <c r="J320" s="1095"/>
      <c r="K320" s="1095"/>
      <c r="L320" s="1096"/>
    </row>
    <row r="321" spans="2:12" ht="21.6" customHeight="1" thickBot="1">
      <c r="B321" s="12"/>
      <c r="C321" s="313"/>
      <c r="D321" s="313"/>
      <c r="E321" s="313"/>
      <c r="F321" s="313"/>
      <c r="G321" s="313"/>
      <c r="H321" s="313"/>
      <c r="I321" s="313"/>
      <c r="J321" s="313"/>
      <c r="K321" s="313"/>
      <c r="L321" s="13"/>
    </row>
    <row r="322" spans="2:12" ht="21.6" customHeight="1">
      <c r="B322" s="73"/>
      <c r="C322" s="74"/>
      <c r="D322" s="74"/>
      <c r="E322" s="74"/>
      <c r="F322" s="75"/>
      <c r="G322" s="313"/>
      <c r="H322" s="77"/>
      <c r="I322" s="78"/>
      <c r="J322" s="78"/>
      <c r="K322" s="78"/>
      <c r="L322" s="79"/>
    </row>
    <row r="323" spans="2:12" ht="21.6" customHeight="1">
      <c r="B323" s="12"/>
      <c r="C323" s="313"/>
      <c r="D323" s="313"/>
      <c r="E323" s="313"/>
      <c r="F323" s="13"/>
      <c r="G323" s="313"/>
      <c r="H323" s="76" t="s">
        <v>522</v>
      </c>
      <c r="I323" s="316"/>
      <c r="J323" s="316"/>
      <c r="K323" s="316"/>
      <c r="L323" s="80"/>
    </row>
    <row r="324" spans="2:12" ht="21.6" customHeight="1">
      <c r="B324" s="76" t="s">
        <v>374</v>
      </c>
      <c r="C324" s="313"/>
      <c r="D324" s="313"/>
      <c r="E324" s="313"/>
      <c r="F324" s="13"/>
      <c r="G324" s="313"/>
      <c r="H324" s="76"/>
      <c r="I324" s="316"/>
      <c r="J324" s="316"/>
      <c r="K324" s="316"/>
      <c r="L324" s="80"/>
    </row>
    <row r="325" spans="2:12" ht="21.6" customHeight="1">
      <c r="B325" s="12"/>
      <c r="C325" s="313"/>
      <c r="D325" s="313"/>
      <c r="E325" s="313"/>
      <c r="F325" s="13"/>
      <c r="G325" s="313"/>
      <c r="H325" s="76" t="s">
        <v>494</v>
      </c>
      <c r="I325" s="316"/>
      <c r="J325" s="316"/>
      <c r="K325" s="316"/>
      <c r="L325" s="80"/>
    </row>
    <row r="326" spans="2:12" ht="21.6" customHeight="1" thickBot="1">
      <c r="B326" s="24"/>
      <c r="C326" s="22"/>
      <c r="D326" s="22"/>
      <c r="E326" s="22"/>
      <c r="F326" s="23"/>
      <c r="G326" s="313"/>
      <c r="H326" s="76"/>
      <c r="I326" s="316"/>
      <c r="J326" s="316"/>
      <c r="K326" s="316"/>
      <c r="L326" s="80"/>
    </row>
    <row r="327" spans="2:12" ht="21.6" customHeight="1">
      <c r="B327" s="1068" t="s">
        <v>113</v>
      </c>
      <c r="C327" s="1069"/>
      <c r="D327" s="1069"/>
      <c r="E327" s="1069"/>
      <c r="F327" s="1069"/>
      <c r="G327" s="1097"/>
      <c r="H327" s="1098" t="str">
        <f>'0422Master'!B22</f>
        <v>Ashwini Nanaware</v>
      </c>
      <c r="I327" s="1099"/>
      <c r="J327" s="1099"/>
      <c r="K327" s="1099"/>
      <c r="L327" s="1100"/>
    </row>
    <row r="328" spans="2:12" ht="21.6" customHeight="1" thickBot="1">
      <c r="B328" s="529"/>
      <c r="C328" s="530"/>
      <c r="D328" s="530"/>
      <c r="E328" s="530"/>
      <c r="F328" s="530"/>
      <c r="G328" s="533"/>
      <c r="H328" s="1107" t="str">
        <f>'0422Master'!G22</f>
        <v>Flat No 305,Pandarinath Appartments,Sanath nagar lane,No7,Lohegaon,Pune 411047</v>
      </c>
      <c r="I328" s="1108"/>
      <c r="J328" s="1108"/>
      <c r="K328" s="1108"/>
      <c r="L328" s="1109"/>
    </row>
    <row r="329" spans="2:12" ht="26.1" customHeight="1">
      <c r="B329" s="1072" t="s">
        <v>114</v>
      </c>
      <c r="C329" s="1073"/>
      <c r="D329" s="1073"/>
      <c r="E329" s="1073"/>
      <c r="F329" s="1073"/>
      <c r="G329" s="1073"/>
      <c r="H329" s="1074">
        <v>59</v>
      </c>
      <c r="I329" s="1075"/>
      <c r="J329" s="1075"/>
      <c r="K329" s="1075"/>
      <c r="L329" s="1076"/>
    </row>
    <row r="330" spans="2:12" ht="26.1" customHeight="1">
      <c r="B330" s="1068" t="s">
        <v>115</v>
      </c>
      <c r="C330" s="1069"/>
      <c r="D330" s="1069"/>
      <c r="E330" s="1069"/>
      <c r="F330" s="1069"/>
      <c r="G330" s="1069"/>
      <c r="H330" s="1077" t="str">
        <f>'0422Master'!F22</f>
        <v>Project Manager</v>
      </c>
      <c r="I330" s="1070"/>
      <c r="J330" s="1070"/>
      <c r="K330" s="1070"/>
      <c r="L330" s="1071"/>
    </row>
    <row r="331" spans="2:12" ht="26.1" customHeight="1">
      <c r="B331" s="1068" t="s">
        <v>116</v>
      </c>
      <c r="C331" s="1069"/>
      <c r="D331" s="1069"/>
      <c r="E331" s="1069"/>
      <c r="F331" s="1069"/>
      <c r="G331" s="1069"/>
      <c r="H331" s="1078">
        <f>'0422Master'!N22</f>
        <v>44536</v>
      </c>
      <c r="I331" s="1079"/>
      <c r="J331" s="1079"/>
      <c r="K331" s="1079"/>
      <c r="L331" s="1080"/>
    </row>
    <row r="332" spans="2:12" ht="26.1" customHeight="1">
      <c r="B332" s="332" t="s">
        <v>117</v>
      </c>
      <c r="C332" s="86"/>
      <c r="D332" s="86"/>
      <c r="E332" s="86"/>
      <c r="F332" s="86"/>
      <c r="G332" s="86"/>
      <c r="H332" s="536"/>
      <c r="I332" s="88"/>
      <c r="J332" s="331">
        <f>'0422Master'!T207</f>
        <v>0</v>
      </c>
      <c r="K332" s="534"/>
      <c r="L332" s="535"/>
    </row>
    <row r="333" spans="2:12" ht="26.1" customHeight="1">
      <c r="B333" s="332" t="s">
        <v>118</v>
      </c>
      <c r="C333" s="86"/>
      <c r="D333" s="86"/>
      <c r="E333" s="86"/>
      <c r="F333" s="86"/>
      <c r="G333" s="367"/>
      <c r="H333" s="91"/>
      <c r="I333" s="92"/>
      <c r="J333" s="331" t="str">
        <f>'0422Master'!S22</f>
        <v>100734752719</v>
      </c>
      <c r="K333" s="92"/>
      <c r="L333" s="93"/>
    </row>
    <row r="334" spans="2:12" ht="26.1" customHeight="1">
      <c r="B334" s="1081" t="s">
        <v>119</v>
      </c>
      <c r="C334" s="1082"/>
      <c r="D334" s="1082"/>
      <c r="E334" s="1082"/>
      <c r="F334" s="1082"/>
      <c r="G334" s="1082"/>
      <c r="H334" s="1074">
        <f>'0422Master'!Y207</f>
        <v>0</v>
      </c>
      <c r="I334" s="1075"/>
      <c r="J334" s="1075"/>
      <c r="K334" s="1075"/>
      <c r="L334" s="1076"/>
    </row>
    <row r="335" spans="2:12" ht="26.1" customHeight="1">
      <c r="B335" s="1068" t="s">
        <v>120</v>
      </c>
      <c r="C335" s="1069"/>
      <c r="D335" s="1069"/>
      <c r="E335" s="1069"/>
      <c r="F335" s="1069"/>
      <c r="G335" s="1069"/>
      <c r="H335" s="1083">
        <f>'0422Master'!D10</f>
        <v>44652</v>
      </c>
      <c r="I335" s="1070"/>
      <c r="J335" s="1070"/>
      <c r="K335" s="1070"/>
      <c r="L335" s="1071"/>
    </row>
    <row r="336" spans="2:12" ht="26.1" customHeight="1">
      <c r="B336" s="1068" t="s">
        <v>121</v>
      </c>
      <c r="C336" s="1069"/>
      <c r="D336" s="1069"/>
      <c r="E336" s="1069"/>
      <c r="F336" s="1069"/>
      <c r="G336" s="1069"/>
      <c r="H336" s="1070" t="s">
        <v>122</v>
      </c>
      <c r="I336" s="1070"/>
      <c r="J336" s="1070"/>
      <c r="K336" s="1070"/>
      <c r="L336" s="1071"/>
    </row>
    <row r="337" spans="2:16" ht="26.1" customHeight="1">
      <c r="B337" s="332" t="s">
        <v>123</v>
      </c>
      <c r="C337" s="86"/>
      <c r="D337" s="86"/>
      <c r="E337" s="86"/>
      <c r="F337" s="86"/>
      <c r="G337" s="367"/>
      <c r="H337" s="536"/>
      <c r="I337" s="534"/>
      <c r="J337" s="95">
        <f>'0422Master'!W22</f>
        <v>30</v>
      </c>
      <c r="K337" s="534"/>
      <c r="L337" s="535"/>
    </row>
    <row r="338" spans="2:16" ht="26.1" customHeight="1">
      <c r="B338" s="332" t="s">
        <v>124</v>
      </c>
      <c r="C338" s="86"/>
      <c r="D338" s="86"/>
      <c r="E338" s="86"/>
      <c r="F338" s="86"/>
      <c r="G338" s="367"/>
      <c r="H338" s="536"/>
      <c r="I338" s="534"/>
      <c r="J338" s="534" t="s">
        <v>37</v>
      </c>
      <c r="K338" s="534"/>
      <c r="L338" s="535"/>
    </row>
    <row r="339" spans="2:16" ht="26.1" customHeight="1">
      <c r="B339" s="332" t="s">
        <v>125</v>
      </c>
      <c r="C339" s="86"/>
      <c r="D339" s="86"/>
      <c r="E339" s="86"/>
      <c r="F339" s="86"/>
      <c r="G339" s="367"/>
      <c r="H339" s="536"/>
      <c r="I339" s="534"/>
      <c r="J339" s="95">
        <v>0</v>
      </c>
      <c r="K339" s="534"/>
      <c r="L339" s="535"/>
    </row>
    <row r="340" spans="2:16" ht="26.1" customHeight="1">
      <c r="B340" s="332" t="s">
        <v>126</v>
      </c>
      <c r="C340" s="86"/>
      <c r="D340" s="86"/>
      <c r="E340" s="86"/>
      <c r="F340" s="86"/>
      <c r="G340" s="367"/>
      <c r="H340" s="536"/>
      <c r="I340" s="534"/>
      <c r="K340" s="534"/>
      <c r="L340" s="535"/>
    </row>
    <row r="341" spans="2:16" ht="26.1" customHeight="1">
      <c r="B341" s="332" t="s">
        <v>127</v>
      </c>
      <c r="C341" s="86"/>
      <c r="D341" s="86"/>
      <c r="E341" s="86"/>
      <c r="F341" s="86"/>
      <c r="G341" s="367"/>
      <c r="H341" s="536"/>
      <c r="I341" s="534"/>
      <c r="J341" s="586">
        <f>'0422Master'!AM22</f>
        <v>60275.599639999993</v>
      </c>
      <c r="K341" s="534"/>
      <c r="L341" s="535" t="s">
        <v>35</v>
      </c>
    </row>
    <row r="342" spans="2:16" ht="26.1" customHeight="1">
      <c r="B342" s="332" t="s">
        <v>128</v>
      </c>
      <c r="C342" s="86"/>
      <c r="D342" s="531" t="s">
        <v>32</v>
      </c>
      <c r="E342" s="532">
        <f>'0422Master'!AO22</f>
        <v>1800</v>
      </c>
      <c r="F342" s="531" t="s">
        <v>31</v>
      </c>
      <c r="G342" s="532">
        <f>'0422Master'!AN207</f>
        <v>0</v>
      </c>
      <c r="H342" s="531" t="s">
        <v>33</v>
      </c>
      <c r="I342" s="532">
        <f>'0422Master'!AP22</f>
        <v>200</v>
      </c>
      <c r="J342" s="531" t="s">
        <v>34</v>
      </c>
      <c r="K342" s="532">
        <f>'0422Master'!AQ22</f>
        <v>0</v>
      </c>
      <c r="L342" s="100">
        <f>'0422Master'!AR22</f>
        <v>283</v>
      </c>
    </row>
    <row r="343" spans="2:16" ht="26.1" customHeight="1">
      <c r="B343" s="332" t="s">
        <v>129</v>
      </c>
      <c r="C343" s="86"/>
      <c r="D343" s="86"/>
      <c r="E343" s="86"/>
      <c r="F343" s="86"/>
      <c r="G343" s="367"/>
      <c r="H343" s="536"/>
      <c r="I343" s="534"/>
      <c r="J343" s="95">
        <f>J341-E342-I342-K342-L342</f>
        <v>57992.599639999993</v>
      </c>
      <c r="K343" s="534"/>
      <c r="L343" s="535"/>
      <c r="M343">
        <v>8</v>
      </c>
      <c r="P343" s="330"/>
    </row>
    <row r="344" spans="2:16" ht="21.6" customHeight="1">
      <c r="B344" s="333" t="s">
        <v>130</v>
      </c>
      <c r="C344" s="334"/>
      <c r="D344" s="334"/>
      <c r="E344" s="334"/>
      <c r="F344" s="334"/>
      <c r="G344" s="335"/>
      <c r="H344" s="336"/>
      <c r="I344" s="337"/>
      <c r="J344" s="337"/>
      <c r="K344" s="337"/>
      <c r="L344" s="97"/>
    </row>
    <row r="345" spans="2:16" ht="21.6" customHeight="1">
      <c r="B345" s="358" t="s">
        <v>131</v>
      </c>
      <c r="C345" s="316"/>
      <c r="D345" s="316"/>
      <c r="E345" s="316"/>
      <c r="F345" s="316"/>
      <c r="G345" s="359"/>
      <c r="H345" s="70"/>
      <c r="I345" s="313"/>
      <c r="J345" s="313"/>
      <c r="K345" s="313"/>
      <c r="L345" s="13"/>
    </row>
    <row r="346" spans="2:16" ht="21.6" customHeight="1">
      <c r="B346" s="12"/>
      <c r="C346" s="313"/>
      <c r="D346" s="313"/>
      <c r="E346" s="313"/>
      <c r="F346" s="313"/>
      <c r="G346" s="313"/>
      <c r="H346" s="313"/>
      <c r="I346" s="313"/>
      <c r="J346" s="313"/>
      <c r="K346" s="313"/>
      <c r="L346" s="13"/>
    </row>
    <row r="347" spans="2:16" ht="21.6" customHeight="1" thickBot="1">
      <c r="B347" s="24"/>
      <c r="C347" s="22"/>
      <c r="D347" s="22"/>
      <c r="E347" s="22"/>
      <c r="F347" s="22"/>
      <c r="G347" s="22"/>
      <c r="H347" s="22"/>
      <c r="I347" s="22"/>
      <c r="J347" s="22"/>
      <c r="K347" s="22"/>
      <c r="L347" s="23"/>
    </row>
    <row r="348" spans="2:16" s="8" customFormat="1"/>
    <row r="349" spans="2:16" s="8" customFormat="1"/>
    <row r="350" spans="2:16" s="8" customFormat="1"/>
    <row r="351" spans="2:16" s="8" customFormat="1"/>
    <row r="352" spans="2:16" s="8" customFormat="1"/>
    <row r="353" s="8" customFormat="1"/>
    <row r="354" s="8" customFormat="1"/>
    <row r="355" s="8" customFormat="1"/>
    <row r="356" s="8" customFormat="1"/>
    <row r="357" s="8" customFormat="1"/>
    <row r="358" s="8" customFormat="1"/>
    <row r="359" s="8" customFormat="1"/>
    <row r="360" s="8" customFormat="1"/>
    <row r="361" s="8" customFormat="1"/>
    <row r="362" s="8" customFormat="1"/>
    <row r="363" s="8" customFormat="1"/>
    <row r="364" s="8" customFormat="1"/>
    <row r="365" s="8" customFormat="1"/>
    <row r="366" s="8" customFormat="1"/>
    <row r="367" s="8" customFormat="1"/>
    <row r="368" s="8" customFormat="1"/>
    <row r="369" spans="2:12" s="8" customFormat="1"/>
    <row r="370" spans="2:12" s="8" customFormat="1"/>
    <row r="371" spans="2:12" s="8" customFormat="1"/>
    <row r="372" spans="2:12" ht="15.75" thickBot="1">
      <c r="B372" s="330"/>
      <c r="C372" s="330"/>
      <c r="D372" s="330"/>
      <c r="E372" s="330"/>
      <c r="F372" s="330"/>
      <c r="G372" s="330"/>
      <c r="H372" s="330"/>
      <c r="I372" s="330"/>
      <c r="J372" s="330"/>
      <c r="K372" s="330"/>
      <c r="L372" s="330"/>
    </row>
    <row r="373" spans="2:12" ht="32.25">
      <c r="B373" s="1104" t="s">
        <v>107</v>
      </c>
      <c r="C373" s="1105"/>
      <c r="D373" s="1105"/>
      <c r="E373" s="1105"/>
      <c r="F373" s="1105"/>
      <c r="G373" s="1105"/>
      <c r="H373" s="1105"/>
      <c r="I373" s="1105"/>
      <c r="J373" s="1105"/>
      <c r="K373" s="1105"/>
      <c r="L373" s="1106"/>
    </row>
    <row r="374" spans="2:12" ht="23.25">
      <c r="B374" s="1084" t="s">
        <v>108</v>
      </c>
      <c r="C374" s="1085"/>
      <c r="D374" s="1085"/>
      <c r="E374" s="1085"/>
      <c r="F374" s="1085"/>
      <c r="G374" s="1085"/>
      <c r="H374" s="1085"/>
      <c r="I374" s="1085"/>
      <c r="J374" s="1085"/>
      <c r="K374" s="1085"/>
      <c r="L374" s="1086"/>
    </row>
    <row r="375" spans="2:12" ht="16.5" thickBot="1">
      <c r="B375" s="1087" t="s">
        <v>382</v>
      </c>
      <c r="C375" s="1088"/>
      <c r="D375" s="1088"/>
      <c r="E375" s="1088"/>
      <c r="F375" s="1088"/>
      <c r="G375" s="1088"/>
      <c r="H375" s="1088"/>
      <c r="I375" s="1088"/>
      <c r="J375" s="1088"/>
      <c r="K375" s="1088"/>
      <c r="L375" s="1089"/>
    </row>
    <row r="376" spans="2:12">
      <c r="B376" s="1090" t="s">
        <v>109</v>
      </c>
      <c r="C376" s="1091"/>
      <c r="D376" s="1091"/>
      <c r="E376" s="1091"/>
      <c r="F376" s="1091"/>
      <c r="G376" s="313"/>
      <c r="H376" s="1092" t="s">
        <v>110</v>
      </c>
      <c r="I376" s="1092"/>
      <c r="J376" s="1092"/>
      <c r="K376" s="1092"/>
      <c r="L376" s="1093"/>
    </row>
    <row r="377" spans="2:12" ht="15.75" thickBot="1">
      <c r="B377" s="1090"/>
      <c r="C377" s="1091"/>
      <c r="D377" s="1091"/>
      <c r="E377" s="1091"/>
      <c r="F377" s="1091"/>
      <c r="G377" s="313"/>
      <c r="H377" s="1092"/>
      <c r="I377" s="1092"/>
      <c r="J377" s="1092"/>
      <c r="K377" s="1092"/>
      <c r="L377" s="1093"/>
    </row>
    <row r="378" spans="2:12">
      <c r="B378" s="73"/>
      <c r="C378" s="74"/>
      <c r="D378" s="74"/>
      <c r="E378" s="74"/>
      <c r="F378" s="75"/>
      <c r="G378" s="313"/>
      <c r="H378" s="73"/>
      <c r="I378" s="74"/>
      <c r="J378" s="74"/>
      <c r="K378" s="74"/>
      <c r="L378" s="75"/>
    </row>
    <row r="379" spans="2:12">
      <c r="B379" s="76" t="s">
        <v>384</v>
      </c>
      <c r="C379" s="313"/>
      <c r="D379" s="313"/>
      <c r="E379" s="313"/>
      <c r="F379" s="13"/>
      <c r="G379" s="313"/>
      <c r="H379" s="76" t="s">
        <v>384</v>
      </c>
      <c r="I379" s="313"/>
      <c r="J379" s="313"/>
      <c r="K379" s="313"/>
      <c r="L379" s="13"/>
    </row>
    <row r="380" spans="2:12" ht="24" customHeight="1">
      <c r="B380" s="12"/>
      <c r="C380" s="313"/>
      <c r="D380" s="313"/>
      <c r="E380" s="313"/>
      <c r="F380" s="13"/>
      <c r="G380" s="313"/>
      <c r="H380" s="12"/>
      <c r="I380" s="313"/>
      <c r="J380" s="313"/>
      <c r="K380" s="313"/>
      <c r="L380" s="13"/>
    </row>
    <row r="381" spans="2:12" ht="24" customHeight="1">
      <c r="B381" s="76" t="s">
        <v>385</v>
      </c>
      <c r="C381" s="313"/>
      <c r="D381" s="313"/>
      <c r="E381" s="313"/>
      <c r="F381" s="13"/>
      <c r="G381" s="313"/>
      <c r="H381" s="76" t="s">
        <v>385</v>
      </c>
      <c r="I381" s="313"/>
      <c r="J381" s="313"/>
      <c r="K381" s="313"/>
      <c r="L381" s="13"/>
    </row>
    <row r="382" spans="2:12" ht="24" customHeight="1" thickBot="1">
      <c r="B382" s="24"/>
      <c r="C382" s="22"/>
      <c r="D382" s="22"/>
      <c r="E382" s="22"/>
      <c r="F382" s="23"/>
      <c r="G382" s="313"/>
      <c r="H382" s="24"/>
      <c r="I382" s="22"/>
      <c r="J382" s="22"/>
      <c r="K382" s="22"/>
      <c r="L382" s="23"/>
    </row>
    <row r="383" spans="2:12" ht="24" customHeight="1">
      <c r="B383" s="12"/>
      <c r="C383" s="313"/>
      <c r="D383" s="313"/>
      <c r="E383" s="313"/>
      <c r="F383" s="313"/>
      <c r="G383" s="313"/>
      <c r="H383" s="313"/>
      <c r="I383" s="313"/>
      <c r="J383" s="313" t="s">
        <v>111</v>
      </c>
      <c r="K383" s="313"/>
      <c r="L383" s="13"/>
    </row>
    <row r="384" spans="2:12" ht="24" customHeight="1">
      <c r="B384" s="1094" t="s">
        <v>112</v>
      </c>
      <c r="C384" s="1095"/>
      <c r="D384" s="1095"/>
      <c r="E384" s="1095"/>
      <c r="F384" s="1095"/>
      <c r="G384" s="313"/>
      <c r="H384" s="1095" t="s">
        <v>4</v>
      </c>
      <c r="I384" s="1095"/>
      <c r="J384" s="1095"/>
      <c r="K384" s="1095"/>
      <c r="L384" s="1096"/>
    </row>
    <row r="385" spans="2:12" ht="24" customHeight="1" thickBot="1">
      <c r="B385" s="12"/>
      <c r="C385" s="313"/>
      <c r="D385" s="313"/>
      <c r="E385" s="313"/>
      <c r="F385" s="313"/>
      <c r="G385" s="313"/>
      <c r="H385" s="313"/>
      <c r="I385" s="313"/>
      <c r="J385" s="313"/>
      <c r="K385" s="313"/>
      <c r="L385" s="13"/>
    </row>
    <row r="386" spans="2:12" ht="24" customHeight="1">
      <c r="B386" s="73"/>
      <c r="C386" s="74"/>
      <c r="D386" s="74"/>
      <c r="E386" s="74"/>
      <c r="F386" s="75"/>
      <c r="G386" s="313"/>
      <c r="H386" s="77"/>
      <c r="I386" s="78"/>
      <c r="J386" s="78"/>
      <c r="K386" s="78"/>
      <c r="L386" s="79"/>
    </row>
    <row r="387" spans="2:12" ht="24" customHeight="1">
      <c r="B387" s="12"/>
      <c r="C387" s="313"/>
      <c r="D387" s="313"/>
      <c r="E387" s="313"/>
      <c r="F387" s="13"/>
      <c r="G387" s="313"/>
      <c r="H387" s="76" t="s">
        <v>522</v>
      </c>
      <c r="I387" s="316"/>
      <c r="J387" s="316"/>
      <c r="K387" s="316"/>
      <c r="L387" s="80"/>
    </row>
    <row r="388" spans="2:12" ht="24" customHeight="1">
      <c r="B388" s="76" t="s">
        <v>374</v>
      </c>
      <c r="C388" s="313"/>
      <c r="D388" s="313"/>
      <c r="E388" s="313"/>
      <c r="F388" s="13"/>
      <c r="G388" s="313"/>
      <c r="H388" s="76"/>
      <c r="I388" s="316"/>
      <c r="J388" s="316"/>
      <c r="K388" s="316"/>
      <c r="L388" s="80"/>
    </row>
    <row r="389" spans="2:12" ht="24" customHeight="1">
      <c r="B389" s="12"/>
      <c r="C389" s="313"/>
      <c r="D389" s="313"/>
      <c r="E389" s="313"/>
      <c r="F389" s="13"/>
      <c r="G389" s="313"/>
      <c r="H389" s="76" t="s">
        <v>494</v>
      </c>
      <c r="I389" s="316"/>
      <c r="J389" s="316"/>
      <c r="K389" s="316"/>
      <c r="L389" s="80"/>
    </row>
    <row r="390" spans="2:12" ht="24" customHeight="1" thickBot="1">
      <c r="B390" s="24"/>
      <c r="C390" s="22"/>
      <c r="D390" s="22"/>
      <c r="E390" s="22"/>
      <c r="F390" s="23"/>
      <c r="G390" s="313"/>
      <c r="H390" s="76"/>
      <c r="I390" s="316"/>
      <c r="J390" s="316"/>
      <c r="K390" s="316"/>
      <c r="L390" s="80"/>
    </row>
    <row r="391" spans="2:12" ht="24" customHeight="1">
      <c r="B391" s="1068" t="s">
        <v>113</v>
      </c>
      <c r="C391" s="1069"/>
      <c r="D391" s="1069"/>
      <c r="E391" s="1069"/>
      <c r="F391" s="1069"/>
      <c r="G391" s="1097"/>
      <c r="H391" s="1098" t="str">
        <f>'0422Master'!B23</f>
        <v>Kaushal Sushil Sharma</v>
      </c>
      <c r="I391" s="1099"/>
      <c r="J391" s="1099"/>
      <c r="K391" s="1099"/>
      <c r="L391" s="1100"/>
    </row>
    <row r="392" spans="2:12" ht="24" customHeight="1" thickBot="1">
      <c r="B392" s="560"/>
      <c r="C392" s="561"/>
      <c r="D392" s="561"/>
      <c r="E392" s="561"/>
      <c r="F392" s="561"/>
      <c r="G392" s="564"/>
      <c r="H392" s="1101" t="str">
        <f>'0422Master'!G23</f>
        <v>Room No.2, Ambica singh Chawl,New Deepak wadi,Khar east,Mumbai,400051</v>
      </c>
      <c r="I392" s="1102"/>
      <c r="J392" s="1102"/>
      <c r="K392" s="1102"/>
      <c r="L392" s="1103"/>
    </row>
    <row r="393" spans="2:12" ht="24" customHeight="1">
      <c r="B393" s="1072" t="s">
        <v>114</v>
      </c>
      <c r="C393" s="1073"/>
      <c r="D393" s="1073"/>
      <c r="E393" s="1073"/>
      <c r="F393" s="1073"/>
      <c r="G393" s="1073"/>
      <c r="H393" s="1074">
        <v>60</v>
      </c>
      <c r="I393" s="1075"/>
      <c r="J393" s="1075"/>
      <c r="K393" s="1075"/>
      <c r="L393" s="1076"/>
    </row>
    <row r="394" spans="2:12" ht="24" customHeight="1">
      <c r="B394" s="1068" t="s">
        <v>115</v>
      </c>
      <c r="C394" s="1069"/>
      <c r="D394" s="1069"/>
      <c r="E394" s="1069"/>
      <c r="F394" s="1069"/>
      <c r="G394" s="1069"/>
      <c r="H394" s="1077" t="str">
        <f>'0422Master'!F23</f>
        <v>Network Engineer L2</v>
      </c>
      <c r="I394" s="1070"/>
      <c r="J394" s="1070"/>
      <c r="K394" s="1070"/>
      <c r="L394" s="1071"/>
    </row>
    <row r="395" spans="2:12" ht="24" customHeight="1">
      <c r="B395" s="1068" t="s">
        <v>116</v>
      </c>
      <c r="C395" s="1069"/>
      <c r="D395" s="1069"/>
      <c r="E395" s="1069"/>
      <c r="F395" s="1069"/>
      <c r="G395" s="1069"/>
      <c r="H395" s="1078">
        <f>'0422Master'!N23</f>
        <v>44536</v>
      </c>
      <c r="I395" s="1079"/>
      <c r="J395" s="1079"/>
      <c r="K395" s="1079"/>
      <c r="L395" s="1080"/>
    </row>
    <row r="396" spans="2:12" ht="24" customHeight="1">
      <c r="B396" s="332" t="s">
        <v>117</v>
      </c>
      <c r="C396" s="86"/>
      <c r="D396" s="86"/>
      <c r="E396" s="86"/>
      <c r="F396" s="86"/>
      <c r="G396" s="86"/>
      <c r="H396" s="568"/>
      <c r="I396" s="88"/>
      <c r="J396" s="331">
        <f>'0422Master'!T258</f>
        <v>0</v>
      </c>
      <c r="K396" s="566"/>
      <c r="L396" s="567"/>
    </row>
    <row r="397" spans="2:12" ht="24" customHeight="1">
      <c r="B397" s="332" t="s">
        <v>118</v>
      </c>
      <c r="C397" s="86"/>
      <c r="D397" s="86"/>
      <c r="E397" s="86"/>
      <c r="F397" s="86"/>
      <c r="G397" s="367"/>
      <c r="H397" s="91"/>
      <c r="I397" s="92"/>
      <c r="J397" s="331" t="str">
        <f>'0422Master'!S23</f>
        <v>100779324583</v>
      </c>
      <c r="K397" s="92"/>
      <c r="L397" s="93"/>
    </row>
    <row r="398" spans="2:12" ht="24" customHeight="1">
      <c r="B398" s="1081" t="s">
        <v>119</v>
      </c>
      <c r="C398" s="1082"/>
      <c r="D398" s="1082"/>
      <c r="E398" s="1082"/>
      <c r="F398" s="1082"/>
      <c r="G398" s="1082"/>
      <c r="H398" s="1074">
        <f>'0422Master'!W23</f>
        <v>30</v>
      </c>
      <c r="I398" s="1075"/>
      <c r="J398" s="1075"/>
      <c r="K398" s="1075"/>
      <c r="L398" s="1076"/>
    </row>
    <row r="399" spans="2:12" ht="24" customHeight="1">
      <c r="B399" s="1068" t="s">
        <v>120</v>
      </c>
      <c r="C399" s="1069"/>
      <c r="D399" s="1069"/>
      <c r="E399" s="1069"/>
      <c r="F399" s="1069"/>
      <c r="G399" s="1069"/>
      <c r="H399" s="1083">
        <f>'0422Master'!D10</f>
        <v>44652</v>
      </c>
      <c r="I399" s="1070"/>
      <c r="J399" s="1070"/>
      <c r="K399" s="1070"/>
      <c r="L399" s="1071"/>
    </row>
    <row r="400" spans="2:12" ht="24" customHeight="1">
      <c r="B400" s="1068" t="s">
        <v>121</v>
      </c>
      <c r="C400" s="1069"/>
      <c r="D400" s="1069"/>
      <c r="E400" s="1069"/>
      <c r="F400" s="1069"/>
      <c r="G400" s="1069"/>
      <c r="H400" s="1070" t="s">
        <v>122</v>
      </c>
      <c r="I400" s="1070"/>
      <c r="J400" s="1070"/>
      <c r="K400" s="1070"/>
      <c r="L400" s="1071"/>
    </row>
    <row r="401" spans="1:13" ht="24" customHeight="1">
      <c r="B401" s="332" t="s">
        <v>123</v>
      </c>
      <c r="C401" s="86"/>
      <c r="D401" s="86"/>
      <c r="E401" s="86"/>
      <c r="F401" s="86"/>
      <c r="G401" s="367"/>
      <c r="H401" s="568"/>
      <c r="I401" s="566"/>
      <c r="J401" s="95">
        <f>'0422Master'!W23</f>
        <v>30</v>
      </c>
      <c r="K401" s="566"/>
      <c r="L401" s="567"/>
    </row>
    <row r="402" spans="1:13" ht="24" customHeight="1">
      <c r="B402" s="332" t="s">
        <v>124</v>
      </c>
      <c r="C402" s="86"/>
      <c r="D402" s="86"/>
      <c r="E402" s="86"/>
      <c r="F402" s="86"/>
      <c r="G402" s="367"/>
      <c r="H402" s="568"/>
      <c r="I402" s="566"/>
      <c r="J402" s="566" t="s">
        <v>37</v>
      </c>
      <c r="K402" s="566"/>
      <c r="L402" s="567"/>
    </row>
    <row r="403" spans="1:13" ht="24" customHeight="1">
      <c r="B403" s="332" t="s">
        <v>125</v>
      </c>
      <c r="C403" s="86"/>
      <c r="D403" s="86"/>
      <c r="E403" s="86"/>
      <c r="F403" s="86"/>
      <c r="G403" s="367"/>
      <c r="H403" s="568"/>
      <c r="I403" s="566"/>
      <c r="J403" s="95">
        <v>0</v>
      </c>
      <c r="K403" s="566"/>
      <c r="L403" s="567"/>
    </row>
    <row r="404" spans="1:13" ht="24" customHeight="1">
      <c r="B404" s="332" t="s">
        <v>126</v>
      </c>
      <c r="C404" s="86"/>
      <c r="D404" s="86"/>
      <c r="E404" s="86"/>
      <c r="F404" s="86"/>
      <c r="G404" s="367"/>
      <c r="H404" s="568"/>
      <c r="I404" s="566"/>
      <c r="J404" s="330"/>
      <c r="K404" s="566"/>
      <c r="L404" s="567"/>
    </row>
    <row r="405" spans="1:13" ht="24" customHeight="1">
      <c r="B405" s="332" t="s">
        <v>127</v>
      </c>
      <c r="C405" s="86"/>
      <c r="D405" s="86"/>
      <c r="E405" s="86"/>
      <c r="F405" s="86"/>
      <c r="G405" s="367"/>
      <c r="H405" s="568"/>
      <c r="I405" s="566"/>
      <c r="J405" s="586">
        <f>'0422Master'!AM23</f>
        <v>68276.425400000007</v>
      </c>
      <c r="K405" s="566"/>
      <c r="L405" s="567" t="s">
        <v>35</v>
      </c>
    </row>
    <row r="406" spans="1:13" ht="24" customHeight="1">
      <c r="B406" s="332" t="s">
        <v>128</v>
      </c>
      <c r="C406" s="86"/>
      <c r="D406" s="562" t="s">
        <v>32</v>
      </c>
      <c r="E406" s="563">
        <f>'0422Master'!AO23</f>
        <v>1800</v>
      </c>
      <c r="F406" s="562" t="s">
        <v>31</v>
      </c>
      <c r="G406" s="563">
        <f>'0422Master'!AN258</f>
        <v>0</v>
      </c>
      <c r="H406" s="562" t="s">
        <v>33</v>
      </c>
      <c r="I406" s="563">
        <f>'0422Master'!AP23</f>
        <v>200</v>
      </c>
      <c r="J406" s="562" t="s">
        <v>34</v>
      </c>
      <c r="K406" s="563">
        <f>'0422Master'!AQ23</f>
        <v>0</v>
      </c>
      <c r="L406" s="100">
        <f>'0422Master'!AR23</f>
        <v>283</v>
      </c>
      <c r="M406">
        <v>9</v>
      </c>
    </row>
    <row r="407" spans="1:13" ht="24" customHeight="1">
      <c r="B407" s="332" t="s">
        <v>129</v>
      </c>
      <c r="C407" s="86"/>
      <c r="D407" s="86"/>
      <c r="E407" s="86"/>
      <c r="F407" s="86"/>
      <c r="G407" s="367"/>
      <c r="H407" s="568"/>
      <c r="I407" s="566"/>
      <c r="J407" s="95">
        <f>J405-E406-I406-K406-L406</f>
        <v>65993.425400000007</v>
      </c>
      <c r="K407" s="566"/>
      <c r="L407" s="567"/>
    </row>
    <row r="408" spans="1:13" ht="24" customHeight="1">
      <c r="B408" s="333" t="s">
        <v>130</v>
      </c>
      <c r="C408" s="334"/>
      <c r="D408" s="334"/>
      <c r="E408" s="334"/>
      <c r="F408" s="334"/>
      <c r="G408" s="335"/>
      <c r="H408" s="336"/>
      <c r="I408" s="337"/>
      <c r="J408" s="337"/>
      <c r="K408" s="337"/>
      <c r="L408" s="97"/>
    </row>
    <row r="409" spans="1:13" ht="24" customHeight="1">
      <c r="B409" s="358" t="s">
        <v>131</v>
      </c>
      <c r="C409" s="316"/>
      <c r="D409" s="316"/>
      <c r="E409" s="316"/>
      <c r="F409" s="316"/>
      <c r="G409" s="359"/>
      <c r="H409" s="70"/>
      <c r="I409" s="313"/>
      <c r="J409" s="313"/>
      <c r="K409" s="313"/>
      <c r="L409" s="13"/>
    </row>
    <row r="410" spans="1:13" ht="24" customHeight="1">
      <c r="B410" s="587"/>
      <c r="C410" s="16"/>
      <c r="D410" s="16"/>
      <c r="E410" s="16"/>
      <c r="F410" s="16"/>
      <c r="G410" s="16"/>
      <c r="H410" s="16"/>
      <c r="I410" s="16"/>
      <c r="J410" s="16"/>
      <c r="K410" s="16"/>
      <c r="L410" s="98"/>
    </row>
    <row r="411" spans="1:13">
      <c r="A411" s="8"/>
      <c r="B411" s="8"/>
      <c r="C411" s="8"/>
      <c r="D411" s="8"/>
      <c r="E411" s="8"/>
      <c r="F411" s="8"/>
      <c r="G411" s="8"/>
      <c r="H411" s="8"/>
      <c r="I411" s="8"/>
      <c r="J411" s="8"/>
      <c r="K411" s="8"/>
      <c r="L411" s="8"/>
    </row>
    <row r="412" spans="1:13">
      <c r="A412" s="8"/>
      <c r="B412" s="8"/>
      <c r="C412" s="8"/>
      <c r="D412" s="8"/>
      <c r="E412" s="8"/>
      <c r="F412" s="8"/>
      <c r="G412" s="8"/>
      <c r="H412" s="8"/>
      <c r="I412" s="8"/>
      <c r="J412" s="8"/>
      <c r="K412" s="8"/>
      <c r="L412" s="8"/>
    </row>
    <row r="413" spans="1:13">
      <c r="A413" s="8"/>
      <c r="B413" s="8"/>
      <c r="C413" s="8"/>
      <c r="D413" s="8"/>
      <c r="E413" s="8"/>
      <c r="F413" s="8"/>
      <c r="G413" s="8"/>
      <c r="H413" s="8"/>
      <c r="I413" s="8"/>
      <c r="J413" s="8"/>
      <c r="K413" s="8"/>
      <c r="L413" s="8"/>
    </row>
    <row r="414" spans="1:13">
      <c r="A414" s="8"/>
      <c r="B414" s="8"/>
      <c r="C414" s="8"/>
      <c r="D414" s="8"/>
      <c r="E414" s="8"/>
      <c r="F414" s="8"/>
      <c r="G414" s="8"/>
      <c r="H414" s="8"/>
      <c r="I414" s="8"/>
      <c r="J414" s="8"/>
      <c r="K414" s="8"/>
      <c r="L414" s="8"/>
    </row>
    <row r="415" spans="1:13">
      <c r="A415" s="8"/>
      <c r="B415" s="8"/>
      <c r="C415" s="8"/>
      <c r="D415" s="8"/>
      <c r="E415" s="8"/>
      <c r="F415" s="8"/>
      <c r="G415" s="8"/>
      <c r="H415" s="8"/>
      <c r="I415" s="8"/>
      <c r="J415" s="8"/>
      <c r="K415" s="8"/>
      <c r="L415" s="8"/>
    </row>
    <row r="416" spans="1:13">
      <c r="A416" s="8"/>
      <c r="B416" s="8"/>
      <c r="C416" s="8"/>
      <c r="D416" s="8"/>
      <c r="E416" s="8"/>
      <c r="F416" s="8"/>
      <c r="G416" s="8"/>
      <c r="H416" s="8"/>
      <c r="I416" s="8"/>
      <c r="J416" s="8"/>
      <c r="K416" s="8"/>
      <c r="L416" s="8"/>
    </row>
    <row r="417" spans="1:12">
      <c r="A417" s="8"/>
      <c r="B417" s="8"/>
      <c r="C417" s="8"/>
      <c r="D417" s="8"/>
      <c r="E417" s="8"/>
      <c r="F417" s="8"/>
      <c r="G417" s="8"/>
      <c r="H417" s="8"/>
      <c r="I417" s="8"/>
      <c r="J417" s="8"/>
      <c r="K417" s="8"/>
      <c r="L417" s="8"/>
    </row>
    <row r="418" spans="1:12">
      <c r="A418" s="8"/>
      <c r="B418" s="8"/>
      <c r="C418" s="8"/>
      <c r="D418" s="8"/>
      <c r="E418" s="8"/>
      <c r="F418" s="8"/>
      <c r="G418" s="8"/>
      <c r="H418" s="8"/>
      <c r="I418" s="8"/>
      <c r="J418" s="8"/>
      <c r="K418" s="8"/>
      <c r="L418" s="8"/>
    </row>
    <row r="419" spans="1:12">
      <c r="A419" s="8"/>
      <c r="B419" s="8"/>
      <c r="C419" s="8"/>
      <c r="D419" s="8"/>
      <c r="E419" s="8"/>
      <c r="F419" s="8"/>
      <c r="G419" s="8"/>
      <c r="H419" s="8"/>
      <c r="I419" s="8"/>
      <c r="J419" s="8"/>
      <c r="K419" s="8"/>
      <c r="L419" s="8"/>
    </row>
    <row r="420" spans="1:12">
      <c r="A420" s="8"/>
      <c r="B420" s="8"/>
      <c r="C420" s="8"/>
      <c r="D420" s="8"/>
      <c r="E420" s="8"/>
      <c r="F420" s="8"/>
      <c r="G420" s="8"/>
      <c r="H420" s="8"/>
      <c r="I420" s="8"/>
      <c r="J420" s="8"/>
      <c r="K420" s="8"/>
      <c r="L420" s="8"/>
    </row>
    <row r="421" spans="1:12">
      <c r="A421" s="8"/>
      <c r="B421" s="8"/>
      <c r="C421" s="8"/>
      <c r="D421" s="8"/>
      <c r="E421" s="8"/>
      <c r="F421" s="8"/>
      <c r="G421" s="8"/>
      <c r="H421" s="8"/>
      <c r="I421" s="8"/>
      <c r="J421" s="8"/>
      <c r="K421" s="8"/>
      <c r="L421" s="8"/>
    </row>
    <row r="422" spans="1:12" s="330" customFormat="1">
      <c r="A422" s="8"/>
      <c r="B422" s="8"/>
      <c r="C422" s="8"/>
      <c r="D422" s="8"/>
      <c r="E422" s="8"/>
      <c r="F422" s="8"/>
      <c r="G422" s="8"/>
      <c r="H422" s="8"/>
      <c r="I422" s="8"/>
      <c r="J422" s="8"/>
      <c r="K422" s="8"/>
      <c r="L422" s="8"/>
    </row>
    <row r="423" spans="1:12" s="330" customFormat="1">
      <c r="A423" s="8"/>
      <c r="B423" s="8"/>
      <c r="C423" s="8"/>
      <c r="D423" s="8"/>
      <c r="E423" s="8"/>
      <c r="F423" s="8"/>
      <c r="G423" s="8"/>
      <c r="H423" s="8"/>
      <c r="I423" s="8"/>
      <c r="J423" s="8"/>
      <c r="K423" s="8"/>
      <c r="L423" s="8"/>
    </row>
    <row r="424" spans="1:12" ht="15.75" thickBot="1">
      <c r="A424" s="330"/>
      <c r="B424" s="330"/>
      <c r="C424" s="330"/>
      <c r="D424" s="330"/>
      <c r="E424" s="330"/>
      <c r="F424" s="330"/>
      <c r="G424" s="330"/>
      <c r="H424" s="330"/>
      <c r="I424" s="330"/>
      <c r="J424" s="330"/>
      <c r="K424" s="330"/>
      <c r="L424" s="330"/>
    </row>
    <row r="425" spans="1:12" ht="32.25">
      <c r="A425" s="330"/>
      <c r="B425" s="1104" t="s">
        <v>107</v>
      </c>
      <c r="C425" s="1105"/>
      <c r="D425" s="1105"/>
      <c r="E425" s="1105"/>
      <c r="F425" s="1105"/>
      <c r="G425" s="1105"/>
      <c r="H425" s="1105"/>
      <c r="I425" s="1105"/>
      <c r="J425" s="1105"/>
      <c r="K425" s="1105"/>
      <c r="L425" s="1106"/>
    </row>
    <row r="426" spans="1:12" ht="23.25">
      <c r="A426" s="330"/>
      <c r="B426" s="1084" t="s">
        <v>108</v>
      </c>
      <c r="C426" s="1085"/>
      <c r="D426" s="1085"/>
      <c r="E426" s="1085"/>
      <c r="F426" s="1085"/>
      <c r="G426" s="1085"/>
      <c r="H426" s="1085"/>
      <c r="I426" s="1085"/>
      <c r="J426" s="1085"/>
      <c r="K426" s="1085"/>
      <c r="L426" s="1086"/>
    </row>
    <row r="427" spans="1:12" ht="16.5" thickBot="1">
      <c r="A427" s="330"/>
      <c r="B427" s="1087" t="s">
        <v>382</v>
      </c>
      <c r="C427" s="1088"/>
      <c r="D427" s="1088"/>
      <c r="E427" s="1088"/>
      <c r="F427" s="1088"/>
      <c r="G427" s="1088"/>
      <c r="H427" s="1088"/>
      <c r="I427" s="1088"/>
      <c r="J427" s="1088"/>
      <c r="K427" s="1088"/>
      <c r="L427" s="1089"/>
    </row>
    <row r="428" spans="1:12">
      <c r="A428" s="330"/>
      <c r="B428" s="1090" t="s">
        <v>109</v>
      </c>
      <c r="C428" s="1091"/>
      <c r="D428" s="1091"/>
      <c r="E428" s="1091"/>
      <c r="F428" s="1091"/>
      <c r="G428" s="313"/>
      <c r="H428" s="1092" t="s">
        <v>110</v>
      </c>
      <c r="I428" s="1092"/>
      <c r="J428" s="1092"/>
      <c r="K428" s="1092"/>
      <c r="L428" s="1093"/>
    </row>
    <row r="429" spans="1:12" ht="15.75" thickBot="1">
      <c r="A429" s="330"/>
      <c r="B429" s="1090"/>
      <c r="C429" s="1091"/>
      <c r="D429" s="1091"/>
      <c r="E429" s="1091"/>
      <c r="F429" s="1091"/>
      <c r="G429" s="313"/>
      <c r="H429" s="1092"/>
      <c r="I429" s="1092"/>
      <c r="J429" s="1092"/>
      <c r="K429" s="1092"/>
      <c r="L429" s="1093"/>
    </row>
    <row r="430" spans="1:12">
      <c r="A430" s="330"/>
      <c r="B430" s="73"/>
      <c r="C430" s="74"/>
      <c r="D430" s="74"/>
      <c r="E430" s="74"/>
      <c r="F430" s="75"/>
      <c r="G430" s="313"/>
      <c r="H430" s="73"/>
      <c r="I430" s="74"/>
      <c r="J430" s="74"/>
      <c r="K430" s="74"/>
      <c r="L430" s="75"/>
    </row>
    <row r="431" spans="1:12">
      <c r="A431" s="330"/>
      <c r="B431" s="76" t="s">
        <v>384</v>
      </c>
      <c r="C431" s="313"/>
      <c r="D431" s="313"/>
      <c r="E431" s="313"/>
      <c r="F431" s="13"/>
      <c r="G431" s="313"/>
      <c r="H431" s="76" t="s">
        <v>384</v>
      </c>
      <c r="I431" s="313"/>
      <c r="J431" s="313"/>
      <c r="K431" s="313"/>
      <c r="L431" s="13"/>
    </row>
    <row r="432" spans="1:12">
      <c r="A432" s="330"/>
      <c r="B432" s="12"/>
      <c r="C432" s="313"/>
      <c r="D432" s="313"/>
      <c r="E432" s="313"/>
      <c r="F432" s="13"/>
      <c r="G432" s="313"/>
      <c r="H432" s="12"/>
      <c r="I432" s="313"/>
      <c r="J432" s="313"/>
      <c r="K432" s="313"/>
      <c r="L432" s="13"/>
    </row>
    <row r="433" spans="1:12">
      <c r="A433" s="330"/>
      <c r="B433" s="76" t="s">
        <v>385</v>
      </c>
      <c r="C433" s="313"/>
      <c r="D433" s="313"/>
      <c r="E433" s="313"/>
      <c r="F433" s="13"/>
      <c r="G433" s="313"/>
      <c r="H433" s="76" t="s">
        <v>385</v>
      </c>
      <c r="I433" s="313"/>
      <c r="J433" s="313"/>
      <c r="K433" s="313"/>
      <c r="L433" s="13"/>
    </row>
    <row r="434" spans="1:12" ht="15.75" thickBot="1">
      <c r="A434" s="330"/>
      <c r="B434" s="24"/>
      <c r="C434" s="22"/>
      <c r="D434" s="22"/>
      <c r="E434" s="22"/>
      <c r="F434" s="23"/>
      <c r="G434" s="313"/>
      <c r="H434" s="24"/>
      <c r="I434" s="22"/>
      <c r="J434" s="22"/>
      <c r="K434" s="22"/>
      <c r="L434" s="23"/>
    </row>
    <row r="435" spans="1:12">
      <c r="A435" s="330"/>
      <c r="B435" s="12"/>
      <c r="C435" s="313"/>
      <c r="D435" s="313"/>
      <c r="E435" s="313"/>
      <c r="F435" s="313"/>
      <c r="G435" s="313"/>
      <c r="H435" s="313"/>
      <c r="I435" s="313"/>
      <c r="J435" s="313" t="s">
        <v>111</v>
      </c>
      <c r="K435" s="313"/>
      <c r="L435" s="13"/>
    </row>
    <row r="436" spans="1:12" ht="21.75" customHeight="1">
      <c r="A436" s="330"/>
      <c r="B436" s="1094" t="s">
        <v>112</v>
      </c>
      <c r="C436" s="1095"/>
      <c r="D436" s="1095"/>
      <c r="E436" s="1095"/>
      <c r="F436" s="1095"/>
      <c r="G436" s="313"/>
      <c r="H436" s="1095" t="s">
        <v>4</v>
      </c>
      <c r="I436" s="1095"/>
      <c r="J436" s="1095"/>
      <c r="K436" s="1095"/>
      <c r="L436" s="1096"/>
    </row>
    <row r="437" spans="1:12" ht="24" customHeight="1" thickBot="1">
      <c r="A437" s="330"/>
      <c r="B437" s="12"/>
      <c r="C437" s="313"/>
      <c r="D437" s="313"/>
      <c r="E437" s="313"/>
      <c r="F437" s="313"/>
      <c r="G437" s="313"/>
      <c r="H437" s="313"/>
      <c r="I437" s="313"/>
      <c r="J437" s="313"/>
      <c r="K437" s="313"/>
      <c r="L437" s="13"/>
    </row>
    <row r="438" spans="1:12" ht="24" customHeight="1">
      <c r="A438" s="330"/>
      <c r="B438" s="73"/>
      <c r="C438" s="74"/>
      <c r="D438" s="74"/>
      <c r="E438" s="74"/>
      <c r="F438" s="75"/>
      <c r="G438" s="313"/>
      <c r="H438" s="77"/>
      <c r="I438" s="78"/>
      <c r="J438" s="78"/>
      <c r="K438" s="78"/>
      <c r="L438" s="79"/>
    </row>
    <row r="439" spans="1:12" ht="24" customHeight="1">
      <c r="A439" s="330"/>
      <c r="B439" s="12"/>
      <c r="C439" s="313"/>
      <c r="D439" s="313"/>
      <c r="E439" s="313"/>
      <c r="F439" s="13"/>
      <c r="G439" s="313"/>
      <c r="H439" s="76" t="s">
        <v>522</v>
      </c>
      <c r="I439" s="316"/>
      <c r="J439" s="316"/>
      <c r="K439" s="316"/>
      <c r="L439" s="80"/>
    </row>
    <row r="440" spans="1:12" ht="24" customHeight="1">
      <c r="A440" s="330"/>
      <c r="B440" s="76" t="s">
        <v>374</v>
      </c>
      <c r="C440" s="313"/>
      <c r="D440" s="313"/>
      <c r="E440" s="313"/>
      <c r="F440" s="13"/>
      <c r="G440" s="313"/>
      <c r="H440" s="76"/>
      <c r="I440" s="316"/>
      <c r="J440" s="316"/>
      <c r="K440" s="316"/>
      <c r="L440" s="80"/>
    </row>
    <row r="441" spans="1:12" ht="24" customHeight="1">
      <c r="A441" s="330"/>
      <c r="B441" s="12"/>
      <c r="C441" s="313"/>
      <c r="D441" s="313"/>
      <c r="E441" s="313"/>
      <c r="F441" s="13"/>
      <c r="G441" s="313"/>
      <c r="H441" s="76" t="s">
        <v>494</v>
      </c>
      <c r="I441" s="316"/>
      <c r="J441" s="316"/>
      <c r="K441" s="316"/>
      <c r="L441" s="80"/>
    </row>
    <row r="442" spans="1:12" ht="24" customHeight="1" thickBot="1">
      <c r="A442" s="330"/>
      <c r="B442" s="24"/>
      <c r="C442" s="22"/>
      <c r="D442" s="22"/>
      <c r="E442" s="22"/>
      <c r="F442" s="23"/>
      <c r="G442" s="313"/>
      <c r="H442" s="76"/>
      <c r="I442" s="316"/>
      <c r="J442" s="316"/>
      <c r="K442" s="316"/>
      <c r="L442" s="80"/>
    </row>
    <row r="443" spans="1:12" ht="24" customHeight="1">
      <c r="A443" s="330"/>
      <c r="B443" s="1068" t="s">
        <v>113</v>
      </c>
      <c r="C443" s="1069"/>
      <c r="D443" s="1069"/>
      <c r="E443" s="1069"/>
      <c r="F443" s="1069"/>
      <c r="G443" s="1097"/>
      <c r="H443" s="1098" t="str">
        <f>'0422Master'!B24</f>
        <v>Arvind Akhare</v>
      </c>
      <c r="I443" s="1099"/>
      <c r="J443" s="1099"/>
      <c r="K443" s="1099"/>
      <c r="L443" s="1100"/>
    </row>
    <row r="444" spans="1:12" ht="24" customHeight="1" thickBot="1">
      <c r="A444" s="330"/>
      <c r="B444" s="560"/>
      <c r="C444" s="561"/>
      <c r="D444" s="561"/>
      <c r="E444" s="561"/>
      <c r="F444" s="561"/>
      <c r="G444" s="564"/>
      <c r="H444" s="1101" t="str">
        <f>'0422Master'!G24</f>
        <v>AP.Shelgaon Deshmukh sub distruct,Mehkar,District Buldana,Maharastra 443303</v>
      </c>
      <c r="I444" s="1102"/>
      <c r="J444" s="1102"/>
      <c r="K444" s="1102"/>
      <c r="L444" s="1103"/>
    </row>
    <row r="445" spans="1:12" ht="24" customHeight="1">
      <c r="A445" s="330"/>
      <c r="B445" s="1072" t="s">
        <v>114</v>
      </c>
      <c r="C445" s="1073"/>
      <c r="D445" s="1073"/>
      <c r="E445" s="1073"/>
      <c r="F445" s="1073"/>
      <c r="G445" s="1073"/>
      <c r="H445" s="1074">
        <v>62</v>
      </c>
      <c r="I445" s="1075"/>
      <c r="J445" s="1075"/>
      <c r="K445" s="1075"/>
      <c r="L445" s="1076"/>
    </row>
    <row r="446" spans="1:12" ht="24" customHeight="1">
      <c r="A446" s="330"/>
      <c r="B446" s="1068" t="s">
        <v>115</v>
      </c>
      <c r="C446" s="1069"/>
      <c r="D446" s="1069"/>
      <c r="E446" s="1069"/>
      <c r="F446" s="1069"/>
      <c r="G446" s="1069"/>
      <c r="H446" s="1077" t="str">
        <f>'0422Master'!F24</f>
        <v>Project Manager</v>
      </c>
      <c r="I446" s="1070"/>
      <c r="J446" s="1070"/>
      <c r="K446" s="1070"/>
      <c r="L446" s="1071"/>
    </row>
    <row r="447" spans="1:12" ht="24" customHeight="1">
      <c r="A447" s="330"/>
      <c r="B447" s="1068" t="s">
        <v>116</v>
      </c>
      <c r="C447" s="1069"/>
      <c r="D447" s="1069"/>
      <c r="E447" s="1069"/>
      <c r="F447" s="1069"/>
      <c r="G447" s="1069"/>
      <c r="H447" s="1078">
        <f>'0422Master'!N24</f>
        <v>44537</v>
      </c>
      <c r="I447" s="1079"/>
      <c r="J447" s="1079"/>
      <c r="K447" s="1079"/>
      <c r="L447" s="1080"/>
    </row>
    <row r="448" spans="1:12" ht="24" customHeight="1">
      <c r="A448" s="330"/>
      <c r="B448" s="332" t="s">
        <v>117</v>
      </c>
      <c r="C448" s="86"/>
      <c r="D448" s="86"/>
      <c r="E448" s="86"/>
      <c r="F448" s="86"/>
      <c r="G448" s="86"/>
      <c r="H448" s="568"/>
      <c r="I448" s="88"/>
      <c r="J448" s="331">
        <f>'0422Master'!T358</f>
        <v>0</v>
      </c>
      <c r="K448" s="566"/>
      <c r="L448" s="567"/>
    </row>
    <row r="449" spans="1:13" ht="24" customHeight="1">
      <c r="A449" s="330"/>
      <c r="B449" s="332" t="s">
        <v>118</v>
      </c>
      <c r="C449" s="86"/>
      <c r="D449" s="86"/>
      <c r="E449" s="86"/>
      <c r="F449" s="86"/>
      <c r="G449" s="367"/>
      <c r="H449" s="91"/>
      <c r="I449" s="92"/>
      <c r="J449" s="331" t="str">
        <f>'0422Master'!S24</f>
        <v>100743126845</v>
      </c>
      <c r="K449" s="92"/>
      <c r="L449" s="93"/>
    </row>
    <row r="450" spans="1:13" ht="24" customHeight="1">
      <c r="A450" s="330"/>
      <c r="B450" s="1081" t="s">
        <v>119</v>
      </c>
      <c r="C450" s="1082"/>
      <c r="D450" s="1082"/>
      <c r="E450" s="1082"/>
      <c r="F450" s="1082"/>
      <c r="G450" s="1082"/>
      <c r="H450" s="1074">
        <f>'0422Master'!Y24</f>
        <v>84912</v>
      </c>
      <c r="I450" s="1075"/>
      <c r="J450" s="1075"/>
      <c r="K450" s="1075"/>
      <c r="L450" s="1076"/>
    </row>
    <row r="451" spans="1:13" ht="24" customHeight="1">
      <c r="A451" s="330"/>
      <c r="B451" s="1068" t="s">
        <v>120</v>
      </c>
      <c r="C451" s="1069"/>
      <c r="D451" s="1069"/>
      <c r="E451" s="1069"/>
      <c r="F451" s="1069"/>
      <c r="G451" s="1069"/>
      <c r="H451" s="1083">
        <f>'0422Master'!D10</f>
        <v>44652</v>
      </c>
      <c r="I451" s="1070"/>
      <c r="J451" s="1070"/>
      <c r="K451" s="1070"/>
      <c r="L451" s="1071"/>
    </row>
    <row r="452" spans="1:13" ht="24" customHeight="1">
      <c r="A452" s="330"/>
      <c r="B452" s="1068" t="s">
        <v>121</v>
      </c>
      <c r="C452" s="1069"/>
      <c r="D452" s="1069"/>
      <c r="E452" s="1069"/>
      <c r="F452" s="1069"/>
      <c r="G452" s="1069"/>
      <c r="H452" s="1070" t="s">
        <v>122</v>
      </c>
      <c r="I452" s="1070"/>
      <c r="J452" s="1070"/>
      <c r="K452" s="1070"/>
      <c r="L452" s="1071"/>
    </row>
    <row r="453" spans="1:13" ht="24" customHeight="1">
      <c r="A453" s="330"/>
      <c r="B453" s="332" t="s">
        <v>123</v>
      </c>
      <c r="C453" s="86"/>
      <c r="D453" s="86"/>
      <c r="E453" s="86"/>
      <c r="F453" s="86"/>
      <c r="G453" s="367"/>
      <c r="H453" s="568"/>
      <c r="I453" s="566"/>
      <c r="J453" s="95">
        <f>'0422Master'!W24</f>
        <v>28</v>
      </c>
      <c r="K453" s="566"/>
      <c r="L453" s="567"/>
    </row>
    <row r="454" spans="1:13" ht="24" customHeight="1">
      <c r="A454" s="330"/>
      <c r="B454" s="332" t="s">
        <v>124</v>
      </c>
      <c r="C454" s="86"/>
      <c r="D454" s="86"/>
      <c r="E454" s="86"/>
      <c r="F454" s="86"/>
      <c r="G454" s="367"/>
      <c r="H454" s="568"/>
      <c r="I454" s="566"/>
      <c r="J454" s="566" t="s">
        <v>37</v>
      </c>
      <c r="K454" s="566"/>
      <c r="L454" s="567"/>
    </row>
    <row r="455" spans="1:13" ht="24" customHeight="1">
      <c r="A455" s="330"/>
      <c r="B455" s="332" t="s">
        <v>125</v>
      </c>
      <c r="C455" s="86"/>
      <c r="D455" s="86"/>
      <c r="E455" s="86"/>
      <c r="F455" s="86"/>
      <c r="G455" s="367"/>
      <c r="H455" s="568"/>
      <c r="I455" s="566"/>
      <c r="J455" s="95">
        <v>0</v>
      </c>
      <c r="K455" s="566"/>
      <c r="L455" s="567"/>
    </row>
    <row r="456" spans="1:13" ht="24" customHeight="1">
      <c r="A456" s="330"/>
      <c r="B456" s="332" t="s">
        <v>126</v>
      </c>
      <c r="C456" s="86"/>
      <c r="D456" s="86"/>
      <c r="E456" s="86"/>
      <c r="F456" s="86"/>
      <c r="G456" s="367"/>
      <c r="H456" s="568"/>
      <c r="I456" s="566"/>
      <c r="J456" s="725">
        <v>0</v>
      </c>
      <c r="K456" s="566"/>
      <c r="L456" s="567"/>
    </row>
    <row r="457" spans="1:13" ht="24" customHeight="1">
      <c r="A457" s="330"/>
      <c r="B457" s="332" t="s">
        <v>127</v>
      </c>
      <c r="C457" s="86"/>
      <c r="D457" s="86"/>
      <c r="E457" s="86"/>
      <c r="F457" s="86"/>
      <c r="G457" s="367"/>
      <c r="H457" s="568"/>
      <c r="I457" s="566"/>
      <c r="J457" s="586">
        <f>'0422Master'!AM24</f>
        <v>87168.558631999986</v>
      </c>
      <c r="K457" s="566"/>
      <c r="L457" s="567" t="s">
        <v>35</v>
      </c>
    </row>
    <row r="458" spans="1:13" ht="24" customHeight="1">
      <c r="A458" s="330"/>
      <c r="B458" s="332" t="s">
        <v>128</v>
      </c>
      <c r="C458" s="86"/>
      <c r="D458" s="562" t="s">
        <v>32</v>
      </c>
      <c r="E458" s="563">
        <f>'0422Master'!AO24</f>
        <v>1800</v>
      </c>
      <c r="F458" s="562" t="s">
        <v>31</v>
      </c>
      <c r="G458" s="563">
        <f>'0422Master'!AN358</f>
        <v>0</v>
      </c>
      <c r="H458" s="562" t="s">
        <v>33</v>
      </c>
      <c r="I458" s="563">
        <f>'0422Master'!AP24</f>
        <v>200</v>
      </c>
      <c r="J458" s="562" t="s">
        <v>34</v>
      </c>
      <c r="K458" s="563">
        <f>'0422Master'!AQ24</f>
        <v>0</v>
      </c>
      <c r="L458" s="100">
        <f>'0422Master'!AR24</f>
        <v>283</v>
      </c>
    </row>
    <row r="459" spans="1:13" ht="24" customHeight="1">
      <c r="A459" s="330"/>
      <c r="B459" s="332" t="s">
        <v>129</v>
      </c>
      <c r="C459" s="86"/>
      <c r="D459" s="86"/>
      <c r="E459" s="86"/>
      <c r="F459" s="86"/>
      <c r="G459" s="367"/>
      <c r="H459" s="568"/>
      <c r="I459" s="566"/>
      <c r="J459" s="95">
        <f>J457-E458-I458-K458-L458</f>
        <v>84885.558631999986</v>
      </c>
      <c r="K459" s="566"/>
      <c r="L459" s="567"/>
      <c r="M459">
        <v>10</v>
      </c>
    </row>
    <row r="460" spans="1:13" ht="24" customHeight="1">
      <c r="A460" s="330"/>
      <c r="B460" s="333" t="s">
        <v>130</v>
      </c>
      <c r="C460" s="334"/>
      <c r="D460" s="334"/>
      <c r="E460" s="334"/>
      <c r="F460" s="334"/>
      <c r="G460" s="335"/>
      <c r="H460" s="336"/>
      <c r="I460" s="337"/>
      <c r="J460" s="337"/>
      <c r="K460" s="337"/>
      <c r="L460" s="97"/>
    </row>
    <row r="461" spans="1:13" ht="24" customHeight="1">
      <c r="A461" s="330"/>
      <c r="B461" s="358" t="s">
        <v>131</v>
      </c>
      <c r="C461" s="316"/>
      <c r="D461" s="316"/>
      <c r="E461" s="316"/>
      <c r="F461" s="316"/>
      <c r="G461" s="359"/>
      <c r="H461" s="70"/>
      <c r="I461" s="313"/>
      <c r="J461" s="313"/>
      <c r="K461" s="313"/>
      <c r="L461" s="13"/>
    </row>
    <row r="462" spans="1:13" ht="24" customHeight="1">
      <c r="A462" s="330"/>
      <c r="B462" s="587"/>
      <c r="C462" s="16"/>
      <c r="D462" s="16"/>
      <c r="E462" s="16"/>
      <c r="F462" s="16"/>
      <c r="G462" s="16"/>
      <c r="H462" s="16"/>
      <c r="I462" s="16"/>
      <c r="J462" s="16"/>
      <c r="K462" s="16"/>
      <c r="L462" s="98"/>
    </row>
    <row r="463" spans="1:13">
      <c r="A463" s="8"/>
      <c r="B463" s="8"/>
      <c r="C463" s="8"/>
      <c r="D463" s="8"/>
      <c r="E463" s="8"/>
      <c r="F463" s="8"/>
      <c r="G463" s="8"/>
      <c r="H463" s="8"/>
      <c r="I463" s="8"/>
      <c r="J463" s="8"/>
      <c r="K463" s="8"/>
      <c r="L463" s="8"/>
    </row>
    <row r="464" spans="1:13">
      <c r="A464" s="8"/>
      <c r="B464" s="8"/>
      <c r="C464" s="8"/>
      <c r="D464" s="8"/>
      <c r="E464" s="8"/>
      <c r="F464" s="8"/>
      <c r="G464" s="8"/>
      <c r="H464" s="8"/>
      <c r="I464" s="8"/>
      <c r="J464" s="8"/>
      <c r="K464" s="8"/>
      <c r="L464" s="8"/>
    </row>
    <row r="465" spans="1:12">
      <c r="A465" s="8"/>
      <c r="B465" s="8"/>
      <c r="C465" s="8"/>
      <c r="D465" s="8"/>
      <c r="E465" s="8"/>
      <c r="F465" s="8"/>
      <c r="G465" s="8"/>
      <c r="H465" s="8"/>
      <c r="I465" s="8"/>
      <c r="J465" s="8"/>
      <c r="K465" s="8"/>
      <c r="L465" s="8"/>
    </row>
    <row r="466" spans="1:12">
      <c r="A466" s="8"/>
      <c r="B466" s="8"/>
      <c r="C466" s="8"/>
      <c r="D466" s="8"/>
      <c r="E466" s="8"/>
      <c r="F466" s="8"/>
      <c r="G466" s="8"/>
      <c r="H466" s="8"/>
      <c r="I466" s="8"/>
      <c r="J466" s="8"/>
      <c r="K466" s="8"/>
      <c r="L466" s="8"/>
    </row>
    <row r="467" spans="1:12">
      <c r="A467" s="8"/>
      <c r="B467" s="8"/>
      <c r="C467" s="8"/>
      <c r="D467" s="8"/>
      <c r="E467" s="8"/>
      <c r="F467" s="8"/>
      <c r="G467" s="8"/>
      <c r="H467" s="8"/>
      <c r="I467" s="8"/>
      <c r="J467" s="8"/>
      <c r="K467" s="8"/>
      <c r="L467" s="8"/>
    </row>
    <row r="468" spans="1:12">
      <c r="A468" s="8"/>
      <c r="B468" s="8"/>
      <c r="C468" s="8"/>
      <c r="D468" s="8"/>
      <c r="E468" s="8"/>
      <c r="F468" s="8"/>
      <c r="G468" s="8"/>
      <c r="H468" s="8"/>
      <c r="I468" s="8"/>
      <c r="J468" s="8"/>
      <c r="K468" s="8"/>
      <c r="L468" s="8"/>
    </row>
    <row r="469" spans="1:12">
      <c r="A469" s="8"/>
      <c r="B469" s="8"/>
      <c r="C469" s="8"/>
      <c r="D469" s="8"/>
      <c r="E469" s="8"/>
      <c r="F469" s="8"/>
      <c r="G469" s="8"/>
      <c r="H469" s="8"/>
      <c r="I469" s="8"/>
      <c r="J469" s="8"/>
      <c r="K469" s="8"/>
      <c r="L469" s="8"/>
    </row>
    <row r="470" spans="1:12">
      <c r="A470" s="8"/>
      <c r="B470" s="8"/>
      <c r="C470" s="8"/>
      <c r="D470" s="8"/>
      <c r="E470" s="8"/>
      <c r="F470" s="8"/>
      <c r="G470" s="8"/>
      <c r="H470" s="8"/>
      <c r="I470" s="8"/>
      <c r="J470" s="8"/>
      <c r="K470" s="8"/>
      <c r="L470" s="8"/>
    </row>
    <row r="471" spans="1:12" s="330" customFormat="1">
      <c r="A471" s="8"/>
      <c r="B471" s="8"/>
      <c r="C471" s="8"/>
      <c r="D471" s="8"/>
      <c r="E471" s="8"/>
      <c r="F471" s="8"/>
      <c r="G471" s="8"/>
      <c r="H471" s="8"/>
      <c r="I471" s="8"/>
      <c r="J471" s="8"/>
      <c r="K471" s="8"/>
      <c r="L471" s="8"/>
    </row>
    <row r="472" spans="1:12" s="330" customFormat="1">
      <c r="A472" s="8"/>
      <c r="B472" s="8"/>
      <c r="C472" s="8"/>
      <c r="D472" s="8"/>
      <c r="E472" s="8"/>
      <c r="F472" s="8"/>
      <c r="G472" s="8"/>
      <c r="H472" s="8"/>
      <c r="I472" s="8"/>
      <c r="J472" s="8"/>
      <c r="K472" s="8"/>
      <c r="L472" s="8"/>
    </row>
    <row r="473" spans="1:12" s="330" customFormat="1">
      <c r="A473" s="8"/>
      <c r="B473" s="8"/>
      <c r="C473" s="8"/>
      <c r="D473" s="8"/>
      <c r="E473" s="8"/>
      <c r="F473" s="8"/>
      <c r="G473" s="8"/>
      <c r="H473" s="8"/>
      <c r="I473" s="8"/>
      <c r="J473" s="8"/>
      <c r="K473" s="8"/>
      <c r="L473" s="8"/>
    </row>
    <row r="474" spans="1:12" s="330" customFormat="1">
      <c r="A474" s="8"/>
      <c r="B474" s="8"/>
      <c r="C474" s="8"/>
      <c r="D474" s="8"/>
      <c r="E474" s="8"/>
      <c r="F474" s="8"/>
      <c r="G474" s="8"/>
      <c r="H474" s="8"/>
      <c r="I474" s="8"/>
      <c r="J474" s="8"/>
      <c r="K474" s="8"/>
      <c r="L474" s="8"/>
    </row>
    <row r="475" spans="1:12">
      <c r="A475" s="8"/>
      <c r="B475" s="8"/>
      <c r="C475" s="8"/>
      <c r="D475" s="8"/>
      <c r="E475" s="8"/>
      <c r="F475" s="8"/>
      <c r="G475" s="8"/>
      <c r="H475" s="8"/>
      <c r="I475" s="8"/>
      <c r="J475" s="8"/>
      <c r="K475" s="8"/>
      <c r="L475" s="8"/>
    </row>
    <row r="476" spans="1:12">
      <c r="A476" s="8"/>
      <c r="B476" s="8"/>
      <c r="C476" s="8"/>
      <c r="D476" s="8"/>
      <c r="E476" s="8"/>
      <c r="F476" s="8"/>
      <c r="G476" s="8"/>
      <c r="H476" s="8"/>
      <c r="I476" s="8"/>
      <c r="J476" s="8"/>
      <c r="K476" s="8"/>
      <c r="L476" s="8"/>
    </row>
    <row r="477" spans="1:12">
      <c r="A477" s="8"/>
      <c r="B477" s="8"/>
      <c r="C477" s="8"/>
      <c r="D477" s="8"/>
      <c r="E477" s="8"/>
      <c r="F477" s="8"/>
      <c r="G477" s="8"/>
      <c r="H477" s="8"/>
      <c r="I477" s="8"/>
      <c r="J477" s="8"/>
      <c r="K477" s="8"/>
      <c r="L477" s="8"/>
    </row>
    <row r="478" spans="1:12" s="330" customFormat="1">
      <c r="A478" s="8"/>
      <c r="B478" s="8"/>
      <c r="C478" s="8"/>
      <c r="D478" s="8"/>
      <c r="E478" s="8"/>
      <c r="F478" s="8"/>
      <c r="G478" s="8"/>
      <c r="H478" s="8"/>
      <c r="I478" s="8"/>
      <c r="J478" s="8"/>
      <c r="K478" s="8"/>
      <c r="L478" s="8"/>
    </row>
    <row r="479" spans="1:12" ht="15.75" thickBot="1">
      <c r="A479" s="330"/>
      <c r="B479" s="330"/>
      <c r="C479" s="330"/>
      <c r="D479" s="330"/>
      <c r="E479" s="330"/>
      <c r="F479" s="330"/>
      <c r="G479" s="330"/>
      <c r="H479" s="330"/>
      <c r="I479" s="330"/>
      <c r="J479" s="330"/>
      <c r="K479" s="330"/>
      <c r="L479" s="330"/>
    </row>
    <row r="480" spans="1:12" ht="32.25">
      <c r="A480" s="330"/>
      <c r="B480" s="1104" t="s">
        <v>107</v>
      </c>
      <c r="C480" s="1105"/>
      <c r="D480" s="1105"/>
      <c r="E480" s="1105"/>
      <c r="F480" s="1105"/>
      <c r="G480" s="1105"/>
      <c r="H480" s="1105"/>
      <c r="I480" s="1105"/>
      <c r="J480" s="1105"/>
      <c r="K480" s="1105"/>
      <c r="L480" s="1106"/>
    </row>
    <row r="481" spans="1:12" ht="23.25">
      <c r="A481" s="330"/>
      <c r="B481" s="1084" t="s">
        <v>108</v>
      </c>
      <c r="C481" s="1085"/>
      <c r="D481" s="1085"/>
      <c r="E481" s="1085"/>
      <c r="F481" s="1085"/>
      <c r="G481" s="1085"/>
      <c r="H481" s="1085"/>
      <c r="I481" s="1085"/>
      <c r="J481" s="1085"/>
      <c r="K481" s="1085"/>
      <c r="L481" s="1086"/>
    </row>
    <row r="482" spans="1:12" ht="16.5" thickBot="1">
      <c r="A482" s="330"/>
      <c r="B482" s="1087" t="s">
        <v>382</v>
      </c>
      <c r="C482" s="1088"/>
      <c r="D482" s="1088"/>
      <c r="E482" s="1088"/>
      <c r="F482" s="1088"/>
      <c r="G482" s="1088"/>
      <c r="H482" s="1088"/>
      <c r="I482" s="1088"/>
      <c r="J482" s="1088"/>
      <c r="K482" s="1088"/>
      <c r="L482" s="1089"/>
    </row>
    <row r="483" spans="1:12">
      <c r="A483" s="330"/>
      <c r="B483" s="1090" t="s">
        <v>109</v>
      </c>
      <c r="C483" s="1091"/>
      <c r="D483" s="1091"/>
      <c r="E483" s="1091"/>
      <c r="F483" s="1091"/>
      <c r="G483" s="313"/>
      <c r="H483" s="1092" t="s">
        <v>110</v>
      </c>
      <c r="I483" s="1092"/>
      <c r="J483" s="1092"/>
      <c r="K483" s="1092"/>
      <c r="L483" s="1093"/>
    </row>
    <row r="484" spans="1:12" ht="15.75" thickBot="1">
      <c r="A484" s="330"/>
      <c r="B484" s="1090"/>
      <c r="C484" s="1091"/>
      <c r="D484" s="1091"/>
      <c r="E484" s="1091"/>
      <c r="F484" s="1091"/>
      <c r="G484" s="313"/>
      <c r="H484" s="1092"/>
      <c r="I484" s="1092"/>
      <c r="J484" s="1092"/>
      <c r="K484" s="1092"/>
      <c r="L484" s="1093"/>
    </row>
    <row r="485" spans="1:12">
      <c r="A485" s="330"/>
      <c r="B485" s="73"/>
      <c r="C485" s="74"/>
      <c r="D485" s="74"/>
      <c r="E485" s="74"/>
      <c r="F485" s="75"/>
      <c r="G485" s="313"/>
      <c r="H485" s="73"/>
      <c r="I485" s="74"/>
      <c r="J485" s="74"/>
      <c r="K485" s="74"/>
      <c r="L485" s="75"/>
    </row>
    <row r="486" spans="1:12">
      <c r="A486" s="330"/>
      <c r="B486" s="76" t="s">
        <v>384</v>
      </c>
      <c r="C486" s="313"/>
      <c r="D486" s="313"/>
      <c r="E486" s="313"/>
      <c r="F486" s="13"/>
      <c r="G486" s="313"/>
      <c r="H486" s="76" t="s">
        <v>384</v>
      </c>
      <c r="I486" s="313"/>
      <c r="J486" s="313"/>
      <c r="K486" s="313"/>
      <c r="L486" s="13"/>
    </row>
    <row r="487" spans="1:12">
      <c r="A487" s="330"/>
      <c r="B487" s="12"/>
      <c r="C487" s="313"/>
      <c r="D487" s="313"/>
      <c r="E487" s="313"/>
      <c r="F487" s="13"/>
      <c r="G487" s="313"/>
      <c r="H487" s="12"/>
      <c r="I487" s="313"/>
      <c r="J487" s="313"/>
      <c r="K487" s="313"/>
      <c r="L487" s="13"/>
    </row>
    <row r="488" spans="1:12">
      <c r="A488" s="330"/>
      <c r="B488" s="76" t="s">
        <v>385</v>
      </c>
      <c r="C488" s="313"/>
      <c r="D488" s="313"/>
      <c r="E488" s="313"/>
      <c r="F488" s="13"/>
      <c r="G488" s="313"/>
      <c r="H488" s="76" t="s">
        <v>385</v>
      </c>
      <c r="I488" s="313"/>
      <c r="J488" s="313"/>
      <c r="K488" s="313"/>
      <c r="L488" s="13"/>
    </row>
    <row r="489" spans="1:12" ht="22.5" customHeight="1" thickBot="1">
      <c r="A489" s="330"/>
      <c r="B489" s="24"/>
      <c r="C489" s="22"/>
      <c r="D489" s="22"/>
      <c r="E489" s="22"/>
      <c r="F489" s="23"/>
      <c r="G489" s="313"/>
      <c r="H489" s="24"/>
      <c r="I489" s="22"/>
      <c r="J489" s="22"/>
      <c r="K489" s="22"/>
      <c r="L489" s="23"/>
    </row>
    <row r="490" spans="1:12" ht="22.5" customHeight="1">
      <c r="A490" s="330"/>
      <c r="B490" s="12"/>
      <c r="C490" s="313"/>
      <c r="D490" s="313"/>
      <c r="E490" s="313"/>
      <c r="F490" s="313"/>
      <c r="G490" s="313"/>
      <c r="H490" s="313"/>
      <c r="I490" s="313"/>
      <c r="J490" s="313" t="s">
        <v>111</v>
      </c>
      <c r="K490" s="313"/>
      <c r="L490" s="13"/>
    </row>
    <row r="491" spans="1:12" ht="22.5" customHeight="1">
      <c r="A491" s="330"/>
      <c r="B491" s="1094" t="s">
        <v>112</v>
      </c>
      <c r="C491" s="1095"/>
      <c r="D491" s="1095"/>
      <c r="E491" s="1095"/>
      <c r="F491" s="1095"/>
      <c r="G491" s="313"/>
      <c r="H491" s="1095" t="s">
        <v>4</v>
      </c>
      <c r="I491" s="1095"/>
      <c r="J491" s="1095"/>
      <c r="K491" s="1095"/>
      <c r="L491" s="1096"/>
    </row>
    <row r="492" spans="1:12" ht="22.5" customHeight="1" thickBot="1">
      <c r="A492" s="330"/>
      <c r="B492" s="12"/>
      <c r="C492" s="313"/>
      <c r="D492" s="313"/>
      <c r="E492" s="313"/>
      <c r="F492" s="313"/>
      <c r="G492" s="313"/>
      <c r="H492" s="313"/>
      <c r="I492" s="313"/>
      <c r="J492" s="313"/>
      <c r="K492" s="313"/>
      <c r="L492" s="13"/>
    </row>
    <row r="493" spans="1:12" ht="22.5" customHeight="1">
      <c r="A493" s="330"/>
      <c r="B493" s="73"/>
      <c r="C493" s="74"/>
      <c r="D493" s="74"/>
      <c r="E493" s="74"/>
      <c r="F493" s="75"/>
      <c r="G493" s="313"/>
      <c r="H493" s="77"/>
      <c r="I493" s="78"/>
      <c r="J493" s="78"/>
      <c r="K493" s="78"/>
      <c r="L493" s="79"/>
    </row>
    <row r="494" spans="1:12" ht="22.5" customHeight="1">
      <c r="A494" s="330"/>
      <c r="B494" s="12"/>
      <c r="C494" s="313"/>
      <c r="D494" s="313"/>
      <c r="E494" s="313"/>
      <c r="F494" s="13"/>
      <c r="G494" s="313"/>
      <c r="H494" s="76" t="s">
        <v>522</v>
      </c>
      <c r="I494" s="316"/>
      <c r="J494" s="316"/>
      <c r="K494" s="316"/>
      <c r="L494" s="80"/>
    </row>
    <row r="495" spans="1:12" ht="22.5" customHeight="1">
      <c r="A495" s="330"/>
      <c r="B495" s="76" t="s">
        <v>374</v>
      </c>
      <c r="C495" s="313"/>
      <c r="D495" s="313"/>
      <c r="E495" s="313"/>
      <c r="F495" s="13"/>
      <c r="G495" s="313"/>
      <c r="H495" s="76"/>
      <c r="I495" s="316"/>
      <c r="J495" s="316"/>
      <c r="K495" s="316"/>
      <c r="L495" s="80"/>
    </row>
    <row r="496" spans="1:12" ht="22.5" customHeight="1">
      <c r="A496" s="330"/>
      <c r="B496" s="12"/>
      <c r="C496" s="313"/>
      <c r="D496" s="313"/>
      <c r="E496" s="313"/>
      <c r="F496" s="13"/>
      <c r="G496" s="313"/>
      <c r="H496" s="76" t="s">
        <v>494</v>
      </c>
      <c r="I496" s="316"/>
      <c r="J496" s="316"/>
      <c r="K496" s="316"/>
      <c r="L496" s="80"/>
    </row>
    <row r="497" spans="1:12" ht="22.5" customHeight="1" thickBot="1">
      <c r="A497" s="330"/>
      <c r="B497" s="24"/>
      <c r="C497" s="22"/>
      <c r="D497" s="22"/>
      <c r="E497" s="22"/>
      <c r="F497" s="23"/>
      <c r="G497" s="313"/>
      <c r="H497" s="76"/>
      <c r="I497" s="316"/>
      <c r="J497" s="316"/>
      <c r="K497" s="316"/>
      <c r="L497" s="80"/>
    </row>
    <row r="498" spans="1:12" ht="22.5" customHeight="1">
      <c r="A498" s="330"/>
      <c r="B498" s="1068" t="s">
        <v>113</v>
      </c>
      <c r="C498" s="1069"/>
      <c r="D498" s="1069"/>
      <c r="E498" s="1069"/>
      <c r="F498" s="1069"/>
      <c r="G498" s="1097"/>
      <c r="H498" s="1098" t="str">
        <f>'0422Master'!B25</f>
        <v>Pallavi Rishikesh Naik</v>
      </c>
      <c r="I498" s="1099"/>
      <c r="J498" s="1099"/>
      <c r="K498" s="1099"/>
      <c r="L498" s="1100"/>
    </row>
    <row r="499" spans="1:12" ht="22.5" customHeight="1" thickBot="1">
      <c r="A499" s="330"/>
      <c r="B499" s="560"/>
      <c r="C499" s="561"/>
      <c r="D499" s="561"/>
      <c r="E499" s="561"/>
      <c r="F499" s="561"/>
      <c r="G499" s="564"/>
      <c r="H499" s="1101" t="str">
        <f>'0422Master'!G25</f>
        <v>C/3,Ekta Housing Society,MIDC,G Block,Sambajinagar,Chinchiwad,Pune 411019</v>
      </c>
      <c r="I499" s="1102"/>
      <c r="J499" s="1102"/>
      <c r="K499" s="1102"/>
      <c r="L499" s="1103"/>
    </row>
    <row r="500" spans="1:12" ht="30" customHeight="1">
      <c r="A500" s="330"/>
      <c r="B500" s="1072" t="s">
        <v>114</v>
      </c>
      <c r="C500" s="1073"/>
      <c r="D500" s="1073"/>
      <c r="E500" s="1073"/>
      <c r="F500" s="1073"/>
      <c r="G500" s="1073"/>
      <c r="H500" s="1074">
        <v>63</v>
      </c>
      <c r="I500" s="1075"/>
      <c r="J500" s="1075"/>
      <c r="K500" s="1075"/>
      <c r="L500" s="1076"/>
    </row>
    <row r="501" spans="1:12" ht="22.5" customHeight="1">
      <c r="A501" s="330"/>
      <c r="B501" s="1068" t="s">
        <v>115</v>
      </c>
      <c r="C501" s="1069"/>
      <c r="D501" s="1069"/>
      <c r="E501" s="1069"/>
      <c r="F501" s="1069"/>
      <c r="G501" s="1069"/>
      <c r="H501" s="1077" t="str">
        <f>'0422Master'!F25</f>
        <v>Project Manager</v>
      </c>
      <c r="I501" s="1070"/>
      <c r="J501" s="1070"/>
      <c r="K501" s="1070"/>
      <c r="L501" s="1071"/>
    </row>
    <row r="502" spans="1:12" ht="22.5" customHeight="1">
      <c r="A502" s="330"/>
      <c r="B502" s="1068" t="s">
        <v>116</v>
      </c>
      <c r="C502" s="1069"/>
      <c r="D502" s="1069"/>
      <c r="E502" s="1069"/>
      <c r="F502" s="1069"/>
      <c r="G502" s="1069"/>
      <c r="H502" s="1078">
        <f>'0422Master'!N25</f>
        <v>44538</v>
      </c>
      <c r="I502" s="1079"/>
      <c r="J502" s="1079"/>
      <c r="K502" s="1079"/>
      <c r="L502" s="1080"/>
    </row>
    <row r="503" spans="1:12" ht="22.5" customHeight="1">
      <c r="A503" s="330"/>
      <c r="B503" s="332" t="s">
        <v>117</v>
      </c>
      <c r="C503" s="86"/>
      <c r="D503" s="86"/>
      <c r="E503" s="86"/>
      <c r="F503" s="86"/>
      <c r="G503" s="86"/>
      <c r="H503" s="568"/>
      <c r="I503" s="88"/>
      <c r="J503" s="331">
        <f>'0422Master'!T408</f>
        <v>0</v>
      </c>
      <c r="K503" s="566"/>
      <c r="L503" s="567"/>
    </row>
    <row r="504" spans="1:12" ht="22.5" customHeight="1">
      <c r="A504" s="330"/>
      <c r="B504" s="332" t="s">
        <v>118</v>
      </c>
      <c r="C504" s="86"/>
      <c r="D504" s="86"/>
      <c r="E504" s="86"/>
      <c r="F504" s="86"/>
      <c r="G504" s="367"/>
      <c r="H504" s="91"/>
      <c r="I504" s="92"/>
      <c r="J504" s="331" t="str">
        <f>'0422Master'!S25</f>
        <v>100905532909</v>
      </c>
      <c r="K504" s="92"/>
      <c r="L504" s="93"/>
    </row>
    <row r="505" spans="1:12" ht="22.5" customHeight="1">
      <c r="A505" s="330"/>
      <c r="B505" s="1081" t="s">
        <v>119</v>
      </c>
      <c r="C505" s="1082"/>
      <c r="D505" s="1082"/>
      <c r="E505" s="1082"/>
      <c r="F505" s="1082"/>
      <c r="G505" s="1082"/>
      <c r="H505" s="1074">
        <f>'0422Master'!Y25</f>
        <v>71009</v>
      </c>
      <c r="I505" s="1075"/>
      <c r="J505" s="1075"/>
      <c r="K505" s="1075"/>
      <c r="L505" s="1076"/>
    </row>
    <row r="506" spans="1:12" ht="22.5" customHeight="1">
      <c r="A506" s="330"/>
      <c r="B506" s="1068" t="s">
        <v>120</v>
      </c>
      <c r="C506" s="1069"/>
      <c r="D506" s="1069"/>
      <c r="E506" s="1069"/>
      <c r="F506" s="1069"/>
      <c r="G506" s="1069"/>
      <c r="H506" s="1083">
        <f>'0422Master'!D10</f>
        <v>44652</v>
      </c>
      <c r="I506" s="1070"/>
      <c r="J506" s="1070"/>
      <c r="K506" s="1070"/>
      <c r="L506" s="1071"/>
    </row>
    <row r="507" spans="1:12" ht="22.5" customHeight="1">
      <c r="A507" s="330"/>
      <c r="B507" s="1068" t="s">
        <v>121</v>
      </c>
      <c r="C507" s="1069"/>
      <c r="D507" s="1069"/>
      <c r="E507" s="1069"/>
      <c r="F507" s="1069"/>
      <c r="G507" s="1069"/>
      <c r="H507" s="1070" t="s">
        <v>122</v>
      </c>
      <c r="I507" s="1070"/>
      <c r="J507" s="1070"/>
      <c r="K507" s="1070"/>
      <c r="L507" s="1071"/>
    </row>
    <row r="508" spans="1:12" ht="22.5" customHeight="1">
      <c r="A508" s="330"/>
      <c r="B508" s="332" t="s">
        <v>123</v>
      </c>
      <c r="C508" s="86"/>
      <c r="D508" s="86"/>
      <c r="E508" s="86"/>
      <c r="F508" s="86"/>
      <c r="G508" s="367"/>
      <c r="H508" s="568"/>
      <c r="I508" s="566"/>
      <c r="J508" s="95">
        <f>'0422Master'!W25</f>
        <v>30</v>
      </c>
      <c r="K508" s="566"/>
      <c r="L508" s="567"/>
    </row>
    <row r="509" spans="1:12" ht="22.5" customHeight="1">
      <c r="A509" s="330"/>
      <c r="B509" s="332" t="s">
        <v>124</v>
      </c>
      <c r="C509" s="86"/>
      <c r="D509" s="86"/>
      <c r="E509" s="86"/>
      <c r="F509" s="86"/>
      <c r="G509" s="367"/>
      <c r="H509" s="568"/>
      <c r="I509" s="566"/>
      <c r="J509" s="566" t="s">
        <v>37</v>
      </c>
      <c r="K509" s="566"/>
      <c r="L509" s="567"/>
    </row>
    <row r="510" spans="1:12" ht="22.5" customHeight="1">
      <c r="A510" s="330"/>
      <c r="B510" s="332" t="s">
        <v>125</v>
      </c>
      <c r="C510" s="86"/>
      <c r="D510" s="86"/>
      <c r="E510" s="86"/>
      <c r="F510" s="86"/>
      <c r="G510" s="367"/>
      <c r="H510" s="568"/>
      <c r="I510" s="566"/>
      <c r="J510" s="95">
        <v>0</v>
      </c>
      <c r="K510" s="566"/>
      <c r="L510" s="567"/>
    </row>
    <row r="511" spans="1:12" ht="22.5" customHeight="1">
      <c r="A511" s="330"/>
      <c r="B511" s="332" t="s">
        <v>126</v>
      </c>
      <c r="C511" s="86"/>
      <c r="D511" s="86"/>
      <c r="E511" s="86"/>
      <c r="F511" s="86"/>
      <c r="G511" s="367"/>
      <c r="H511" s="568"/>
      <c r="I511" s="566"/>
      <c r="J511" s="807">
        <v>0</v>
      </c>
      <c r="K511" s="566"/>
      <c r="L511" s="567"/>
    </row>
    <row r="512" spans="1:12" ht="22.5" customHeight="1">
      <c r="A512" s="330"/>
      <c r="B512" s="332" t="s">
        <v>127</v>
      </c>
      <c r="C512" s="86"/>
      <c r="D512" s="86"/>
      <c r="E512" s="86"/>
      <c r="F512" s="86"/>
      <c r="G512" s="367"/>
      <c r="H512" s="568"/>
      <c r="I512" s="566"/>
      <c r="J512" s="586">
        <f>'0422Master'!AM25</f>
        <v>78276.37874</v>
      </c>
      <c r="K512" s="566"/>
      <c r="L512" s="567" t="s">
        <v>35</v>
      </c>
    </row>
    <row r="513" spans="1:13" ht="22.5" customHeight="1">
      <c r="A513" s="330"/>
      <c r="B513" s="332" t="s">
        <v>128</v>
      </c>
      <c r="C513" s="86"/>
      <c r="D513" s="562" t="s">
        <v>32</v>
      </c>
      <c r="E513" s="563">
        <f>'0422Master'!AO25</f>
        <v>1800</v>
      </c>
      <c r="F513" s="562" t="s">
        <v>31</v>
      </c>
      <c r="G513" s="563">
        <f>'0422Master'!AN408</f>
        <v>0</v>
      </c>
      <c r="H513" s="562" t="s">
        <v>33</v>
      </c>
      <c r="I513" s="563">
        <f>'0422Master'!AP25</f>
        <v>200</v>
      </c>
      <c r="J513" s="562" t="s">
        <v>34</v>
      </c>
      <c r="K513" s="563">
        <f>'0422Master'!AQ25</f>
        <v>0</v>
      </c>
      <c r="L513" s="100">
        <f>'0422Master'!AR25</f>
        <v>283</v>
      </c>
    </row>
    <row r="514" spans="1:13" ht="22.5" customHeight="1">
      <c r="A514" s="330"/>
      <c r="B514" s="332" t="s">
        <v>129</v>
      </c>
      <c r="C514" s="86"/>
      <c r="D514" s="86"/>
      <c r="E514" s="86"/>
      <c r="F514" s="86"/>
      <c r="G514" s="367"/>
      <c r="H514" s="568"/>
      <c r="I514" s="566"/>
      <c r="J514" s="95">
        <f>J512-E513-I513-K513-L513</f>
        <v>75993.37874</v>
      </c>
      <c r="K514" s="566"/>
      <c r="L514" s="567"/>
      <c r="M514">
        <v>11</v>
      </c>
    </row>
    <row r="515" spans="1:13" ht="22.5" customHeight="1">
      <c r="A515" s="330"/>
      <c r="B515" s="333" t="s">
        <v>130</v>
      </c>
      <c r="C515" s="334"/>
      <c r="D515" s="334"/>
      <c r="E515" s="334"/>
      <c r="F515" s="334"/>
      <c r="G515" s="335"/>
      <c r="H515" s="336"/>
      <c r="I515" s="337"/>
      <c r="J515" s="337"/>
      <c r="K515" s="337"/>
      <c r="L515" s="97"/>
    </row>
    <row r="516" spans="1:13" ht="22.5" customHeight="1">
      <c r="A516" s="330"/>
      <c r="B516" s="358" t="s">
        <v>131</v>
      </c>
      <c r="C516" s="316"/>
      <c r="D516" s="316"/>
      <c r="E516" s="316"/>
      <c r="F516" s="316"/>
      <c r="G516" s="359"/>
      <c r="H516" s="70"/>
      <c r="I516" s="313"/>
      <c r="J516" s="313"/>
      <c r="K516" s="313"/>
      <c r="L516" s="13"/>
    </row>
    <row r="517" spans="1:13" ht="22.5" customHeight="1">
      <c r="A517" s="330"/>
      <c r="B517" s="587"/>
      <c r="C517" s="16"/>
      <c r="D517" s="16"/>
      <c r="E517" s="16"/>
      <c r="F517" s="16"/>
      <c r="G517" s="16"/>
      <c r="H517" s="16"/>
      <c r="I517" s="16"/>
      <c r="J517" s="16"/>
      <c r="K517" s="16"/>
      <c r="L517" s="98"/>
    </row>
    <row r="518" spans="1:13">
      <c r="A518" s="8"/>
      <c r="B518" s="8"/>
      <c r="C518" s="8"/>
      <c r="D518" s="8"/>
      <c r="E518" s="8"/>
      <c r="F518" s="8"/>
      <c r="G518" s="8"/>
      <c r="H518" s="8"/>
      <c r="I518" s="8"/>
      <c r="J518" s="8"/>
      <c r="K518" s="8"/>
      <c r="L518" s="8"/>
    </row>
    <row r="519" spans="1:13">
      <c r="A519" s="8"/>
      <c r="B519" s="8"/>
      <c r="C519" s="8"/>
      <c r="D519" s="8"/>
      <c r="E519" s="8"/>
      <c r="F519" s="8"/>
      <c r="G519" s="8"/>
      <c r="H519" s="8"/>
      <c r="I519" s="8"/>
      <c r="J519" s="8"/>
      <c r="K519" s="8"/>
      <c r="L519" s="8"/>
    </row>
    <row r="520" spans="1:13">
      <c r="A520" s="8"/>
      <c r="B520" s="8"/>
      <c r="C520" s="8"/>
      <c r="D520" s="8"/>
      <c r="E520" s="8"/>
      <c r="F520" s="8"/>
      <c r="G520" s="8"/>
      <c r="H520" s="8"/>
      <c r="I520" s="8"/>
      <c r="J520" s="8"/>
      <c r="K520" s="8"/>
      <c r="L520" s="8"/>
    </row>
    <row r="521" spans="1:13">
      <c r="A521" s="8"/>
      <c r="B521" s="8"/>
      <c r="C521" s="8"/>
      <c r="D521" s="8"/>
      <c r="E521" s="8"/>
      <c r="F521" s="8"/>
      <c r="G521" s="8"/>
      <c r="H521" s="8"/>
      <c r="I521" s="8"/>
      <c r="J521" s="8"/>
      <c r="K521" s="8"/>
      <c r="L521" s="8"/>
    </row>
    <row r="522" spans="1:13">
      <c r="A522" s="8"/>
      <c r="B522" s="8"/>
      <c r="C522" s="8"/>
      <c r="D522" s="8"/>
      <c r="E522" s="8"/>
      <c r="F522" s="8"/>
      <c r="G522" s="8"/>
      <c r="H522" s="8"/>
      <c r="I522" s="8"/>
      <c r="J522" s="8"/>
      <c r="K522" s="8"/>
      <c r="L522" s="8"/>
    </row>
    <row r="523" spans="1:13">
      <c r="A523" s="8"/>
      <c r="B523" s="8"/>
      <c r="C523" s="8"/>
      <c r="D523" s="8"/>
      <c r="E523" s="8"/>
      <c r="F523" s="8"/>
      <c r="G523" s="8"/>
      <c r="H523" s="8"/>
      <c r="I523" s="8"/>
      <c r="J523" s="8"/>
      <c r="K523" s="8"/>
      <c r="L523" s="8"/>
    </row>
    <row r="524" spans="1:13" s="330" customFormat="1">
      <c r="A524" s="8"/>
      <c r="B524" s="8"/>
      <c r="C524" s="8"/>
      <c r="D524" s="8"/>
      <c r="E524" s="8"/>
      <c r="F524" s="8"/>
      <c r="G524" s="8"/>
      <c r="H524" s="8"/>
      <c r="I524" s="8"/>
      <c r="J524" s="8"/>
      <c r="K524" s="8"/>
      <c r="L524" s="8"/>
    </row>
    <row r="525" spans="1:13" s="330" customFormat="1">
      <c r="A525" s="8"/>
      <c r="B525" s="8"/>
      <c r="C525" s="8"/>
      <c r="D525" s="8"/>
      <c r="E525" s="8"/>
      <c r="F525" s="8"/>
      <c r="G525" s="8"/>
      <c r="H525" s="8"/>
      <c r="I525" s="8"/>
      <c r="J525" s="8"/>
      <c r="K525" s="8"/>
      <c r="L525" s="8"/>
    </row>
    <row r="526" spans="1:13" s="330" customFormat="1">
      <c r="A526" s="8"/>
      <c r="B526" s="8"/>
      <c r="C526" s="8"/>
      <c r="D526" s="8"/>
      <c r="E526" s="8"/>
      <c r="F526" s="8"/>
      <c r="G526" s="8"/>
      <c r="H526" s="8"/>
      <c r="I526" s="8"/>
      <c r="J526" s="8"/>
      <c r="K526" s="8"/>
      <c r="L526" s="8"/>
    </row>
    <row r="527" spans="1:13" s="330" customFormat="1">
      <c r="A527" s="8"/>
      <c r="B527" s="8"/>
      <c r="C527" s="8"/>
      <c r="D527" s="8"/>
      <c r="E527" s="8"/>
      <c r="F527" s="8"/>
      <c r="G527" s="8"/>
      <c r="H527" s="8"/>
      <c r="I527" s="8"/>
      <c r="J527" s="8"/>
      <c r="K527" s="8"/>
      <c r="L527" s="8"/>
    </row>
    <row r="528" spans="1:13" s="330" customFormat="1">
      <c r="A528" s="8"/>
      <c r="B528" s="8"/>
      <c r="C528" s="8"/>
      <c r="D528" s="8"/>
      <c r="E528" s="8"/>
      <c r="F528" s="8"/>
      <c r="G528" s="8"/>
      <c r="H528" s="8"/>
      <c r="I528" s="8"/>
      <c r="J528" s="8"/>
      <c r="K528" s="8"/>
      <c r="L528" s="8"/>
    </row>
    <row r="529" spans="1:12">
      <c r="A529" s="8"/>
      <c r="B529" s="8"/>
      <c r="C529" s="8"/>
      <c r="D529" s="8"/>
      <c r="E529" s="8"/>
      <c r="F529" s="8"/>
      <c r="G529" s="8"/>
      <c r="H529" s="8"/>
      <c r="I529" s="8"/>
      <c r="J529" s="8"/>
      <c r="K529" s="8"/>
      <c r="L529" s="8"/>
    </row>
    <row r="530" spans="1:12">
      <c r="A530" s="8"/>
      <c r="B530" s="8"/>
      <c r="C530" s="8"/>
      <c r="D530" s="8"/>
      <c r="E530" s="8"/>
      <c r="F530" s="8"/>
      <c r="G530" s="8"/>
      <c r="H530" s="8"/>
      <c r="I530" s="8"/>
      <c r="J530" s="8"/>
      <c r="K530" s="8"/>
      <c r="L530" s="8"/>
    </row>
    <row r="531" spans="1:12">
      <c r="A531" s="8"/>
      <c r="B531" s="8"/>
      <c r="C531" s="8"/>
      <c r="D531" s="8"/>
      <c r="E531" s="8"/>
      <c r="F531" s="8"/>
      <c r="G531" s="8"/>
      <c r="H531" s="8"/>
      <c r="I531" s="8"/>
      <c r="J531" s="8"/>
      <c r="K531" s="8"/>
      <c r="L531" s="8"/>
    </row>
    <row r="532" spans="1:12">
      <c r="A532" s="8"/>
      <c r="B532" s="8"/>
      <c r="C532" s="8"/>
      <c r="D532" s="8"/>
      <c r="E532" s="8"/>
      <c r="F532" s="8"/>
      <c r="G532" s="8"/>
      <c r="H532" s="8"/>
      <c r="I532" s="8"/>
      <c r="J532" s="8"/>
      <c r="K532" s="8"/>
      <c r="L532" s="8"/>
    </row>
    <row r="533" spans="1:12" s="330" customFormat="1">
      <c r="A533" s="8"/>
      <c r="B533" s="8"/>
      <c r="C533" s="8"/>
      <c r="D533" s="8"/>
      <c r="E533" s="8"/>
      <c r="F533" s="8"/>
      <c r="G533" s="8"/>
      <c r="H533" s="8"/>
      <c r="I533" s="8"/>
      <c r="J533" s="8"/>
      <c r="K533" s="8"/>
      <c r="L533" s="8"/>
    </row>
    <row r="534" spans="1:12" s="330" customFormat="1">
      <c r="A534" s="8"/>
      <c r="B534" s="8"/>
      <c r="C534" s="8"/>
      <c r="D534" s="8"/>
      <c r="E534" s="8"/>
      <c r="F534" s="8"/>
      <c r="G534" s="8"/>
      <c r="H534" s="8"/>
      <c r="I534" s="8"/>
      <c r="J534" s="8"/>
      <c r="K534" s="8"/>
      <c r="L534" s="8"/>
    </row>
    <row r="535" spans="1:12" ht="15.75" thickBot="1">
      <c r="A535" s="330"/>
      <c r="B535" s="330"/>
      <c r="C535" s="330"/>
      <c r="D535" s="330"/>
      <c r="E535" s="330"/>
      <c r="F535" s="330"/>
      <c r="G535" s="330"/>
      <c r="H535" s="330"/>
      <c r="I535" s="330"/>
      <c r="J535" s="330"/>
      <c r="K535" s="330"/>
      <c r="L535" s="330"/>
    </row>
    <row r="536" spans="1:12" ht="32.25">
      <c r="A536" s="330"/>
      <c r="B536" s="1104" t="s">
        <v>107</v>
      </c>
      <c r="C536" s="1105"/>
      <c r="D536" s="1105"/>
      <c r="E536" s="1105"/>
      <c r="F536" s="1105"/>
      <c r="G536" s="1105"/>
      <c r="H536" s="1105"/>
      <c r="I536" s="1105"/>
      <c r="J536" s="1105"/>
      <c r="K536" s="1105"/>
      <c r="L536" s="1106"/>
    </row>
    <row r="537" spans="1:12" ht="23.25">
      <c r="A537" s="330"/>
      <c r="B537" s="1084" t="s">
        <v>108</v>
      </c>
      <c r="C537" s="1085"/>
      <c r="D537" s="1085"/>
      <c r="E537" s="1085"/>
      <c r="F537" s="1085"/>
      <c r="G537" s="1085"/>
      <c r="H537" s="1085"/>
      <c r="I537" s="1085"/>
      <c r="J537" s="1085"/>
      <c r="K537" s="1085"/>
      <c r="L537" s="1086"/>
    </row>
    <row r="538" spans="1:12" ht="16.5" thickBot="1">
      <c r="A538" s="330"/>
      <c r="B538" s="1087" t="s">
        <v>382</v>
      </c>
      <c r="C538" s="1088"/>
      <c r="D538" s="1088"/>
      <c r="E538" s="1088"/>
      <c r="F538" s="1088"/>
      <c r="G538" s="1088"/>
      <c r="H538" s="1088"/>
      <c r="I538" s="1088"/>
      <c r="J538" s="1088"/>
      <c r="K538" s="1088"/>
      <c r="L538" s="1089"/>
    </row>
    <row r="539" spans="1:12">
      <c r="A539" s="330"/>
      <c r="B539" s="1090" t="s">
        <v>109</v>
      </c>
      <c r="C539" s="1091"/>
      <c r="D539" s="1091"/>
      <c r="E539" s="1091"/>
      <c r="F539" s="1091"/>
      <c r="G539" s="313"/>
      <c r="H539" s="1092" t="s">
        <v>110</v>
      </c>
      <c r="I539" s="1092"/>
      <c r="J539" s="1092"/>
      <c r="K539" s="1092"/>
      <c r="L539" s="1093"/>
    </row>
    <row r="540" spans="1:12" ht="15.75" thickBot="1">
      <c r="A540" s="330"/>
      <c r="B540" s="1090"/>
      <c r="C540" s="1091"/>
      <c r="D540" s="1091"/>
      <c r="E540" s="1091"/>
      <c r="F540" s="1091"/>
      <c r="G540" s="313"/>
      <c r="H540" s="1092"/>
      <c r="I540" s="1092"/>
      <c r="J540" s="1092"/>
      <c r="K540" s="1092"/>
      <c r="L540" s="1093"/>
    </row>
    <row r="541" spans="1:12" ht="20.25" customHeight="1">
      <c r="A541" s="330"/>
      <c r="B541" s="73"/>
      <c r="C541" s="74"/>
      <c r="D541" s="74"/>
      <c r="E541" s="74"/>
      <c r="F541" s="75"/>
      <c r="G541" s="313"/>
      <c r="H541" s="73"/>
      <c r="I541" s="74"/>
      <c r="J541" s="74"/>
      <c r="K541" s="74"/>
      <c r="L541" s="75"/>
    </row>
    <row r="542" spans="1:12" ht="20.25" customHeight="1">
      <c r="A542" s="330"/>
      <c r="B542" s="76" t="s">
        <v>384</v>
      </c>
      <c r="C542" s="313"/>
      <c r="D542" s="313"/>
      <c r="E542" s="313"/>
      <c r="F542" s="13"/>
      <c r="G542" s="313"/>
      <c r="H542" s="76" t="s">
        <v>384</v>
      </c>
      <c r="I542" s="313"/>
      <c r="J542" s="313"/>
      <c r="K542" s="313"/>
      <c r="L542" s="13"/>
    </row>
    <row r="543" spans="1:12" ht="21.75" customHeight="1">
      <c r="A543" s="330"/>
      <c r="B543" s="12"/>
      <c r="C543" s="313"/>
      <c r="D543" s="313"/>
      <c r="E543" s="313"/>
      <c r="F543" s="13"/>
      <c r="G543" s="313"/>
      <c r="H543" s="12"/>
      <c r="I543" s="313"/>
      <c r="J543" s="313"/>
      <c r="K543" s="313"/>
      <c r="L543" s="13"/>
    </row>
    <row r="544" spans="1:12" ht="21.75" customHeight="1">
      <c r="A544" s="330"/>
      <c r="B544" s="76" t="s">
        <v>385</v>
      </c>
      <c r="C544" s="313"/>
      <c r="D544" s="313"/>
      <c r="E544" s="313"/>
      <c r="F544" s="13"/>
      <c r="G544" s="313"/>
      <c r="H544" s="76" t="s">
        <v>385</v>
      </c>
      <c r="I544" s="313"/>
      <c r="J544" s="313"/>
      <c r="K544" s="313"/>
      <c r="L544" s="13"/>
    </row>
    <row r="545" spans="1:12" ht="21.75" customHeight="1" thickBot="1">
      <c r="A545" s="330"/>
      <c r="B545" s="24"/>
      <c r="C545" s="22"/>
      <c r="D545" s="22"/>
      <c r="E545" s="22"/>
      <c r="F545" s="23"/>
      <c r="G545" s="313"/>
      <c r="H545" s="24"/>
      <c r="I545" s="22"/>
      <c r="J545" s="22"/>
      <c r="K545" s="22"/>
      <c r="L545" s="23"/>
    </row>
    <row r="546" spans="1:12" ht="21.75" customHeight="1">
      <c r="A546" s="330"/>
      <c r="B546" s="12"/>
      <c r="C546" s="313"/>
      <c r="D546" s="313"/>
      <c r="E546" s="313"/>
      <c r="F546" s="313"/>
      <c r="G546" s="313"/>
      <c r="H546" s="313"/>
      <c r="I546" s="313"/>
      <c r="J546" s="313" t="s">
        <v>111</v>
      </c>
      <c r="K546" s="313"/>
      <c r="L546" s="13"/>
    </row>
    <row r="547" spans="1:12" ht="21.75" customHeight="1">
      <c r="A547" s="330"/>
      <c r="B547" s="1094" t="s">
        <v>112</v>
      </c>
      <c r="C547" s="1095"/>
      <c r="D547" s="1095"/>
      <c r="E547" s="1095"/>
      <c r="F547" s="1095"/>
      <c r="G547" s="313"/>
      <c r="H547" s="1095" t="s">
        <v>4</v>
      </c>
      <c r="I547" s="1095"/>
      <c r="J547" s="1095"/>
      <c r="K547" s="1095"/>
      <c r="L547" s="1096"/>
    </row>
    <row r="548" spans="1:12" ht="21.75" customHeight="1" thickBot="1">
      <c r="A548" s="330"/>
      <c r="B548" s="12"/>
      <c r="C548" s="313"/>
      <c r="D548" s="313"/>
      <c r="E548" s="313"/>
      <c r="F548" s="313"/>
      <c r="G548" s="313"/>
      <c r="H548" s="313"/>
      <c r="I548" s="313"/>
      <c r="J548" s="313"/>
      <c r="K548" s="313"/>
      <c r="L548" s="13"/>
    </row>
    <row r="549" spans="1:12" ht="21.75" customHeight="1">
      <c r="A549" s="330"/>
      <c r="B549" s="73"/>
      <c r="C549" s="74"/>
      <c r="D549" s="74"/>
      <c r="E549" s="74"/>
      <c r="F549" s="75"/>
      <c r="G549" s="313"/>
      <c r="H549" s="77"/>
      <c r="I549" s="78"/>
      <c r="J549" s="78"/>
      <c r="K549" s="78"/>
      <c r="L549" s="79"/>
    </row>
    <row r="550" spans="1:12" ht="21.75" customHeight="1">
      <c r="A550" s="330"/>
      <c r="B550" s="12"/>
      <c r="C550" s="313"/>
      <c r="D550" s="313"/>
      <c r="E550" s="313"/>
      <c r="F550" s="13"/>
      <c r="G550" s="313"/>
      <c r="H550" s="76" t="s">
        <v>522</v>
      </c>
      <c r="I550" s="316"/>
      <c r="J550" s="316"/>
      <c r="K550" s="316"/>
      <c r="L550" s="80"/>
    </row>
    <row r="551" spans="1:12" ht="21.75" customHeight="1">
      <c r="A551" s="330"/>
      <c r="B551" s="76" t="s">
        <v>374</v>
      </c>
      <c r="C551" s="313"/>
      <c r="D551" s="313"/>
      <c r="E551" s="313"/>
      <c r="F551" s="13"/>
      <c r="G551" s="313"/>
      <c r="H551" s="76"/>
      <c r="I551" s="316"/>
      <c r="J551" s="316"/>
      <c r="K551" s="316"/>
      <c r="L551" s="80"/>
    </row>
    <row r="552" spans="1:12" ht="21.75" customHeight="1">
      <c r="A552" s="330"/>
      <c r="B552" s="12"/>
      <c r="C552" s="313"/>
      <c r="D552" s="313"/>
      <c r="E552" s="313"/>
      <c r="F552" s="13"/>
      <c r="G552" s="313"/>
      <c r="H552" s="76" t="s">
        <v>494</v>
      </c>
      <c r="I552" s="316"/>
      <c r="J552" s="316"/>
      <c r="K552" s="316"/>
      <c r="L552" s="80"/>
    </row>
    <row r="553" spans="1:12" ht="21.75" customHeight="1" thickBot="1">
      <c r="A553" s="330"/>
      <c r="B553" s="24"/>
      <c r="C553" s="22"/>
      <c r="D553" s="22"/>
      <c r="E553" s="22"/>
      <c r="F553" s="23"/>
      <c r="G553" s="313"/>
      <c r="H553" s="76"/>
      <c r="I553" s="316"/>
      <c r="J553" s="316"/>
      <c r="K553" s="316"/>
      <c r="L553" s="80"/>
    </row>
    <row r="554" spans="1:12" ht="21.75" customHeight="1">
      <c r="A554" s="330"/>
      <c r="B554" s="1068" t="s">
        <v>113</v>
      </c>
      <c r="C554" s="1069"/>
      <c r="D554" s="1069"/>
      <c r="E554" s="1069"/>
      <c r="F554" s="1069"/>
      <c r="G554" s="1097"/>
      <c r="H554" s="1098" t="str">
        <f>'0422Master'!B26</f>
        <v>Amit Kumar</v>
      </c>
      <c r="I554" s="1099"/>
      <c r="J554" s="1099"/>
      <c r="K554" s="1099"/>
      <c r="L554" s="1100"/>
    </row>
    <row r="555" spans="1:12" ht="44.25" customHeight="1" thickBot="1">
      <c r="A555" s="330"/>
      <c r="B555" s="560"/>
      <c r="C555" s="561"/>
      <c r="D555" s="561"/>
      <c r="E555" s="561"/>
      <c r="F555" s="561"/>
      <c r="G555" s="564"/>
      <c r="H555" s="1101" t="str">
        <f>'0422Master'!G26</f>
        <v>525,Galli No.1,Sector 44,Chalera,Noida,Gowtham Budda nagar,Uttarpradesh 201301</v>
      </c>
      <c r="I555" s="1102"/>
      <c r="J555" s="1102"/>
      <c r="K555" s="1102"/>
      <c r="L555" s="1103"/>
    </row>
    <row r="556" spans="1:12" ht="21.75" customHeight="1">
      <c r="A556" s="330"/>
      <c r="B556" s="1072" t="s">
        <v>114</v>
      </c>
      <c r="C556" s="1073"/>
      <c r="D556" s="1073"/>
      <c r="E556" s="1073"/>
      <c r="F556" s="1073"/>
      <c r="G556" s="1073"/>
      <c r="H556" s="1074">
        <v>64</v>
      </c>
      <c r="I556" s="1075"/>
      <c r="J556" s="1075"/>
      <c r="K556" s="1075"/>
      <c r="L556" s="1076"/>
    </row>
    <row r="557" spans="1:12" ht="21.75" customHeight="1">
      <c r="A557" s="330"/>
      <c r="B557" s="1068" t="s">
        <v>115</v>
      </c>
      <c r="C557" s="1069"/>
      <c r="D557" s="1069"/>
      <c r="E557" s="1069"/>
      <c r="F557" s="1069"/>
      <c r="G557" s="1069"/>
      <c r="H557" s="1077" t="str">
        <f>'0422Master'!F26</f>
        <v>Linux Administrator</v>
      </c>
      <c r="I557" s="1070"/>
      <c r="J557" s="1070"/>
      <c r="K557" s="1070"/>
      <c r="L557" s="1071"/>
    </row>
    <row r="558" spans="1:12" ht="21.75" customHeight="1">
      <c r="A558" s="330"/>
      <c r="B558" s="1068" t="s">
        <v>116</v>
      </c>
      <c r="C558" s="1069"/>
      <c r="D558" s="1069"/>
      <c r="E558" s="1069"/>
      <c r="F558" s="1069"/>
      <c r="G558" s="1069"/>
      <c r="H558" s="1078">
        <f>'0422Master'!N26</f>
        <v>44557</v>
      </c>
      <c r="I558" s="1079"/>
      <c r="J558" s="1079"/>
      <c r="K558" s="1079"/>
      <c r="L558" s="1080"/>
    </row>
    <row r="559" spans="1:12" ht="21.75" customHeight="1">
      <c r="A559" s="330"/>
      <c r="B559" s="332" t="s">
        <v>117</v>
      </c>
      <c r="C559" s="86"/>
      <c r="D559" s="86"/>
      <c r="E559" s="86"/>
      <c r="F559" s="86"/>
      <c r="G559" s="86"/>
      <c r="H559" s="568"/>
      <c r="I559" s="88"/>
      <c r="J559" s="331">
        <f>'0422Master'!T457</f>
        <v>0</v>
      </c>
      <c r="K559" s="566"/>
      <c r="L559" s="567"/>
    </row>
    <row r="560" spans="1:12" ht="21.75" customHeight="1">
      <c r="A560" s="330"/>
      <c r="B560" s="332" t="s">
        <v>118</v>
      </c>
      <c r="C560" s="86"/>
      <c r="D560" s="86"/>
      <c r="E560" s="86"/>
      <c r="F560" s="86"/>
      <c r="G560" s="367"/>
      <c r="H560" s="91"/>
      <c r="I560" s="92"/>
      <c r="J560" s="331" t="str">
        <f>'0422Master'!S26</f>
        <v>100986290999</v>
      </c>
      <c r="K560" s="92"/>
      <c r="L560" s="93"/>
    </row>
    <row r="561" spans="1:13" ht="21.75" customHeight="1">
      <c r="A561" s="330"/>
      <c r="B561" s="1081" t="s">
        <v>119</v>
      </c>
      <c r="C561" s="1082"/>
      <c r="D561" s="1082"/>
      <c r="E561" s="1082"/>
      <c r="F561" s="1082"/>
      <c r="G561" s="1082"/>
      <c r="H561" s="1074">
        <f>'0422Master'!Y26</f>
        <v>94181</v>
      </c>
      <c r="I561" s="1075"/>
      <c r="J561" s="1075"/>
      <c r="K561" s="1075"/>
      <c r="L561" s="1076"/>
    </row>
    <row r="562" spans="1:13" ht="21.75" customHeight="1">
      <c r="A562" s="330"/>
      <c r="B562" s="1068" t="s">
        <v>120</v>
      </c>
      <c r="C562" s="1069"/>
      <c r="D562" s="1069"/>
      <c r="E562" s="1069"/>
      <c r="F562" s="1069"/>
      <c r="G562" s="1069"/>
      <c r="H562" s="1083">
        <f>'0422Master'!D10</f>
        <v>44652</v>
      </c>
      <c r="I562" s="1070"/>
      <c r="J562" s="1070"/>
      <c r="K562" s="1070"/>
      <c r="L562" s="1071"/>
    </row>
    <row r="563" spans="1:13" ht="21.75" customHeight="1">
      <c r="A563" s="330"/>
      <c r="B563" s="1068" t="s">
        <v>121</v>
      </c>
      <c r="C563" s="1069"/>
      <c r="D563" s="1069"/>
      <c r="E563" s="1069"/>
      <c r="F563" s="1069"/>
      <c r="G563" s="1069"/>
      <c r="H563" s="1070" t="s">
        <v>122</v>
      </c>
      <c r="I563" s="1070"/>
      <c r="J563" s="1070"/>
      <c r="K563" s="1070"/>
      <c r="L563" s="1071"/>
    </row>
    <row r="564" spans="1:13" ht="21.75" customHeight="1">
      <c r="A564" s="330"/>
      <c r="B564" s="332" t="s">
        <v>123</v>
      </c>
      <c r="C564" s="86"/>
      <c r="D564" s="86"/>
      <c r="E564" s="86"/>
      <c r="F564" s="86"/>
      <c r="G564" s="367"/>
      <c r="H564" s="568"/>
      <c r="I564" s="566"/>
      <c r="J564" s="95">
        <f>'0422Master'!W26</f>
        <v>30</v>
      </c>
      <c r="K564" s="566"/>
      <c r="L564" s="567"/>
    </row>
    <row r="565" spans="1:13" ht="21.75" customHeight="1">
      <c r="A565" s="330"/>
      <c r="B565" s="332" t="s">
        <v>124</v>
      </c>
      <c r="C565" s="86"/>
      <c r="D565" s="86"/>
      <c r="E565" s="86"/>
      <c r="F565" s="86"/>
      <c r="G565" s="367"/>
      <c r="H565" s="568"/>
      <c r="I565" s="566"/>
      <c r="J565" s="566" t="s">
        <v>37</v>
      </c>
      <c r="K565" s="566"/>
      <c r="L565" s="567"/>
    </row>
    <row r="566" spans="1:13" ht="21.75" customHeight="1">
      <c r="A566" s="330"/>
      <c r="B566" s="332" t="s">
        <v>125</v>
      </c>
      <c r="C566" s="86"/>
      <c r="D566" s="86"/>
      <c r="E566" s="86"/>
      <c r="F566" s="86"/>
      <c r="G566" s="367"/>
      <c r="H566" s="568"/>
      <c r="I566" s="566"/>
      <c r="J566" s="95">
        <v>0</v>
      </c>
      <c r="K566" s="566"/>
      <c r="L566" s="567"/>
    </row>
    <row r="567" spans="1:13" ht="21.75" customHeight="1">
      <c r="A567" s="330"/>
      <c r="B567" s="332" t="s">
        <v>126</v>
      </c>
      <c r="C567" s="86"/>
      <c r="D567" s="86"/>
      <c r="E567" s="86"/>
      <c r="F567" s="86"/>
      <c r="G567" s="367"/>
      <c r="H567" s="568"/>
      <c r="I567" s="566"/>
      <c r="J567" s="725">
        <v>0</v>
      </c>
      <c r="K567" s="566"/>
      <c r="L567" s="567"/>
    </row>
    <row r="568" spans="1:13" ht="21.75" customHeight="1">
      <c r="A568" s="330"/>
      <c r="B568" s="332" t="s">
        <v>127</v>
      </c>
      <c r="C568" s="86"/>
      <c r="D568" s="86"/>
      <c r="E568" s="86"/>
      <c r="F568" s="86"/>
      <c r="G568" s="367"/>
      <c r="H568" s="568"/>
      <c r="I568" s="566"/>
      <c r="J568" s="586">
        <f>'0422Master'!AM26</f>
        <v>103275.72266</v>
      </c>
      <c r="K568" s="566"/>
      <c r="L568" s="567" t="s">
        <v>35</v>
      </c>
    </row>
    <row r="569" spans="1:13" ht="21.75" customHeight="1">
      <c r="A569" s="330"/>
      <c r="B569" s="332" t="s">
        <v>128</v>
      </c>
      <c r="C569" s="86"/>
      <c r="D569" s="562" t="s">
        <v>32</v>
      </c>
      <c r="E569" s="563">
        <f>'0422Master'!AO26</f>
        <v>1800</v>
      </c>
      <c r="F569" s="562" t="s">
        <v>31</v>
      </c>
      <c r="G569" s="563">
        <f>'0422Master'!AN457</f>
        <v>0</v>
      </c>
      <c r="H569" s="562" t="s">
        <v>33</v>
      </c>
      <c r="I569" s="563">
        <f>'0422Master'!AP26</f>
        <v>200</v>
      </c>
      <c r="J569" s="562" t="s">
        <v>34</v>
      </c>
      <c r="K569" s="563">
        <f>'0422Master'!AQ26</f>
        <v>0</v>
      </c>
      <c r="L569" s="100">
        <f>'0422Master'!AR26</f>
        <v>283</v>
      </c>
    </row>
    <row r="570" spans="1:13" ht="21.75" customHeight="1">
      <c r="A570" s="330"/>
      <c r="B570" s="332" t="s">
        <v>129</v>
      </c>
      <c r="C570" s="86"/>
      <c r="D570" s="86"/>
      <c r="E570" s="86"/>
      <c r="F570" s="86"/>
      <c r="G570" s="367"/>
      <c r="H570" s="568"/>
      <c r="I570" s="566"/>
      <c r="J570" s="95">
        <f>J568-E569-I569-K569-L569</f>
        <v>100992.72266</v>
      </c>
      <c r="K570" s="566"/>
      <c r="L570" s="567"/>
      <c r="M570">
        <v>12</v>
      </c>
    </row>
    <row r="571" spans="1:13" ht="21.75" customHeight="1">
      <c r="A571" s="330"/>
      <c r="B571" s="333" t="s">
        <v>130</v>
      </c>
      <c r="C571" s="334"/>
      <c r="D571" s="334"/>
      <c r="E571" s="334"/>
      <c r="F571" s="334"/>
      <c r="G571" s="335"/>
      <c r="H571" s="336"/>
      <c r="I571" s="337"/>
      <c r="J571" s="337"/>
      <c r="K571" s="337"/>
      <c r="L571" s="97"/>
    </row>
    <row r="572" spans="1:13" ht="21.75" customHeight="1">
      <c r="A572" s="330"/>
      <c r="B572" s="358" t="s">
        <v>131</v>
      </c>
      <c r="C572" s="316"/>
      <c r="D572" s="316"/>
      <c r="E572" s="316"/>
      <c r="F572" s="316"/>
      <c r="G572" s="359"/>
      <c r="H572" s="70"/>
      <c r="I572" s="313"/>
      <c r="J572" s="313"/>
      <c r="K572" s="313"/>
      <c r="L572" s="13"/>
    </row>
    <row r="573" spans="1:13" ht="21.75" customHeight="1">
      <c r="A573" s="330"/>
      <c r="B573" s="587"/>
      <c r="C573" s="16"/>
      <c r="D573" s="16"/>
      <c r="E573" s="16"/>
      <c r="F573" s="16"/>
      <c r="G573" s="16"/>
      <c r="H573" s="16"/>
      <c r="I573" s="16"/>
      <c r="J573" s="16"/>
      <c r="K573" s="16"/>
      <c r="L573" s="98"/>
    </row>
    <row r="574" spans="1:13">
      <c r="A574" s="8"/>
      <c r="B574" s="8"/>
      <c r="C574" s="8"/>
      <c r="D574" s="8"/>
      <c r="E574" s="8"/>
      <c r="F574" s="8"/>
      <c r="G574" s="8"/>
      <c r="H574" s="8"/>
      <c r="I574" s="8"/>
      <c r="J574" s="8"/>
      <c r="K574" s="8"/>
      <c r="L574" s="8"/>
    </row>
    <row r="575" spans="1:13">
      <c r="A575" s="8"/>
      <c r="B575" s="8"/>
      <c r="C575" s="8"/>
      <c r="D575" s="8"/>
      <c r="E575" s="8"/>
      <c r="F575" s="8"/>
      <c r="G575" s="8"/>
      <c r="H575" s="8"/>
      <c r="I575" s="8"/>
      <c r="J575" s="8"/>
      <c r="K575" s="8"/>
      <c r="L575" s="8"/>
    </row>
    <row r="576" spans="1:13">
      <c r="A576" s="8"/>
      <c r="B576" s="8"/>
      <c r="C576" s="8"/>
      <c r="D576" s="8"/>
      <c r="E576" s="8"/>
      <c r="F576" s="8"/>
      <c r="G576" s="8"/>
      <c r="H576" s="8"/>
      <c r="I576" s="8"/>
      <c r="J576" s="8"/>
      <c r="K576" s="8"/>
      <c r="L576" s="8"/>
    </row>
    <row r="577" spans="1:12">
      <c r="A577" s="8"/>
      <c r="B577" s="8"/>
      <c r="C577" s="8"/>
      <c r="D577" s="8"/>
      <c r="E577" s="8"/>
      <c r="F577" s="8"/>
      <c r="G577" s="8"/>
      <c r="H577" s="8"/>
      <c r="I577" s="8"/>
      <c r="J577" s="8"/>
      <c r="K577" s="8"/>
      <c r="L577" s="8"/>
    </row>
    <row r="578" spans="1:12">
      <c r="A578" s="8"/>
      <c r="B578" s="8"/>
      <c r="C578" s="8"/>
      <c r="D578" s="8"/>
      <c r="E578" s="8"/>
      <c r="F578" s="8"/>
      <c r="G578" s="8"/>
      <c r="H578" s="8"/>
      <c r="I578" s="8"/>
      <c r="J578" s="8"/>
      <c r="K578" s="8"/>
      <c r="L578" s="8"/>
    </row>
    <row r="579" spans="1:12">
      <c r="A579" s="8"/>
      <c r="B579" s="8"/>
      <c r="C579" s="8"/>
      <c r="D579" s="8"/>
      <c r="E579" s="8"/>
      <c r="F579" s="8"/>
      <c r="G579" s="8"/>
      <c r="H579" s="8"/>
      <c r="I579" s="8"/>
      <c r="J579" s="8"/>
      <c r="K579" s="8"/>
      <c r="L579" s="8"/>
    </row>
    <row r="580" spans="1:12">
      <c r="A580" s="8"/>
      <c r="B580" s="8"/>
      <c r="C580" s="8"/>
      <c r="D580" s="8"/>
      <c r="E580" s="8"/>
      <c r="F580" s="8"/>
      <c r="G580" s="8"/>
      <c r="H580" s="8"/>
      <c r="I580" s="8"/>
      <c r="J580" s="8"/>
      <c r="K580" s="8"/>
      <c r="L580" s="8"/>
    </row>
    <row r="581" spans="1:12">
      <c r="A581" s="8"/>
      <c r="B581" s="8"/>
      <c r="C581" s="8"/>
      <c r="D581" s="8"/>
      <c r="E581" s="8"/>
      <c r="F581" s="8"/>
      <c r="G581" s="8"/>
      <c r="H581" s="8"/>
      <c r="I581" s="8"/>
      <c r="J581" s="8"/>
      <c r="K581" s="8"/>
      <c r="L581" s="8"/>
    </row>
    <row r="582" spans="1:12">
      <c r="A582" s="8"/>
      <c r="B582" s="8"/>
      <c r="C582" s="8"/>
      <c r="D582" s="8"/>
      <c r="E582" s="8"/>
      <c r="F582" s="8"/>
      <c r="G582" s="8"/>
      <c r="H582" s="8"/>
      <c r="I582" s="8"/>
      <c r="J582" s="8"/>
      <c r="K582" s="8"/>
      <c r="L582" s="8"/>
    </row>
    <row r="583" spans="1:12">
      <c r="A583" s="8"/>
      <c r="B583" s="8"/>
      <c r="C583" s="8"/>
      <c r="D583" s="8"/>
      <c r="E583" s="8"/>
      <c r="F583" s="8"/>
      <c r="G583" s="8"/>
      <c r="H583" s="8"/>
      <c r="I583" s="8"/>
      <c r="J583" s="8"/>
      <c r="K583" s="8"/>
      <c r="L583" s="8"/>
    </row>
    <row r="584" spans="1:12">
      <c r="A584" s="8"/>
      <c r="B584" s="8"/>
      <c r="C584" s="8"/>
      <c r="D584" s="8"/>
      <c r="E584" s="8"/>
      <c r="F584" s="8"/>
      <c r="G584" s="8"/>
      <c r="H584" s="8"/>
      <c r="I584" s="8"/>
      <c r="J584" s="8"/>
      <c r="K584" s="8"/>
      <c r="L584" s="8"/>
    </row>
    <row r="585" spans="1:12" ht="15.75" thickBot="1">
      <c r="A585" s="330"/>
      <c r="B585" s="330"/>
      <c r="C585" s="330"/>
      <c r="D585" s="330"/>
      <c r="E585" s="330"/>
      <c r="F585" s="330"/>
      <c r="G585" s="330"/>
      <c r="H585" s="330"/>
      <c r="I585" s="330"/>
      <c r="J585" s="330"/>
      <c r="K585" s="330"/>
      <c r="L585" s="330"/>
    </row>
    <row r="586" spans="1:12" ht="32.25">
      <c r="A586" s="330"/>
      <c r="B586" s="1104" t="s">
        <v>107</v>
      </c>
      <c r="C586" s="1105"/>
      <c r="D586" s="1105"/>
      <c r="E586" s="1105"/>
      <c r="F586" s="1105"/>
      <c r="G586" s="1105"/>
      <c r="H586" s="1105"/>
      <c r="I586" s="1105"/>
      <c r="J586" s="1105"/>
      <c r="K586" s="1105"/>
      <c r="L586" s="1106"/>
    </row>
    <row r="587" spans="1:12" ht="23.25">
      <c r="A587" s="330"/>
      <c r="B587" s="1084" t="s">
        <v>108</v>
      </c>
      <c r="C587" s="1085"/>
      <c r="D587" s="1085"/>
      <c r="E587" s="1085"/>
      <c r="F587" s="1085"/>
      <c r="G587" s="1085"/>
      <c r="H587" s="1085"/>
      <c r="I587" s="1085"/>
      <c r="J587" s="1085"/>
      <c r="K587" s="1085"/>
      <c r="L587" s="1086"/>
    </row>
    <row r="588" spans="1:12" ht="24" customHeight="1" thickBot="1">
      <c r="A588" s="330"/>
      <c r="B588" s="1087" t="s">
        <v>382</v>
      </c>
      <c r="C588" s="1088"/>
      <c r="D588" s="1088"/>
      <c r="E588" s="1088"/>
      <c r="F588" s="1088"/>
      <c r="G588" s="1088"/>
      <c r="H588" s="1088"/>
      <c r="I588" s="1088"/>
      <c r="J588" s="1088"/>
      <c r="K588" s="1088"/>
      <c r="L588" s="1089"/>
    </row>
    <row r="589" spans="1:12" ht="24" customHeight="1">
      <c r="A589" s="330"/>
      <c r="B589" s="1090" t="s">
        <v>109</v>
      </c>
      <c r="C589" s="1091"/>
      <c r="D589" s="1091"/>
      <c r="E589" s="1091"/>
      <c r="F589" s="1091"/>
      <c r="G589" s="313"/>
      <c r="H589" s="1092" t="s">
        <v>110</v>
      </c>
      <c r="I589" s="1092"/>
      <c r="J589" s="1092"/>
      <c r="K589" s="1092"/>
      <c r="L589" s="1093"/>
    </row>
    <row r="590" spans="1:12" ht="24" customHeight="1" thickBot="1">
      <c r="A590" s="330"/>
      <c r="B590" s="1090"/>
      <c r="C590" s="1091"/>
      <c r="D590" s="1091"/>
      <c r="E590" s="1091"/>
      <c r="F590" s="1091"/>
      <c r="G590" s="313"/>
      <c r="H590" s="1092"/>
      <c r="I590" s="1092"/>
      <c r="J590" s="1092"/>
      <c r="K590" s="1092"/>
      <c r="L590" s="1093"/>
    </row>
    <row r="591" spans="1:12" ht="24" customHeight="1">
      <c r="A591" s="330"/>
      <c r="B591" s="73"/>
      <c r="C591" s="74"/>
      <c r="D591" s="74"/>
      <c r="E591" s="74"/>
      <c r="F591" s="75"/>
      <c r="G591" s="313"/>
      <c r="H591" s="73"/>
      <c r="I591" s="74"/>
      <c r="J591" s="74"/>
      <c r="K591" s="74"/>
      <c r="L591" s="75"/>
    </row>
    <row r="592" spans="1:12" ht="24" customHeight="1">
      <c r="A592" s="330"/>
      <c r="B592" s="76" t="s">
        <v>384</v>
      </c>
      <c r="C592" s="313"/>
      <c r="D592" s="313"/>
      <c r="E592" s="313"/>
      <c r="F592" s="13"/>
      <c r="G592" s="313"/>
      <c r="H592" s="76" t="s">
        <v>384</v>
      </c>
      <c r="I592" s="313"/>
      <c r="J592" s="313"/>
      <c r="K592" s="313"/>
      <c r="L592" s="13"/>
    </row>
    <row r="593" spans="1:12" ht="24" customHeight="1">
      <c r="A593" s="330"/>
      <c r="B593" s="12"/>
      <c r="C593" s="313"/>
      <c r="D593" s="313"/>
      <c r="E593" s="313"/>
      <c r="F593" s="13"/>
      <c r="G593" s="313"/>
      <c r="H593" s="12"/>
      <c r="I593" s="313"/>
      <c r="J593" s="313"/>
      <c r="K593" s="313"/>
      <c r="L593" s="13"/>
    </row>
    <row r="594" spans="1:12" ht="24" customHeight="1">
      <c r="A594" s="330"/>
      <c r="B594" s="76" t="s">
        <v>385</v>
      </c>
      <c r="C594" s="313"/>
      <c r="D594" s="313"/>
      <c r="E594" s="313"/>
      <c r="F594" s="13"/>
      <c r="G594" s="313"/>
      <c r="H594" s="76" t="s">
        <v>385</v>
      </c>
      <c r="I594" s="313"/>
      <c r="J594" s="313"/>
      <c r="K594" s="313"/>
      <c r="L594" s="13"/>
    </row>
    <row r="595" spans="1:12" ht="24" customHeight="1" thickBot="1">
      <c r="A595" s="330"/>
      <c r="B595" s="24"/>
      <c r="C595" s="22"/>
      <c r="D595" s="22"/>
      <c r="E595" s="22"/>
      <c r="F595" s="23"/>
      <c r="G595" s="313"/>
      <c r="H595" s="24"/>
      <c r="I595" s="22"/>
      <c r="J595" s="22"/>
      <c r="K595" s="22"/>
      <c r="L595" s="23"/>
    </row>
    <row r="596" spans="1:12" ht="24" customHeight="1">
      <c r="A596" s="330"/>
      <c r="B596" s="12"/>
      <c r="C596" s="313"/>
      <c r="D596" s="313"/>
      <c r="E596" s="313"/>
      <c r="F596" s="313"/>
      <c r="G596" s="313"/>
      <c r="H596" s="313"/>
      <c r="I596" s="313"/>
      <c r="J596" s="313" t="s">
        <v>111</v>
      </c>
      <c r="K596" s="313"/>
      <c r="L596" s="13"/>
    </row>
    <row r="597" spans="1:12" ht="24" customHeight="1">
      <c r="A597" s="330"/>
      <c r="B597" s="1094" t="s">
        <v>112</v>
      </c>
      <c r="C597" s="1095"/>
      <c r="D597" s="1095"/>
      <c r="E597" s="1095"/>
      <c r="F597" s="1095"/>
      <c r="G597" s="313"/>
      <c r="H597" s="1095" t="s">
        <v>4</v>
      </c>
      <c r="I597" s="1095"/>
      <c r="J597" s="1095"/>
      <c r="K597" s="1095"/>
      <c r="L597" s="1096"/>
    </row>
    <row r="598" spans="1:12" ht="24" customHeight="1" thickBot="1">
      <c r="A598" s="330"/>
      <c r="B598" s="12"/>
      <c r="C598" s="313"/>
      <c r="D598" s="313"/>
      <c r="E598" s="313"/>
      <c r="F598" s="313"/>
      <c r="G598" s="313"/>
      <c r="H598" s="313"/>
      <c r="I598" s="313"/>
      <c r="J598" s="313"/>
      <c r="K598" s="313"/>
      <c r="L598" s="13"/>
    </row>
    <row r="599" spans="1:12" ht="24" customHeight="1">
      <c r="A599" s="330"/>
      <c r="B599" s="73"/>
      <c r="C599" s="74"/>
      <c r="D599" s="74"/>
      <c r="E599" s="74"/>
      <c r="F599" s="75"/>
      <c r="G599" s="313"/>
      <c r="H599" s="77"/>
      <c r="I599" s="78"/>
      <c r="J599" s="78"/>
      <c r="K599" s="78"/>
      <c r="L599" s="79"/>
    </row>
    <row r="600" spans="1:12" ht="24" customHeight="1">
      <c r="A600" s="330"/>
      <c r="B600" s="12"/>
      <c r="C600" s="313"/>
      <c r="D600" s="313"/>
      <c r="E600" s="313"/>
      <c r="F600" s="13"/>
      <c r="G600" s="313"/>
      <c r="H600" s="76" t="s">
        <v>522</v>
      </c>
      <c r="I600" s="316"/>
      <c r="J600" s="316"/>
      <c r="K600" s="316"/>
      <c r="L600" s="80"/>
    </row>
    <row r="601" spans="1:12" ht="24" customHeight="1">
      <c r="A601" s="330"/>
      <c r="B601" s="76" t="s">
        <v>374</v>
      </c>
      <c r="C601" s="313"/>
      <c r="D601" s="313"/>
      <c r="E601" s="313"/>
      <c r="F601" s="13"/>
      <c r="G601" s="313"/>
      <c r="H601" s="76"/>
      <c r="I601" s="316"/>
      <c r="J601" s="316"/>
      <c r="K601" s="316"/>
      <c r="L601" s="80"/>
    </row>
    <row r="602" spans="1:12" ht="24" customHeight="1">
      <c r="A602" s="330"/>
      <c r="B602" s="12"/>
      <c r="C602" s="313"/>
      <c r="D602" s="313"/>
      <c r="E602" s="313"/>
      <c r="F602" s="13"/>
      <c r="G602" s="313"/>
      <c r="H602" s="76" t="s">
        <v>494</v>
      </c>
      <c r="I602" s="316"/>
      <c r="J602" s="316"/>
      <c r="K602" s="316"/>
      <c r="L602" s="80"/>
    </row>
    <row r="603" spans="1:12" ht="24" customHeight="1" thickBot="1">
      <c r="A603" s="330"/>
      <c r="B603" s="24"/>
      <c r="C603" s="22"/>
      <c r="D603" s="22"/>
      <c r="E603" s="22"/>
      <c r="F603" s="23"/>
      <c r="G603" s="313"/>
      <c r="H603" s="76"/>
      <c r="I603" s="316"/>
      <c r="J603" s="316"/>
      <c r="K603" s="316"/>
      <c r="L603" s="80"/>
    </row>
    <row r="604" spans="1:12" ht="24" customHeight="1">
      <c r="A604" s="330"/>
      <c r="B604" s="1068" t="s">
        <v>113</v>
      </c>
      <c r="C604" s="1069"/>
      <c r="D604" s="1069"/>
      <c r="E604" s="1069"/>
      <c r="F604" s="1069"/>
      <c r="G604" s="1097"/>
      <c r="H604" s="1098" t="str">
        <f>'0422Master'!B27</f>
        <v>Pranav Thakare</v>
      </c>
      <c r="I604" s="1099"/>
      <c r="J604" s="1099"/>
      <c r="K604" s="1099"/>
      <c r="L604" s="1100"/>
    </row>
    <row r="605" spans="1:12" ht="24" customHeight="1" thickBot="1">
      <c r="A605" s="330"/>
      <c r="B605" s="560"/>
      <c r="C605" s="561"/>
      <c r="D605" s="561"/>
      <c r="E605" s="561"/>
      <c r="F605" s="561"/>
      <c r="G605" s="564"/>
      <c r="H605" s="1101" t="str">
        <f>'0422Master'!G27</f>
        <v>B-78, State Employees Society,Ashoknagar,Satpur,Nashik</v>
      </c>
      <c r="I605" s="1102"/>
      <c r="J605" s="1102"/>
      <c r="K605" s="1102"/>
      <c r="L605" s="1103"/>
    </row>
    <row r="606" spans="1:12" ht="24" customHeight="1">
      <c r="A606" s="330"/>
      <c r="B606" s="1072" t="s">
        <v>114</v>
      </c>
      <c r="C606" s="1073"/>
      <c r="D606" s="1073"/>
      <c r="E606" s="1073"/>
      <c r="F606" s="1073"/>
      <c r="G606" s="1073"/>
      <c r="H606" s="1074">
        <v>65</v>
      </c>
      <c r="I606" s="1075"/>
      <c r="J606" s="1075"/>
      <c r="K606" s="1075"/>
      <c r="L606" s="1076"/>
    </row>
    <row r="607" spans="1:12" ht="24" customHeight="1">
      <c r="A607" s="330"/>
      <c r="B607" s="1068" t="s">
        <v>115</v>
      </c>
      <c r="C607" s="1069"/>
      <c r="D607" s="1069"/>
      <c r="E607" s="1069"/>
      <c r="F607" s="1069"/>
      <c r="G607" s="1069"/>
      <c r="H607" s="1077" t="str">
        <f>'0422Master'!F27</f>
        <v>Project Manager</v>
      </c>
      <c r="I607" s="1070"/>
      <c r="J607" s="1070"/>
      <c r="K607" s="1070"/>
      <c r="L607" s="1071"/>
    </row>
    <row r="608" spans="1:12" ht="24" customHeight="1">
      <c r="A608" s="330"/>
      <c r="B608" s="1068" t="s">
        <v>116</v>
      </c>
      <c r="C608" s="1069"/>
      <c r="D608" s="1069"/>
      <c r="E608" s="1069"/>
      <c r="F608" s="1069"/>
      <c r="G608" s="1069"/>
      <c r="H608" s="1078">
        <f>'0422Master'!N27</f>
        <v>44564</v>
      </c>
      <c r="I608" s="1079"/>
      <c r="J608" s="1079"/>
      <c r="K608" s="1079"/>
      <c r="L608" s="1080"/>
    </row>
    <row r="609" spans="1:13" ht="24" customHeight="1">
      <c r="A609" s="330"/>
      <c r="B609" s="332" t="s">
        <v>117</v>
      </c>
      <c r="C609" s="86"/>
      <c r="D609" s="86"/>
      <c r="E609" s="86"/>
      <c r="F609" s="86"/>
      <c r="G609" s="86"/>
      <c r="H609" s="568"/>
      <c r="I609" s="88"/>
      <c r="J609" s="331">
        <f>'0422Master'!T507</f>
        <v>0</v>
      </c>
      <c r="K609" s="566"/>
      <c r="L609" s="567"/>
    </row>
    <row r="610" spans="1:13" ht="24" customHeight="1">
      <c r="A610" s="330"/>
      <c r="B610" s="332" t="s">
        <v>118</v>
      </c>
      <c r="C610" s="86"/>
      <c r="D610" s="86"/>
      <c r="E610" s="86"/>
      <c r="F610" s="86"/>
      <c r="G610" s="367"/>
      <c r="H610" s="91"/>
      <c r="I610" s="92"/>
      <c r="J610" s="331" t="str">
        <f>'0422Master'!S27</f>
        <v>100716206034</v>
      </c>
      <c r="K610" s="92"/>
      <c r="L610" s="93"/>
    </row>
    <row r="611" spans="1:13" ht="33" customHeight="1">
      <c r="A611" s="330"/>
      <c r="B611" s="1081" t="s">
        <v>119</v>
      </c>
      <c r="C611" s="1082"/>
      <c r="D611" s="1082"/>
      <c r="E611" s="1082"/>
      <c r="F611" s="1082"/>
      <c r="G611" s="1082"/>
      <c r="H611" s="1074">
        <f>'0422Master'!Y27</f>
        <v>75643</v>
      </c>
      <c r="I611" s="1075"/>
      <c r="J611" s="1075"/>
      <c r="K611" s="1075"/>
      <c r="L611" s="1076"/>
    </row>
    <row r="612" spans="1:13" ht="24" customHeight="1">
      <c r="A612" s="330"/>
      <c r="B612" s="1068" t="s">
        <v>120</v>
      </c>
      <c r="C612" s="1069"/>
      <c r="D612" s="1069"/>
      <c r="E612" s="1069"/>
      <c r="F612" s="1069"/>
      <c r="G612" s="1069"/>
      <c r="H612" s="1083">
        <f>'0422Master'!D10</f>
        <v>44652</v>
      </c>
      <c r="I612" s="1070"/>
      <c r="J612" s="1070"/>
      <c r="K612" s="1070"/>
      <c r="L612" s="1071"/>
    </row>
    <row r="613" spans="1:13" ht="24" customHeight="1">
      <c r="A613" s="330"/>
      <c r="B613" s="1068" t="s">
        <v>121</v>
      </c>
      <c r="C613" s="1069"/>
      <c r="D613" s="1069"/>
      <c r="E613" s="1069"/>
      <c r="F613" s="1069"/>
      <c r="G613" s="1069"/>
      <c r="H613" s="1070" t="s">
        <v>122</v>
      </c>
      <c r="I613" s="1070"/>
      <c r="J613" s="1070"/>
      <c r="K613" s="1070"/>
      <c r="L613" s="1071"/>
    </row>
    <row r="614" spans="1:13" ht="24" customHeight="1">
      <c r="A614" s="330"/>
      <c r="B614" s="332" t="s">
        <v>123</v>
      </c>
      <c r="C614" s="86"/>
      <c r="D614" s="86"/>
      <c r="E614" s="86"/>
      <c r="F614" s="86"/>
      <c r="G614" s="367"/>
      <c r="H614" s="568"/>
      <c r="I614" s="566"/>
      <c r="J614" s="95">
        <f>'0422Master'!W27</f>
        <v>27</v>
      </c>
      <c r="K614" s="566"/>
      <c r="L614" s="567"/>
    </row>
    <row r="615" spans="1:13" ht="24" customHeight="1">
      <c r="A615" s="330"/>
      <c r="B615" s="332" t="s">
        <v>124</v>
      </c>
      <c r="C615" s="86"/>
      <c r="D615" s="86"/>
      <c r="E615" s="86"/>
      <c r="F615" s="86"/>
      <c r="G615" s="367"/>
      <c r="H615" s="568"/>
      <c r="I615" s="566"/>
      <c r="J615" s="566" t="s">
        <v>37</v>
      </c>
      <c r="K615" s="566"/>
      <c r="L615" s="567"/>
    </row>
    <row r="616" spans="1:13" ht="24" customHeight="1">
      <c r="A616" s="330"/>
      <c r="B616" s="332" t="s">
        <v>125</v>
      </c>
      <c r="C616" s="86"/>
      <c r="D616" s="86"/>
      <c r="E616" s="86"/>
      <c r="F616" s="86"/>
      <c r="G616" s="367"/>
      <c r="H616" s="568"/>
      <c r="I616" s="566"/>
      <c r="J616" s="95">
        <v>0</v>
      </c>
      <c r="K616" s="566"/>
      <c r="L616" s="567"/>
    </row>
    <row r="617" spans="1:13" ht="24" customHeight="1">
      <c r="A617" s="330"/>
      <c r="B617" s="332" t="s">
        <v>126</v>
      </c>
      <c r="C617" s="86"/>
      <c r="D617" s="86"/>
      <c r="E617" s="86"/>
      <c r="F617" s="86"/>
      <c r="G617" s="367"/>
      <c r="H617" s="568"/>
      <c r="I617" s="566"/>
      <c r="J617" s="330"/>
      <c r="K617" s="566"/>
      <c r="L617" s="567"/>
    </row>
    <row r="618" spans="1:13" ht="24" customHeight="1">
      <c r="A618" s="330"/>
      <c r="B618" s="332" t="s">
        <v>127</v>
      </c>
      <c r="C618" s="86"/>
      <c r="D618" s="86"/>
      <c r="E618" s="86"/>
      <c r="F618" s="86"/>
      <c r="G618" s="367"/>
      <c r="H618" s="568"/>
      <c r="I618" s="566"/>
      <c r="J618" s="586">
        <f>'0422Master'!AM27</f>
        <v>75114.995281999989</v>
      </c>
      <c r="K618" s="566"/>
      <c r="L618" s="567" t="s">
        <v>35</v>
      </c>
    </row>
    <row r="619" spans="1:13" ht="24" customHeight="1">
      <c r="A619" s="330"/>
      <c r="B619" s="332" t="s">
        <v>128</v>
      </c>
      <c r="C619" s="86"/>
      <c r="D619" s="562" t="s">
        <v>32</v>
      </c>
      <c r="E619" s="563">
        <f>'0422Master'!AO27</f>
        <v>1800</v>
      </c>
      <c r="F619" s="562" t="s">
        <v>31</v>
      </c>
      <c r="G619" s="563">
        <f>'0422Master'!AN507</f>
        <v>0</v>
      </c>
      <c r="H619" s="562" t="s">
        <v>33</v>
      </c>
      <c r="I619" s="563">
        <f>'0422Master'!AP27</f>
        <v>200</v>
      </c>
      <c r="J619" s="562" t="s">
        <v>34</v>
      </c>
      <c r="K619" s="563">
        <f>'0422Master'!AQ27</f>
        <v>0</v>
      </c>
      <c r="L619" s="100">
        <f>'0422Master'!AR27</f>
        <v>283</v>
      </c>
    </row>
    <row r="620" spans="1:13" ht="24" customHeight="1">
      <c r="A620" s="330"/>
      <c r="B620" s="332" t="s">
        <v>129</v>
      </c>
      <c r="C620" s="86"/>
      <c r="D620" s="86"/>
      <c r="E620" s="86"/>
      <c r="F620" s="86"/>
      <c r="G620" s="367"/>
      <c r="H620" s="568"/>
      <c r="I620" s="566"/>
      <c r="J620" s="95">
        <f>J618-E619-I619-K619-L619</f>
        <v>72831.995281999989</v>
      </c>
      <c r="K620" s="566"/>
      <c r="L620" s="567"/>
      <c r="M620">
        <v>13</v>
      </c>
    </row>
    <row r="621" spans="1:13" ht="24" customHeight="1">
      <c r="A621" s="330"/>
      <c r="B621" s="333" t="s">
        <v>130</v>
      </c>
      <c r="C621" s="334"/>
      <c r="D621" s="334"/>
      <c r="E621" s="334"/>
      <c r="F621" s="334"/>
      <c r="G621" s="335"/>
      <c r="H621" s="336"/>
      <c r="I621" s="337"/>
      <c r="J621" s="337"/>
      <c r="K621" s="337"/>
      <c r="L621" s="97"/>
    </row>
    <row r="622" spans="1:13" ht="24" customHeight="1">
      <c r="A622" s="330"/>
      <c r="B622" s="643" t="s">
        <v>131</v>
      </c>
      <c r="C622" s="644"/>
      <c r="D622" s="644"/>
      <c r="E622" s="644"/>
      <c r="F622" s="644"/>
      <c r="G622" s="644"/>
      <c r="H622" s="288"/>
      <c r="I622" s="288"/>
      <c r="J622" s="288"/>
      <c r="K622" s="288"/>
      <c r="L622" s="288"/>
    </row>
    <row r="623" spans="1:13" ht="24" customHeight="1">
      <c r="A623" s="330"/>
      <c r="B623" s="288"/>
      <c r="C623" s="288"/>
      <c r="D623" s="288"/>
      <c r="E623" s="288"/>
      <c r="F623" s="288"/>
      <c r="G623" s="288"/>
      <c r="H623" s="288"/>
      <c r="I623" s="288"/>
      <c r="J623" s="288"/>
      <c r="K623" s="288"/>
      <c r="L623" s="288"/>
    </row>
    <row r="624" spans="1:13">
      <c r="A624" s="8"/>
      <c r="B624" s="8"/>
      <c r="C624" s="8"/>
      <c r="D624" s="8"/>
      <c r="E624" s="8"/>
      <c r="F624" s="8"/>
      <c r="G624" s="8"/>
      <c r="H624" s="8"/>
      <c r="I624" s="8"/>
      <c r="J624" s="8"/>
      <c r="K624" s="8"/>
      <c r="L624" s="8"/>
    </row>
    <row r="625" spans="1:12">
      <c r="A625" s="8"/>
      <c r="B625" s="8"/>
      <c r="C625" s="8"/>
      <c r="D625" s="8"/>
      <c r="E625" s="8"/>
      <c r="F625" s="8"/>
      <c r="G625" s="8"/>
      <c r="H625" s="8"/>
      <c r="I625" s="8"/>
      <c r="J625" s="8"/>
      <c r="K625" s="8"/>
      <c r="L625" s="8"/>
    </row>
    <row r="626" spans="1:12">
      <c r="A626" s="8"/>
      <c r="B626" s="8"/>
      <c r="C626" s="8"/>
      <c r="D626" s="8"/>
      <c r="E626" s="8"/>
      <c r="F626" s="8"/>
      <c r="G626" s="8"/>
      <c r="H626" s="8"/>
      <c r="I626" s="8"/>
      <c r="J626" s="8"/>
      <c r="K626" s="8"/>
      <c r="L626" s="8"/>
    </row>
    <row r="627" spans="1:12">
      <c r="A627" s="8"/>
      <c r="B627" s="8"/>
      <c r="C627" s="8"/>
      <c r="D627" s="8"/>
      <c r="E627" s="8"/>
      <c r="F627" s="8"/>
      <c r="G627" s="8"/>
      <c r="H627" s="8"/>
      <c r="I627" s="8"/>
      <c r="J627" s="8"/>
      <c r="K627" s="8"/>
      <c r="L627" s="8"/>
    </row>
    <row r="628" spans="1:12">
      <c r="A628" s="8"/>
      <c r="B628" s="8"/>
      <c r="C628" s="8"/>
      <c r="D628" s="8"/>
      <c r="E628" s="8"/>
      <c r="F628" s="8"/>
      <c r="G628" s="8"/>
      <c r="H628" s="8"/>
      <c r="I628" s="8"/>
      <c r="J628" s="8"/>
      <c r="K628" s="8"/>
      <c r="L628" s="8"/>
    </row>
    <row r="629" spans="1:12">
      <c r="A629" s="8"/>
      <c r="B629" s="8"/>
      <c r="C629" s="8"/>
      <c r="D629" s="8"/>
      <c r="E629" s="8"/>
      <c r="F629" s="8"/>
      <c r="G629" s="8"/>
      <c r="H629" s="8"/>
      <c r="I629" s="8"/>
      <c r="J629" s="8"/>
      <c r="K629" s="8"/>
      <c r="L629" s="8"/>
    </row>
    <row r="630" spans="1:12">
      <c r="A630" s="8"/>
      <c r="B630" s="8"/>
      <c r="C630" s="8"/>
      <c r="D630" s="8"/>
      <c r="E630" s="8"/>
      <c r="F630" s="8"/>
      <c r="G630" s="8"/>
      <c r="H630" s="8"/>
      <c r="I630" s="8"/>
      <c r="J630" s="8"/>
      <c r="K630" s="8"/>
      <c r="L630" s="8"/>
    </row>
    <row r="631" spans="1:12">
      <c r="A631" s="8"/>
      <c r="B631" s="8"/>
      <c r="C631" s="8"/>
      <c r="D631" s="8"/>
      <c r="E631" s="8"/>
      <c r="F631" s="8"/>
      <c r="G631" s="8"/>
      <c r="H631" s="8"/>
      <c r="I631" s="8"/>
      <c r="J631" s="8"/>
      <c r="K631" s="8"/>
      <c r="L631" s="8"/>
    </row>
    <row r="632" spans="1:12">
      <c r="A632" s="8"/>
      <c r="B632" s="8"/>
      <c r="C632" s="8"/>
      <c r="D632" s="8"/>
      <c r="E632" s="8"/>
      <c r="F632" s="8"/>
      <c r="G632" s="8"/>
      <c r="H632" s="8"/>
      <c r="I632" s="8"/>
      <c r="J632" s="8"/>
      <c r="K632" s="8"/>
      <c r="L632" s="8"/>
    </row>
    <row r="633" spans="1:12">
      <c r="A633" s="8"/>
      <c r="B633" s="8"/>
      <c r="C633" s="8"/>
      <c r="D633" s="8"/>
      <c r="E633" s="8"/>
      <c r="F633" s="8"/>
      <c r="G633" s="8"/>
      <c r="H633" s="8"/>
      <c r="I633" s="8"/>
      <c r="J633" s="8"/>
      <c r="K633" s="8"/>
      <c r="L633" s="8"/>
    </row>
    <row r="634" spans="1:12">
      <c r="A634" s="8"/>
      <c r="B634" s="8"/>
      <c r="C634" s="8"/>
      <c r="D634" s="8"/>
      <c r="E634" s="8"/>
      <c r="F634" s="8"/>
      <c r="G634" s="8"/>
      <c r="H634" s="8"/>
      <c r="I634" s="8"/>
      <c r="J634" s="8"/>
      <c r="K634" s="8"/>
      <c r="L634" s="8"/>
    </row>
    <row r="635" spans="1:12" ht="15.75" thickBot="1">
      <c r="A635" s="330"/>
      <c r="B635" s="330"/>
      <c r="C635" s="330"/>
      <c r="D635" s="330"/>
      <c r="E635" s="330"/>
      <c r="F635" s="330"/>
      <c r="G635" s="330"/>
      <c r="H635" s="330"/>
      <c r="I635" s="330"/>
      <c r="J635" s="330"/>
      <c r="K635" s="330"/>
      <c r="L635" s="330"/>
    </row>
    <row r="636" spans="1:12" ht="32.25">
      <c r="A636" s="330"/>
      <c r="B636" s="1104" t="s">
        <v>107</v>
      </c>
      <c r="C636" s="1105"/>
      <c r="D636" s="1105"/>
      <c r="E636" s="1105"/>
      <c r="F636" s="1105"/>
      <c r="G636" s="1105"/>
      <c r="H636" s="1105"/>
      <c r="I636" s="1105"/>
      <c r="J636" s="1105"/>
      <c r="K636" s="1105"/>
      <c r="L636" s="1106"/>
    </row>
    <row r="637" spans="1:12" ht="23.25">
      <c r="A637" s="330"/>
      <c r="B637" s="1084" t="s">
        <v>108</v>
      </c>
      <c r="C637" s="1085"/>
      <c r="D637" s="1085"/>
      <c r="E637" s="1085"/>
      <c r="F637" s="1085"/>
      <c r="G637" s="1085"/>
      <c r="H637" s="1085"/>
      <c r="I637" s="1085"/>
      <c r="J637" s="1085"/>
      <c r="K637" s="1085"/>
      <c r="L637" s="1086"/>
    </row>
    <row r="638" spans="1:12" ht="16.5" thickBot="1">
      <c r="A638" s="330"/>
      <c r="B638" s="1087" t="s">
        <v>382</v>
      </c>
      <c r="C638" s="1088"/>
      <c r="D638" s="1088"/>
      <c r="E638" s="1088"/>
      <c r="F638" s="1088"/>
      <c r="G638" s="1088"/>
      <c r="H638" s="1088"/>
      <c r="I638" s="1088"/>
      <c r="J638" s="1088"/>
      <c r="K638" s="1088"/>
      <c r="L638" s="1089"/>
    </row>
    <row r="639" spans="1:12" ht="23.25" customHeight="1">
      <c r="A639" s="330"/>
      <c r="B639" s="1090" t="s">
        <v>109</v>
      </c>
      <c r="C639" s="1091"/>
      <c r="D639" s="1091"/>
      <c r="E639" s="1091"/>
      <c r="F639" s="1091"/>
      <c r="G639" s="313"/>
      <c r="H639" s="1092" t="s">
        <v>110</v>
      </c>
      <c r="I639" s="1092"/>
      <c r="J639" s="1092"/>
      <c r="K639" s="1092"/>
      <c r="L639" s="1093"/>
    </row>
    <row r="640" spans="1:12" ht="23.25" customHeight="1" thickBot="1">
      <c r="A640" s="330"/>
      <c r="B640" s="1090"/>
      <c r="C640" s="1091"/>
      <c r="D640" s="1091"/>
      <c r="E640" s="1091"/>
      <c r="F640" s="1091"/>
      <c r="G640" s="313"/>
      <c r="H640" s="1092"/>
      <c r="I640" s="1092"/>
      <c r="J640" s="1092"/>
      <c r="K640" s="1092"/>
      <c r="L640" s="1093"/>
    </row>
    <row r="641" spans="1:12" ht="23.25" customHeight="1">
      <c r="A641" s="330"/>
      <c r="B641" s="73"/>
      <c r="C641" s="74"/>
      <c r="D641" s="74"/>
      <c r="E641" s="74"/>
      <c r="F641" s="75"/>
      <c r="G641" s="313"/>
      <c r="H641" s="73"/>
      <c r="I641" s="74"/>
      <c r="J641" s="74"/>
      <c r="K641" s="74"/>
      <c r="L641" s="75"/>
    </row>
    <row r="642" spans="1:12" ht="23.25" customHeight="1">
      <c r="A642" s="330"/>
      <c r="B642" s="76" t="s">
        <v>384</v>
      </c>
      <c r="C642" s="313"/>
      <c r="D642" s="313"/>
      <c r="E642" s="313"/>
      <c r="F642" s="13"/>
      <c r="G642" s="313"/>
      <c r="H642" s="76" t="s">
        <v>384</v>
      </c>
      <c r="I642" s="313"/>
      <c r="J642" s="313"/>
      <c r="K642" s="313"/>
      <c r="L642" s="13"/>
    </row>
    <row r="643" spans="1:12" ht="23.25" customHeight="1">
      <c r="A643" s="330"/>
      <c r="B643" s="12"/>
      <c r="C643" s="313"/>
      <c r="D643" s="313"/>
      <c r="E643" s="313"/>
      <c r="F643" s="13"/>
      <c r="G643" s="313"/>
      <c r="H643" s="12"/>
      <c r="I643" s="313"/>
      <c r="J643" s="313"/>
      <c r="K643" s="313"/>
      <c r="L643" s="13"/>
    </row>
    <row r="644" spans="1:12" ht="23.25" customHeight="1">
      <c r="A644" s="330"/>
      <c r="B644" s="76" t="s">
        <v>385</v>
      </c>
      <c r="C644" s="313"/>
      <c r="D644" s="313"/>
      <c r="E644" s="313"/>
      <c r="F644" s="13"/>
      <c r="G644" s="313"/>
      <c r="H644" s="76" t="s">
        <v>385</v>
      </c>
      <c r="I644" s="313"/>
      <c r="J644" s="313"/>
      <c r="K644" s="313"/>
      <c r="L644" s="13"/>
    </row>
    <row r="645" spans="1:12" ht="23.25" customHeight="1" thickBot="1">
      <c r="A645" s="330"/>
      <c r="B645" s="24"/>
      <c r="C645" s="22"/>
      <c r="D645" s="22"/>
      <c r="E645" s="22"/>
      <c r="F645" s="23"/>
      <c r="G645" s="313"/>
      <c r="H645" s="24"/>
      <c r="I645" s="22"/>
      <c r="J645" s="22"/>
      <c r="K645" s="22"/>
      <c r="L645" s="23"/>
    </row>
    <row r="646" spans="1:12" ht="23.25" customHeight="1">
      <c r="A646" s="330"/>
      <c r="B646" s="12"/>
      <c r="C646" s="313"/>
      <c r="D646" s="313"/>
      <c r="E646" s="313"/>
      <c r="F646" s="313"/>
      <c r="G646" s="313"/>
      <c r="H646" s="313"/>
      <c r="I646" s="313"/>
      <c r="J646" s="313" t="s">
        <v>111</v>
      </c>
      <c r="K646" s="313"/>
      <c r="L646" s="13"/>
    </row>
    <row r="647" spans="1:12" ht="23.25" customHeight="1">
      <c r="A647" s="330"/>
      <c r="B647" s="1094" t="s">
        <v>112</v>
      </c>
      <c r="C647" s="1095"/>
      <c r="D647" s="1095"/>
      <c r="E647" s="1095"/>
      <c r="F647" s="1095"/>
      <c r="G647" s="313"/>
      <c r="H647" s="1095" t="s">
        <v>4</v>
      </c>
      <c r="I647" s="1095"/>
      <c r="J647" s="1095"/>
      <c r="K647" s="1095"/>
      <c r="L647" s="1096"/>
    </row>
    <row r="648" spans="1:12" ht="23.25" customHeight="1" thickBot="1">
      <c r="A648" s="330"/>
      <c r="B648" s="12"/>
      <c r="C648" s="313"/>
      <c r="D648" s="313"/>
      <c r="E648" s="313"/>
      <c r="F648" s="313"/>
      <c r="G648" s="313"/>
      <c r="H648" s="313"/>
      <c r="I648" s="313"/>
      <c r="J648" s="313"/>
      <c r="K648" s="313"/>
      <c r="L648" s="13"/>
    </row>
    <row r="649" spans="1:12" ht="23.25" customHeight="1">
      <c r="A649" s="330"/>
      <c r="B649" s="73"/>
      <c r="C649" s="74"/>
      <c r="D649" s="74"/>
      <c r="E649" s="74"/>
      <c r="F649" s="75"/>
      <c r="G649" s="313"/>
      <c r="H649" s="77"/>
      <c r="I649" s="78"/>
      <c r="J649" s="78"/>
      <c r="K649" s="78"/>
      <c r="L649" s="79"/>
    </row>
    <row r="650" spans="1:12" ht="23.25" customHeight="1">
      <c r="A650" s="330"/>
      <c r="B650" s="12"/>
      <c r="C650" s="313"/>
      <c r="D650" s="313"/>
      <c r="E650" s="313"/>
      <c r="F650" s="13"/>
      <c r="G650" s="313"/>
      <c r="H650" s="76" t="s">
        <v>522</v>
      </c>
      <c r="I650" s="316"/>
      <c r="J650" s="316"/>
      <c r="K650" s="316"/>
      <c r="L650" s="80"/>
    </row>
    <row r="651" spans="1:12" ht="23.25" customHeight="1">
      <c r="A651" s="330"/>
      <c r="B651" s="76" t="s">
        <v>374</v>
      </c>
      <c r="C651" s="313"/>
      <c r="D651" s="313"/>
      <c r="E651" s="313"/>
      <c r="F651" s="13"/>
      <c r="G651" s="313"/>
      <c r="H651" s="76"/>
      <c r="I651" s="316"/>
      <c r="J651" s="316"/>
      <c r="K651" s="316"/>
      <c r="L651" s="80"/>
    </row>
    <row r="652" spans="1:12" ht="23.25" customHeight="1">
      <c r="A652" s="330"/>
      <c r="B652" s="12"/>
      <c r="C652" s="313"/>
      <c r="D652" s="313"/>
      <c r="E652" s="313"/>
      <c r="F652" s="13"/>
      <c r="G652" s="313"/>
      <c r="H652" s="76" t="s">
        <v>494</v>
      </c>
      <c r="I652" s="316"/>
      <c r="J652" s="316"/>
      <c r="K652" s="316"/>
      <c r="L652" s="80"/>
    </row>
    <row r="653" spans="1:12" ht="23.25" customHeight="1" thickBot="1">
      <c r="A653" s="330"/>
      <c r="B653" s="24"/>
      <c r="C653" s="22"/>
      <c r="D653" s="22"/>
      <c r="E653" s="22"/>
      <c r="F653" s="23"/>
      <c r="G653" s="313"/>
      <c r="H653" s="76"/>
      <c r="I653" s="316"/>
      <c r="J653" s="316"/>
      <c r="K653" s="316"/>
      <c r="L653" s="80"/>
    </row>
    <row r="654" spans="1:12" ht="23.25" customHeight="1">
      <c r="A654" s="330"/>
      <c r="B654" s="1068" t="s">
        <v>113</v>
      </c>
      <c r="C654" s="1069"/>
      <c r="D654" s="1069"/>
      <c r="E654" s="1069"/>
      <c r="F654" s="1069"/>
      <c r="G654" s="1097"/>
      <c r="H654" s="1098" t="str">
        <f>'0422Master'!B28</f>
        <v>Asita Kumar Sahoo</v>
      </c>
      <c r="I654" s="1099"/>
      <c r="J654" s="1099"/>
      <c r="K654" s="1099"/>
      <c r="L654" s="1100"/>
    </row>
    <row r="655" spans="1:12" ht="35.25" customHeight="1" thickBot="1">
      <c r="A655" s="330"/>
      <c r="B655" s="560"/>
      <c r="C655" s="561"/>
      <c r="D655" s="561"/>
      <c r="E655" s="561"/>
      <c r="F655" s="561"/>
      <c r="G655" s="564"/>
      <c r="H655" s="1101" t="str">
        <f>'0422Master'!G28</f>
        <v>Airforce station, Achalgarh, Delwara, Abu road, Sirohi, Rajasthan 307501</v>
      </c>
      <c r="I655" s="1102"/>
      <c r="J655" s="1102"/>
      <c r="K655" s="1102"/>
      <c r="L655" s="1103"/>
    </row>
    <row r="656" spans="1:12" ht="23.25" customHeight="1">
      <c r="A656" s="330"/>
      <c r="B656" s="1072" t="s">
        <v>114</v>
      </c>
      <c r="C656" s="1073"/>
      <c r="D656" s="1073"/>
      <c r="E656" s="1073"/>
      <c r="F656" s="1073"/>
      <c r="G656" s="1073"/>
      <c r="H656" s="1074">
        <v>66</v>
      </c>
      <c r="I656" s="1075"/>
      <c r="J656" s="1075"/>
      <c r="K656" s="1075"/>
      <c r="L656" s="1076"/>
    </row>
    <row r="657" spans="1:13" ht="23.25" customHeight="1">
      <c r="A657" s="330"/>
      <c r="B657" s="1068" t="s">
        <v>115</v>
      </c>
      <c r="C657" s="1069"/>
      <c r="D657" s="1069"/>
      <c r="E657" s="1069"/>
      <c r="F657" s="1069"/>
      <c r="G657" s="1069"/>
      <c r="H657" s="1077" t="str">
        <f>'0422Master'!F28</f>
        <v>Network Admin</v>
      </c>
      <c r="I657" s="1070"/>
      <c r="J657" s="1070"/>
      <c r="K657" s="1070"/>
      <c r="L657" s="1071"/>
    </row>
    <row r="658" spans="1:13" ht="23.25" customHeight="1">
      <c r="A658" s="330"/>
      <c r="B658" s="1068" t="s">
        <v>116</v>
      </c>
      <c r="C658" s="1069"/>
      <c r="D658" s="1069"/>
      <c r="E658" s="1069"/>
      <c r="F658" s="1069"/>
      <c r="G658" s="1069"/>
      <c r="H658" s="1078">
        <f>'0422Master'!N28</f>
        <v>44567</v>
      </c>
      <c r="I658" s="1079"/>
      <c r="J658" s="1079"/>
      <c r="K658" s="1079"/>
      <c r="L658" s="1080"/>
    </row>
    <row r="659" spans="1:13" ht="23.25" customHeight="1">
      <c r="A659" s="330"/>
      <c r="B659" s="332" t="s">
        <v>117</v>
      </c>
      <c r="C659" s="86"/>
      <c r="D659" s="86"/>
      <c r="E659" s="86"/>
      <c r="F659" s="86"/>
      <c r="G659" s="86"/>
      <c r="H659" s="568"/>
      <c r="I659" s="88"/>
      <c r="J659" s="331">
        <f>'0422Master'!T557</f>
        <v>0</v>
      </c>
      <c r="K659" s="566"/>
      <c r="L659" s="567"/>
    </row>
    <row r="660" spans="1:13" ht="23.25" customHeight="1">
      <c r="A660" s="330"/>
      <c r="B660" s="332" t="s">
        <v>118</v>
      </c>
      <c r="C660" s="86"/>
      <c r="D660" s="86"/>
      <c r="E660" s="86"/>
      <c r="F660" s="86"/>
      <c r="G660" s="367"/>
      <c r="H660" s="91"/>
      <c r="I660" s="92"/>
      <c r="J660" s="331" t="str">
        <f>'0422Master'!S28</f>
        <v>100716206034</v>
      </c>
      <c r="K660" s="92"/>
      <c r="L660" s="93"/>
    </row>
    <row r="661" spans="1:13" ht="31.5" customHeight="1">
      <c r="A661" s="330"/>
      <c r="B661" s="1081" t="s">
        <v>119</v>
      </c>
      <c r="C661" s="1082"/>
      <c r="D661" s="1082"/>
      <c r="E661" s="1082"/>
      <c r="F661" s="1082"/>
      <c r="G661" s="1082"/>
      <c r="H661" s="1074">
        <f>'0422Master'!Y28</f>
        <v>52471</v>
      </c>
      <c r="I661" s="1075"/>
      <c r="J661" s="1075"/>
      <c r="K661" s="1075"/>
      <c r="L661" s="1076"/>
    </row>
    <row r="662" spans="1:13" ht="23.25" customHeight="1">
      <c r="A662" s="330"/>
      <c r="B662" s="1068" t="s">
        <v>120</v>
      </c>
      <c r="C662" s="1069"/>
      <c r="D662" s="1069"/>
      <c r="E662" s="1069"/>
      <c r="F662" s="1069"/>
      <c r="G662" s="1069"/>
      <c r="H662" s="1083">
        <f>'0422Master'!D10</f>
        <v>44652</v>
      </c>
      <c r="I662" s="1070"/>
      <c r="J662" s="1070"/>
      <c r="K662" s="1070"/>
      <c r="L662" s="1071"/>
    </row>
    <row r="663" spans="1:13" ht="23.25" customHeight="1">
      <c r="A663" s="330"/>
      <c r="B663" s="1068" t="s">
        <v>121</v>
      </c>
      <c r="C663" s="1069"/>
      <c r="D663" s="1069"/>
      <c r="E663" s="1069"/>
      <c r="F663" s="1069"/>
      <c r="G663" s="1069"/>
      <c r="H663" s="1070" t="s">
        <v>122</v>
      </c>
      <c r="I663" s="1070"/>
      <c r="J663" s="1070"/>
      <c r="K663" s="1070"/>
      <c r="L663" s="1071"/>
    </row>
    <row r="664" spans="1:13" ht="23.25" customHeight="1">
      <c r="A664" s="330"/>
      <c r="B664" s="332" t="s">
        <v>123</v>
      </c>
      <c r="C664" s="86"/>
      <c r="D664" s="86"/>
      <c r="E664" s="86"/>
      <c r="F664" s="86"/>
      <c r="G664" s="367"/>
      <c r="H664" s="568"/>
      <c r="I664" s="566"/>
      <c r="J664" s="95">
        <f>'0422Master'!W28</f>
        <v>30</v>
      </c>
      <c r="K664" s="566"/>
      <c r="L664" s="567"/>
    </row>
    <row r="665" spans="1:13" ht="23.25" customHeight="1">
      <c r="A665" s="330"/>
      <c r="B665" s="332" t="s">
        <v>124</v>
      </c>
      <c r="C665" s="86"/>
      <c r="D665" s="86"/>
      <c r="E665" s="86"/>
      <c r="F665" s="86"/>
      <c r="G665" s="367"/>
      <c r="H665" s="568"/>
      <c r="I665" s="566"/>
      <c r="J665" s="566" t="s">
        <v>37</v>
      </c>
      <c r="K665" s="566"/>
      <c r="L665" s="567"/>
    </row>
    <row r="666" spans="1:13" ht="23.25" customHeight="1">
      <c r="A666" s="330"/>
      <c r="B666" s="332" t="s">
        <v>125</v>
      </c>
      <c r="C666" s="86"/>
      <c r="D666" s="86"/>
      <c r="E666" s="86"/>
      <c r="F666" s="86"/>
      <c r="G666" s="367"/>
      <c r="H666" s="568"/>
      <c r="I666" s="566"/>
      <c r="J666" s="95">
        <v>0</v>
      </c>
      <c r="K666" s="566"/>
      <c r="L666" s="567"/>
    </row>
    <row r="667" spans="1:13" ht="23.25" customHeight="1">
      <c r="A667" s="330"/>
      <c r="B667" s="332" t="s">
        <v>126</v>
      </c>
      <c r="C667" s="86"/>
      <c r="D667" s="86"/>
      <c r="E667" s="86"/>
      <c r="F667" s="86"/>
      <c r="G667" s="367"/>
      <c r="H667" s="568"/>
      <c r="I667" s="566"/>
      <c r="J667" s="330"/>
      <c r="K667" s="566"/>
      <c r="L667" s="567"/>
    </row>
    <row r="668" spans="1:13" ht="23.25" customHeight="1">
      <c r="A668" s="330"/>
      <c r="B668" s="332" t="s">
        <v>127</v>
      </c>
      <c r="C668" s="86"/>
      <c r="D668" s="86"/>
      <c r="E668" s="86"/>
      <c r="F668" s="86"/>
      <c r="G668" s="367"/>
      <c r="H668" s="568"/>
      <c r="I668" s="566"/>
      <c r="J668" s="586">
        <f>'0422Master'!AM28</f>
        <v>58276.47206</v>
      </c>
      <c r="K668" s="566"/>
      <c r="L668" s="567" t="s">
        <v>35</v>
      </c>
    </row>
    <row r="669" spans="1:13" ht="23.25" customHeight="1">
      <c r="A669" s="330"/>
      <c r="B669" s="332" t="s">
        <v>128</v>
      </c>
      <c r="C669" s="86"/>
      <c r="D669" s="562" t="s">
        <v>32</v>
      </c>
      <c r="E669" s="563">
        <f>'0422Master'!AO28</f>
        <v>1800</v>
      </c>
      <c r="F669" s="562" t="s">
        <v>31</v>
      </c>
      <c r="G669" s="563">
        <f>'0422Master'!AN557</f>
        <v>0</v>
      </c>
      <c r="H669" s="562" t="s">
        <v>33</v>
      </c>
      <c r="I669" s="563">
        <f>'0422Master'!AP28</f>
        <v>200</v>
      </c>
      <c r="J669" s="562" t="s">
        <v>34</v>
      </c>
      <c r="K669" s="563">
        <f>'0422Master'!AQ28</f>
        <v>0</v>
      </c>
      <c r="L669" s="100">
        <f>'0422Master'!AR28</f>
        <v>283</v>
      </c>
    </row>
    <row r="670" spans="1:13" ht="23.25" customHeight="1">
      <c r="A670" s="330"/>
      <c r="B670" s="332" t="s">
        <v>129</v>
      </c>
      <c r="C670" s="86"/>
      <c r="D670" s="86"/>
      <c r="E670" s="86"/>
      <c r="F670" s="86"/>
      <c r="G670" s="367"/>
      <c r="H670" s="568"/>
      <c r="I670" s="566"/>
      <c r="J670" s="95">
        <f>J668-E669-I669-K669-L669</f>
        <v>55993.47206</v>
      </c>
      <c r="K670" s="566"/>
      <c r="L670" s="567"/>
      <c r="M670">
        <v>14</v>
      </c>
    </row>
    <row r="671" spans="1:13" ht="23.25" customHeight="1">
      <c r="A671" s="330"/>
      <c r="B671" s="333" t="s">
        <v>130</v>
      </c>
      <c r="C671" s="334"/>
      <c r="D671" s="334"/>
      <c r="E671" s="334"/>
      <c r="F671" s="334"/>
      <c r="G671" s="335"/>
      <c r="H671" s="336"/>
      <c r="I671" s="337"/>
      <c r="J671" s="337"/>
      <c r="K671" s="337"/>
      <c r="L671" s="97"/>
    </row>
    <row r="672" spans="1:13" ht="23.25" customHeight="1">
      <c r="A672" s="330"/>
      <c r="B672" s="358" t="s">
        <v>131</v>
      </c>
      <c r="C672" s="316"/>
      <c r="D672" s="316"/>
      <c r="E672" s="316"/>
      <c r="F672" s="316"/>
      <c r="G672" s="359"/>
      <c r="H672" s="70"/>
      <c r="I672" s="313"/>
      <c r="J672" s="313"/>
      <c r="K672" s="313"/>
      <c r="L672" s="13"/>
    </row>
    <row r="673" spans="1:12" ht="23.25" customHeight="1">
      <c r="A673" s="330"/>
      <c r="B673" s="288"/>
      <c r="C673" s="288"/>
      <c r="D673" s="288"/>
      <c r="E673" s="288"/>
      <c r="F673" s="288"/>
      <c r="G673" s="288"/>
      <c r="H673" s="288"/>
      <c r="I673" s="288"/>
      <c r="J673" s="288"/>
      <c r="K673" s="288"/>
      <c r="L673" s="288"/>
    </row>
    <row r="674" spans="1:12">
      <c r="A674" s="8"/>
      <c r="B674" s="8"/>
      <c r="C674" s="8"/>
      <c r="D674" s="8"/>
      <c r="E674" s="8"/>
      <c r="F674" s="8"/>
      <c r="G674" s="8"/>
      <c r="H674" s="8"/>
      <c r="I674" s="8"/>
      <c r="J674" s="8"/>
      <c r="K674" s="8"/>
      <c r="L674" s="8"/>
    </row>
    <row r="675" spans="1:12" s="810" customFormat="1"/>
    <row r="676" spans="1:12" s="810" customFormat="1"/>
    <row r="677" spans="1:12" s="810" customFormat="1"/>
    <row r="678" spans="1:12" s="810" customFormat="1"/>
    <row r="679" spans="1:12" s="810" customFormat="1"/>
    <row r="680" spans="1:12" s="810" customFormat="1"/>
    <row r="681" spans="1:12" s="810" customFormat="1"/>
    <row r="682" spans="1:12" s="810" customFormat="1"/>
    <row r="683" spans="1:12" s="810" customFormat="1"/>
    <row r="684" spans="1:12">
      <c r="A684" s="8"/>
      <c r="B684" s="8"/>
      <c r="C684" s="8"/>
      <c r="D684" s="8"/>
      <c r="E684" s="8"/>
      <c r="F684" s="8"/>
      <c r="G684" s="8"/>
      <c r="H684" s="8"/>
      <c r="I684" s="8"/>
      <c r="J684" s="8"/>
      <c r="K684" s="8"/>
      <c r="L684" s="8"/>
    </row>
    <row r="685" spans="1:12" ht="15.75" thickBot="1">
      <c r="A685" s="330"/>
      <c r="B685" s="330"/>
      <c r="C685" s="330"/>
      <c r="D685" s="330"/>
      <c r="E685" s="330"/>
      <c r="F685" s="330"/>
      <c r="G685" s="330"/>
      <c r="H685" s="330"/>
      <c r="I685" s="330"/>
      <c r="J685" s="330"/>
      <c r="K685" s="330"/>
      <c r="L685" s="330"/>
    </row>
    <row r="686" spans="1:12" ht="32.25">
      <c r="A686" s="330"/>
      <c r="B686" s="1104" t="s">
        <v>107</v>
      </c>
      <c r="C686" s="1105"/>
      <c r="D686" s="1105"/>
      <c r="E686" s="1105"/>
      <c r="F686" s="1105"/>
      <c r="G686" s="1105"/>
      <c r="H686" s="1105"/>
      <c r="I686" s="1105"/>
      <c r="J686" s="1105"/>
      <c r="K686" s="1105"/>
      <c r="L686" s="1106"/>
    </row>
    <row r="687" spans="1:12" ht="23.25">
      <c r="A687" s="330"/>
      <c r="B687" s="1084" t="s">
        <v>108</v>
      </c>
      <c r="C687" s="1085"/>
      <c r="D687" s="1085"/>
      <c r="E687" s="1085"/>
      <c r="F687" s="1085"/>
      <c r="G687" s="1085"/>
      <c r="H687" s="1085"/>
      <c r="I687" s="1085"/>
      <c r="J687" s="1085"/>
      <c r="K687" s="1085"/>
      <c r="L687" s="1086"/>
    </row>
    <row r="688" spans="1:12" ht="16.5" thickBot="1">
      <c r="A688" s="330"/>
      <c r="B688" s="1087" t="s">
        <v>382</v>
      </c>
      <c r="C688" s="1088"/>
      <c r="D688" s="1088"/>
      <c r="E688" s="1088"/>
      <c r="F688" s="1088"/>
      <c r="G688" s="1088"/>
      <c r="H688" s="1088"/>
      <c r="I688" s="1088"/>
      <c r="J688" s="1088"/>
      <c r="K688" s="1088"/>
      <c r="L688" s="1089"/>
    </row>
    <row r="689" spans="1:12">
      <c r="A689" s="330"/>
      <c r="B689" s="1090" t="s">
        <v>109</v>
      </c>
      <c r="C689" s="1091"/>
      <c r="D689" s="1091"/>
      <c r="E689" s="1091"/>
      <c r="F689" s="1091"/>
      <c r="G689" s="313"/>
      <c r="H689" s="1092" t="s">
        <v>110</v>
      </c>
      <c r="I689" s="1092"/>
      <c r="J689" s="1092"/>
      <c r="K689" s="1092"/>
      <c r="L689" s="1093"/>
    </row>
    <row r="690" spans="1:12" ht="15.75" thickBot="1">
      <c r="A690" s="330"/>
      <c r="B690" s="1090"/>
      <c r="C690" s="1091"/>
      <c r="D690" s="1091"/>
      <c r="E690" s="1091"/>
      <c r="F690" s="1091"/>
      <c r="G690" s="313"/>
      <c r="H690" s="1092"/>
      <c r="I690" s="1092"/>
      <c r="J690" s="1092"/>
      <c r="K690" s="1092"/>
      <c r="L690" s="1093"/>
    </row>
    <row r="691" spans="1:12" ht="22.5" customHeight="1">
      <c r="A691" s="330"/>
      <c r="B691" s="73"/>
      <c r="C691" s="74"/>
      <c r="D691" s="74"/>
      <c r="E691" s="74"/>
      <c r="F691" s="75"/>
      <c r="G691" s="313"/>
      <c r="H691" s="73"/>
      <c r="I691" s="74"/>
      <c r="J691" s="74"/>
      <c r="K691" s="74"/>
      <c r="L691" s="75"/>
    </row>
    <row r="692" spans="1:12" ht="22.5" customHeight="1">
      <c r="A692" s="330"/>
      <c r="B692" s="76" t="s">
        <v>384</v>
      </c>
      <c r="C692" s="313"/>
      <c r="D692" s="313"/>
      <c r="E692" s="313"/>
      <c r="F692" s="13"/>
      <c r="G692" s="313"/>
      <c r="H692" s="76" t="s">
        <v>384</v>
      </c>
      <c r="I692" s="313"/>
      <c r="J692" s="313"/>
      <c r="K692" s="313"/>
      <c r="L692" s="13"/>
    </row>
    <row r="693" spans="1:12" ht="22.5" customHeight="1">
      <c r="A693" s="330"/>
      <c r="B693" s="12"/>
      <c r="C693" s="313"/>
      <c r="D693" s="313"/>
      <c r="E693" s="313"/>
      <c r="F693" s="13"/>
      <c r="G693" s="313"/>
      <c r="H693" s="12"/>
      <c r="I693" s="313"/>
      <c r="J693" s="313"/>
      <c r="K693" s="313"/>
      <c r="L693" s="13"/>
    </row>
    <row r="694" spans="1:12" ht="22.5" customHeight="1">
      <c r="A694" s="330"/>
      <c r="B694" s="76" t="s">
        <v>385</v>
      </c>
      <c r="C694" s="313"/>
      <c r="D694" s="313"/>
      <c r="E694" s="313"/>
      <c r="F694" s="13"/>
      <c r="G694" s="313"/>
      <c r="H694" s="76" t="s">
        <v>385</v>
      </c>
      <c r="I694" s="313"/>
      <c r="J694" s="313"/>
      <c r="K694" s="313"/>
      <c r="L694" s="13"/>
    </row>
    <row r="695" spans="1:12" ht="22.5" customHeight="1" thickBot="1">
      <c r="A695" s="330"/>
      <c r="B695" s="24"/>
      <c r="C695" s="22"/>
      <c r="D695" s="22"/>
      <c r="E695" s="22"/>
      <c r="F695" s="23"/>
      <c r="G695" s="313"/>
      <c r="H695" s="24"/>
      <c r="I695" s="22"/>
      <c r="J695" s="22"/>
      <c r="K695" s="22"/>
      <c r="L695" s="23"/>
    </row>
    <row r="696" spans="1:12" ht="22.5" customHeight="1">
      <c r="A696" s="330"/>
      <c r="B696" s="12"/>
      <c r="C696" s="313"/>
      <c r="D696" s="313"/>
      <c r="E696" s="313"/>
      <c r="F696" s="313"/>
      <c r="G696" s="313"/>
      <c r="H696" s="313"/>
      <c r="I696" s="313"/>
      <c r="J696" s="313" t="s">
        <v>111</v>
      </c>
      <c r="K696" s="313"/>
      <c r="L696" s="13"/>
    </row>
    <row r="697" spans="1:12" ht="22.5" customHeight="1">
      <c r="A697" s="330"/>
      <c r="B697" s="1094" t="s">
        <v>112</v>
      </c>
      <c r="C697" s="1095"/>
      <c r="D697" s="1095"/>
      <c r="E697" s="1095"/>
      <c r="F697" s="1095"/>
      <c r="G697" s="313"/>
      <c r="H697" s="1095" t="s">
        <v>4</v>
      </c>
      <c r="I697" s="1095"/>
      <c r="J697" s="1095"/>
      <c r="K697" s="1095"/>
      <c r="L697" s="1096"/>
    </row>
    <row r="698" spans="1:12" ht="22.5" customHeight="1" thickBot="1">
      <c r="A698" s="330"/>
      <c r="B698" s="12"/>
      <c r="C698" s="313"/>
      <c r="D698" s="313"/>
      <c r="E698" s="313"/>
      <c r="F698" s="313"/>
      <c r="G698" s="313"/>
      <c r="H698" s="313"/>
      <c r="I698" s="313"/>
      <c r="J698" s="313"/>
      <c r="K698" s="313"/>
      <c r="L698" s="13"/>
    </row>
    <row r="699" spans="1:12" ht="22.5" customHeight="1">
      <c r="A699" s="330"/>
      <c r="B699" s="73"/>
      <c r="C699" s="74"/>
      <c r="D699" s="74"/>
      <c r="E699" s="74"/>
      <c r="F699" s="75"/>
      <c r="G699" s="313"/>
      <c r="H699" s="77"/>
      <c r="I699" s="78"/>
      <c r="J699" s="78"/>
      <c r="K699" s="78"/>
      <c r="L699" s="79"/>
    </row>
    <row r="700" spans="1:12" ht="22.5" customHeight="1">
      <c r="A700" s="330"/>
      <c r="B700" s="12"/>
      <c r="C700" s="313"/>
      <c r="D700" s="313"/>
      <c r="E700" s="313"/>
      <c r="F700" s="13"/>
      <c r="G700" s="313"/>
      <c r="H700" s="76" t="s">
        <v>522</v>
      </c>
      <c r="I700" s="316"/>
      <c r="J700" s="316"/>
      <c r="K700" s="316"/>
      <c r="L700" s="80"/>
    </row>
    <row r="701" spans="1:12" ht="22.5" customHeight="1">
      <c r="A701" s="330"/>
      <c r="B701" s="76" t="s">
        <v>374</v>
      </c>
      <c r="C701" s="313"/>
      <c r="D701" s="313"/>
      <c r="E701" s="313"/>
      <c r="F701" s="13"/>
      <c r="G701" s="313"/>
      <c r="H701" s="76"/>
      <c r="I701" s="316"/>
      <c r="J701" s="316"/>
      <c r="K701" s="316"/>
      <c r="L701" s="80"/>
    </row>
    <row r="702" spans="1:12" ht="22.5" customHeight="1">
      <c r="A702" s="330"/>
      <c r="B702" s="12"/>
      <c r="C702" s="313"/>
      <c r="D702" s="313"/>
      <c r="E702" s="313"/>
      <c r="F702" s="13"/>
      <c r="G702" s="313"/>
      <c r="H702" s="76" t="s">
        <v>494</v>
      </c>
      <c r="I702" s="316"/>
      <c r="J702" s="316"/>
      <c r="K702" s="316"/>
      <c r="L702" s="80"/>
    </row>
    <row r="703" spans="1:12" ht="22.5" customHeight="1" thickBot="1">
      <c r="A703" s="330"/>
      <c r="B703" s="24"/>
      <c r="C703" s="22"/>
      <c r="D703" s="22"/>
      <c r="E703" s="22"/>
      <c r="F703" s="23"/>
      <c r="G703" s="313"/>
      <c r="H703" s="76"/>
      <c r="I703" s="316"/>
      <c r="J703" s="316"/>
      <c r="K703" s="316"/>
      <c r="L703" s="80"/>
    </row>
    <row r="704" spans="1:12" ht="22.5" customHeight="1">
      <c r="A704" s="330"/>
      <c r="B704" s="1068" t="s">
        <v>113</v>
      </c>
      <c r="C704" s="1069"/>
      <c r="D704" s="1069"/>
      <c r="E704" s="1069"/>
      <c r="F704" s="1069"/>
      <c r="G704" s="1097"/>
      <c r="H704" s="1098" t="str">
        <f>'0422Master'!B29</f>
        <v>Arun Arra</v>
      </c>
      <c r="I704" s="1099"/>
      <c r="J704" s="1099"/>
      <c r="K704" s="1099"/>
      <c r="L704" s="1100"/>
    </row>
    <row r="705" spans="1:12" ht="22.5" customHeight="1" thickBot="1">
      <c r="A705" s="330"/>
      <c r="B705" s="560"/>
      <c r="C705" s="561"/>
      <c r="D705" s="561"/>
      <c r="E705" s="561"/>
      <c r="F705" s="561"/>
      <c r="G705" s="564"/>
      <c r="H705" s="1101" t="str">
        <f>'0422Master'!G29</f>
        <v>1-52/3, Suryanager Colony, Uppal, HYD 500039</v>
      </c>
      <c r="I705" s="1102"/>
      <c r="J705" s="1102"/>
      <c r="K705" s="1102"/>
      <c r="L705" s="1103"/>
    </row>
    <row r="706" spans="1:12" ht="39" customHeight="1">
      <c r="A706" s="330"/>
      <c r="B706" s="1072" t="s">
        <v>114</v>
      </c>
      <c r="C706" s="1073"/>
      <c r="D706" s="1073"/>
      <c r="E706" s="1073"/>
      <c r="F706" s="1073"/>
      <c r="G706" s="1073"/>
      <c r="H706" s="1074">
        <v>67</v>
      </c>
      <c r="I706" s="1075"/>
      <c r="J706" s="1075"/>
      <c r="K706" s="1075"/>
      <c r="L706" s="1076"/>
    </row>
    <row r="707" spans="1:12" ht="22.5" customHeight="1">
      <c r="A707" s="330"/>
      <c r="B707" s="1068" t="s">
        <v>115</v>
      </c>
      <c r="C707" s="1069"/>
      <c r="D707" s="1069"/>
      <c r="E707" s="1069"/>
      <c r="F707" s="1069"/>
      <c r="G707" s="1069"/>
      <c r="H707" s="1077" t="str">
        <f>'0422Master'!F29</f>
        <v>SAP Basis consultant</v>
      </c>
      <c r="I707" s="1070"/>
      <c r="J707" s="1070"/>
      <c r="K707" s="1070"/>
      <c r="L707" s="1071"/>
    </row>
    <row r="708" spans="1:12" ht="22.5" customHeight="1">
      <c r="A708" s="330"/>
      <c r="B708" s="1068" t="s">
        <v>116</v>
      </c>
      <c r="C708" s="1069"/>
      <c r="D708" s="1069"/>
      <c r="E708" s="1069"/>
      <c r="F708" s="1069"/>
      <c r="G708" s="1069"/>
      <c r="H708" s="1078">
        <f>'0422Master'!N415</f>
        <v>0</v>
      </c>
      <c r="I708" s="1079"/>
      <c r="J708" s="1079"/>
      <c r="K708" s="1079"/>
      <c r="L708" s="1080"/>
    </row>
    <row r="709" spans="1:12" ht="22.5" customHeight="1">
      <c r="A709" s="330"/>
      <c r="B709" s="332" t="s">
        <v>117</v>
      </c>
      <c r="C709" s="86"/>
      <c r="D709" s="86"/>
      <c r="E709" s="86"/>
      <c r="F709" s="86"/>
      <c r="G709" s="86"/>
      <c r="H709" s="568"/>
      <c r="I709" s="88"/>
      <c r="J709" s="331">
        <f>'0422Master'!T607</f>
        <v>0</v>
      </c>
      <c r="K709" s="566"/>
      <c r="L709" s="567"/>
    </row>
    <row r="710" spans="1:12" ht="22.5" customHeight="1">
      <c r="A710" s="330"/>
      <c r="B710" s="332" t="s">
        <v>118</v>
      </c>
      <c r="C710" s="86"/>
      <c r="D710" s="86"/>
      <c r="E710" s="86"/>
      <c r="F710" s="86"/>
      <c r="G710" s="367"/>
      <c r="H710" s="91"/>
      <c r="I710" s="92"/>
      <c r="J710" s="331" t="str">
        <f>'0422Master'!S29</f>
        <v>101377758010</v>
      </c>
      <c r="K710" s="92"/>
      <c r="L710" s="93"/>
    </row>
    <row r="711" spans="1:12" ht="31.5" customHeight="1">
      <c r="A711" s="330"/>
      <c r="B711" s="1081" t="s">
        <v>119</v>
      </c>
      <c r="C711" s="1082"/>
      <c r="D711" s="1082"/>
      <c r="E711" s="1082"/>
      <c r="F711" s="1082"/>
      <c r="G711" s="1082"/>
      <c r="H711" s="1074">
        <f>'0422Master'!Y29</f>
        <v>38567</v>
      </c>
      <c r="I711" s="1075"/>
      <c r="J711" s="1075"/>
      <c r="K711" s="1075"/>
      <c r="L711" s="1076"/>
    </row>
    <row r="712" spans="1:12" ht="22.5" customHeight="1">
      <c r="A712" s="330"/>
      <c r="B712" s="1068" t="s">
        <v>120</v>
      </c>
      <c r="C712" s="1069"/>
      <c r="D712" s="1069"/>
      <c r="E712" s="1069"/>
      <c r="F712" s="1069"/>
      <c r="G712" s="1069"/>
      <c r="H712" s="1083">
        <f>'0422Master'!D10</f>
        <v>44652</v>
      </c>
      <c r="I712" s="1070"/>
      <c r="J712" s="1070"/>
      <c r="K712" s="1070"/>
      <c r="L712" s="1071"/>
    </row>
    <row r="713" spans="1:12" ht="22.5" customHeight="1">
      <c r="A713" s="330"/>
      <c r="B713" s="1068" t="s">
        <v>121</v>
      </c>
      <c r="C713" s="1069"/>
      <c r="D713" s="1069"/>
      <c r="E713" s="1069"/>
      <c r="F713" s="1069"/>
      <c r="G713" s="1069"/>
      <c r="H713" s="1070" t="s">
        <v>122</v>
      </c>
      <c r="I713" s="1070"/>
      <c r="J713" s="1070"/>
      <c r="K713" s="1070"/>
      <c r="L713" s="1071"/>
    </row>
    <row r="714" spans="1:12" ht="22.5" customHeight="1">
      <c r="A714" s="330"/>
      <c r="B714" s="332" t="s">
        <v>123</v>
      </c>
      <c r="C714" s="86"/>
      <c r="D714" s="86"/>
      <c r="E714" s="86"/>
      <c r="F714" s="86"/>
      <c r="G714" s="367"/>
      <c r="H714" s="568"/>
      <c r="I714" s="566"/>
      <c r="J714" s="95">
        <f>'0422Master'!W29</f>
        <v>30</v>
      </c>
      <c r="K714" s="566"/>
      <c r="L714" s="567"/>
    </row>
    <row r="715" spans="1:12" ht="22.5" customHeight="1">
      <c r="A715" s="330"/>
      <c r="B715" s="332" t="s">
        <v>124</v>
      </c>
      <c r="C715" s="86"/>
      <c r="D715" s="86"/>
      <c r="E715" s="86"/>
      <c r="F715" s="86"/>
      <c r="G715" s="367"/>
      <c r="H715" s="568"/>
      <c r="I715" s="566"/>
      <c r="J715" s="566" t="s">
        <v>37</v>
      </c>
      <c r="K715" s="566"/>
      <c r="L715" s="567"/>
    </row>
    <row r="716" spans="1:12" ht="22.5" customHeight="1">
      <c r="A716" s="330"/>
      <c r="B716" s="332" t="s">
        <v>125</v>
      </c>
      <c r="C716" s="86"/>
      <c r="D716" s="86"/>
      <c r="E716" s="86"/>
      <c r="F716" s="86"/>
      <c r="G716" s="367"/>
      <c r="H716" s="568"/>
      <c r="I716" s="566"/>
      <c r="J716" s="95">
        <v>0</v>
      </c>
      <c r="K716" s="566"/>
      <c r="L716" s="567"/>
    </row>
    <row r="717" spans="1:12" ht="22.5" customHeight="1">
      <c r="A717" s="330"/>
      <c r="B717" s="332" t="s">
        <v>126</v>
      </c>
      <c r="C717" s="86"/>
      <c r="D717" s="86"/>
      <c r="E717" s="86"/>
      <c r="F717" s="86"/>
      <c r="G717" s="367"/>
      <c r="H717" s="568"/>
      <c r="I717" s="566"/>
      <c r="J717" s="95">
        <v>0</v>
      </c>
      <c r="K717" s="566"/>
      <c r="L717" s="567"/>
    </row>
    <row r="718" spans="1:12" ht="22.5" customHeight="1">
      <c r="A718" s="330"/>
      <c r="B718" s="332" t="s">
        <v>127</v>
      </c>
      <c r="C718" s="86"/>
      <c r="D718" s="86"/>
      <c r="E718" s="86"/>
      <c r="F718" s="86"/>
      <c r="G718" s="367"/>
      <c r="H718" s="568"/>
      <c r="I718" s="566"/>
      <c r="J718" s="586">
        <f>'0422Master'!AM29</f>
        <v>43276.002619999992</v>
      </c>
      <c r="K718" s="566"/>
      <c r="L718" s="567" t="s">
        <v>35</v>
      </c>
    </row>
    <row r="719" spans="1:12" ht="22.5" customHeight="1">
      <c r="A719" s="330"/>
      <c r="B719" s="332" t="s">
        <v>128</v>
      </c>
      <c r="C719" s="86"/>
      <c r="D719" s="562" t="s">
        <v>32</v>
      </c>
      <c r="E719" s="563">
        <f>'0422Master'!AO29</f>
        <v>1800</v>
      </c>
      <c r="F719" s="562" t="s">
        <v>31</v>
      </c>
      <c r="G719" s="563">
        <f>'0422Master'!AN607</f>
        <v>0</v>
      </c>
      <c r="H719" s="562" t="s">
        <v>33</v>
      </c>
      <c r="I719" s="563">
        <f>'0422Master'!AP29</f>
        <v>200</v>
      </c>
      <c r="J719" s="562" t="s">
        <v>34</v>
      </c>
      <c r="K719" s="563">
        <f>'0422Master'!AQ29</f>
        <v>0</v>
      </c>
      <c r="L719" s="100">
        <f>'0422Master'!AR29</f>
        <v>283</v>
      </c>
    </row>
    <row r="720" spans="1:12" ht="22.5" customHeight="1">
      <c r="A720" s="330"/>
      <c r="B720" s="332" t="s">
        <v>129</v>
      </c>
      <c r="C720" s="86"/>
      <c r="D720" s="86"/>
      <c r="E720" s="86"/>
      <c r="F720" s="86"/>
      <c r="G720" s="367"/>
      <c r="H720" s="568"/>
      <c r="I720" s="566"/>
      <c r="J720" s="95">
        <f>J718-E719-I719-K719-L719</f>
        <v>40993.002619999992</v>
      </c>
      <c r="K720" s="566"/>
      <c r="L720" s="567"/>
    </row>
    <row r="721" spans="1:12" ht="22.5" customHeight="1">
      <c r="A721" s="330"/>
      <c r="B721" s="333" t="s">
        <v>130</v>
      </c>
      <c r="C721" s="334"/>
      <c r="D721" s="334"/>
      <c r="E721" s="334"/>
      <c r="F721" s="334"/>
      <c r="G721" s="335"/>
      <c r="H721" s="336"/>
      <c r="I721" s="337"/>
      <c r="J721" s="337"/>
      <c r="K721" s="337"/>
      <c r="L721" s="97"/>
    </row>
    <row r="722" spans="1:12" ht="22.5" customHeight="1">
      <c r="A722" s="330"/>
      <c r="B722" s="358" t="s">
        <v>131</v>
      </c>
      <c r="C722" s="316"/>
      <c r="D722" s="316"/>
      <c r="E722" s="316"/>
      <c r="F722" s="316"/>
      <c r="G722" s="359"/>
      <c r="H722" s="70"/>
      <c r="I722" s="313"/>
      <c r="J722" s="313"/>
      <c r="K722" s="313"/>
      <c r="L722" s="13"/>
    </row>
    <row r="723" spans="1:12" ht="22.5" customHeight="1">
      <c r="A723" s="330"/>
      <c r="B723" s="587"/>
      <c r="C723" s="16"/>
      <c r="D723" s="16"/>
      <c r="E723" s="16"/>
      <c r="F723" s="16"/>
      <c r="G723" s="16"/>
      <c r="H723" s="16"/>
      <c r="I723" s="16"/>
      <c r="J723" s="16"/>
      <c r="K723" s="16"/>
      <c r="L723" s="98"/>
    </row>
    <row r="724" spans="1:12">
      <c r="A724" s="8"/>
      <c r="B724" s="8"/>
      <c r="C724" s="8"/>
      <c r="D724" s="8"/>
      <c r="E724" s="8"/>
      <c r="F724" s="8"/>
      <c r="G724" s="8"/>
      <c r="H724" s="8"/>
      <c r="I724" s="8"/>
      <c r="J724" s="8"/>
      <c r="K724" s="8"/>
      <c r="L724" s="8"/>
    </row>
    <row r="725" spans="1:12">
      <c r="A725" s="8"/>
      <c r="B725" s="8"/>
      <c r="C725" s="8"/>
      <c r="D725" s="8"/>
      <c r="E725" s="8"/>
      <c r="F725" s="8"/>
      <c r="G725" s="8"/>
      <c r="H725" s="8"/>
      <c r="I725" s="8"/>
      <c r="J725" s="8"/>
      <c r="K725" s="8"/>
      <c r="L725" s="8"/>
    </row>
    <row r="726" spans="1:12">
      <c r="A726" s="8"/>
      <c r="B726" s="8"/>
      <c r="C726" s="8"/>
      <c r="D726" s="8"/>
      <c r="E726" s="8"/>
      <c r="F726" s="8"/>
      <c r="G726" s="8"/>
      <c r="H726" s="8"/>
      <c r="I726" s="8"/>
      <c r="J726" s="8"/>
      <c r="K726" s="8"/>
      <c r="L726" s="8"/>
    </row>
    <row r="727" spans="1:12">
      <c r="A727" s="8"/>
      <c r="B727" s="8"/>
      <c r="C727" s="8"/>
      <c r="D727" s="8"/>
      <c r="E727" s="8"/>
      <c r="F727" s="8"/>
      <c r="G727" s="8"/>
      <c r="H727" s="8"/>
      <c r="I727" s="8"/>
      <c r="J727" s="8"/>
      <c r="K727" s="8"/>
      <c r="L727" s="8"/>
    </row>
    <row r="728" spans="1:12">
      <c r="A728" s="8"/>
      <c r="B728" s="8"/>
      <c r="C728" s="8"/>
      <c r="D728" s="8"/>
      <c r="E728" s="8"/>
      <c r="F728" s="8"/>
      <c r="G728" s="8"/>
      <c r="H728" s="8"/>
      <c r="I728" s="8"/>
      <c r="J728" s="8"/>
      <c r="K728" s="8"/>
      <c r="L728" s="8"/>
    </row>
    <row r="729" spans="1:12">
      <c r="A729" s="8"/>
      <c r="B729" s="8"/>
      <c r="C729" s="8"/>
      <c r="D729" s="8"/>
      <c r="E729" s="8"/>
      <c r="F729" s="8"/>
      <c r="G729" s="8"/>
      <c r="H729" s="8"/>
      <c r="I729" s="8"/>
      <c r="J729" s="8"/>
      <c r="K729" s="8"/>
      <c r="L729" s="8"/>
    </row>
    <row r="730" spans="1:12">
      <c r="A730" s="8"/>
      <c r="B730" s="8"/>
      <c r="C730" s="8"/>
      <c r="D730" s="8"/>
      <c r="E730" s="8"/>
      <c r="F730" s="8"/>
      <c r="G730" s="8"/>
      <c r="H730" s="8"/>
      <c r="I730" s="8"/>
      <c r="J730" s="8"/>
      <c r="K730" s="8"/>
      <c r="L730" s="8"/>
    </row>
    <row r="731" spans="1:12">
      <c r="A731" s="8"/>
      <c r="B731" s="8"/>
      <c r="C731" s="8"/>
      <c r="D731" s="8"/>
      <c r="E731" s="8"/>
      <c r="F731" s="8"/>
      <c r="G731" s="8"/>
      <c r="H731" s="8"/>
      <c r="I731" s="8"/>
      <c r="J731" s="8"/>
      <c r="K731" s="8"/>
      <c r="L731" s="8"/>
    </row>
    <row r="732" spans="1:12">
      <c r="A732" s="8"/>
      <c r="B732" s="8"/>
      <c r="C732" s="8"/>
      <c r="D732" s="8"/>
      <c r="E732" s="8"/>
      <c r="F732" s="8"/>
      <c r="G732" s="8"/>
      <c r="H732" s="8"/>
      <c r="I732" s="8"/>
      <c r="J732" s="8"/>
      <c r="K732" s="8"/>
      <c r="L732" s="8"/>
    </row>
    <row r="733" spans="1:12">
      <c r="A733" s="8"/>
      <c r="B733" s="8"/>
      <c r="C733" s="8"/>
      <c r="D733" s="8"/>
      <c r="E733" s="8"/>
      <c r="F733" s="8"/>
      <c r="G733" s="8"/>
      <c r="H733" s="8"/>
      <c r="I733" s="8"/>
      <c r="J733" s="8"/>
      <c r="K733" s="8"/>
      <c r="L733" s="8"/>
    </row>
    <row r="734" spans="1:12">
      <c r="A734" s="8"/>
      <c r="B734" s="8"/>
      <c r="C734" s="8"/>
      <c r="D734" s="8"/>
      <c r="E734" s="8"/>
      <c r="F734" s="8"/>
      <c r="G734" s="8"/>
      <c r="H734" s="8"/>
      <c r="I734" s="8"/>
      <c r="J734" s="8"/>
      <c r="K734" s="8"/>
      <c r="L734" s="8"/>
    </row>
    <row r="735" spans="1:12" ht="15.75" thickBot="1">
      <c r="A735" s="330"/>
      <c r="B735" s="330"/>
      <c r="C735" s="330"/>
      <c r="D735" s="330"/>
      <c r="E735" s="330"/>
      <c r="F735" s="330"/>
      <c r="G735" s="330"/>
      <c r="H735" s="330"/>
      <c r="I735" s="330"/>
      <c r="J735" s="330"/>
      <c r="K735" s="330"/>
      <c r="L735" s="330"/>
    </row>
    <row r="736" spans="1:12" ht="32.25">
      <c r="A736" s="330"/>
      <c r="B736" s="1104" t="s">
        <v>107</v>
      </c>
      <c r="C736" s="1105"/>
      <c r="D736" s="1105"/>
      <c r="E736" s="1105"/>
      <c r="F736" s="1105"/>
      <c r="G736" s="1105"/>
      <c r="H736" s="1105"/>
      <c r="I736" s="1105"/>
      <c r="J736" s="1105"/>
      <c r="K736" s="1105"/>
      <c r="L736" s="1106"/>
    </row>
    <row r="737" spans="1:12" ht="23.25">
      <c r="A737" s="330"/>
      <c r="B737" s="1084" t="s">
        <v>108</v>
      </c>
      <c r="C737" s="1085"/>
      <c r="D737" s="1085"/>
      <c r="E737" s="1085"/>
      <c r="F737" s="1085"/>
      <c r="G737" s="1085"/>
      <c r="H737" s="1085"/>
      <c r="I737" s="1085"/>
      <c r="J737" s="1085"/>
      <c r="K737" s="1085"/>
      <c r="L737" s="1086"/>
    </row>
    <row r="738" spans="1:12" ht="16.5" thickBot="1">
      <c r="A738" s="330"/>
      <c r="B738" s="1087" t="s">
        <v>382</v>
      </c>
      <c r="C738" s="1088"/>
      <c r="D738" s="1088"/>
      <c r="E738" s="1088"/>
      <c r="F738" s="1088"/>
      <c r="G738" s="1088"/>
      <c r="H738" s="1088"/>
      <c r="I738" s="1088"/>
      <c r="J738" s="1088"/>
      <c r="K738" s="1088"/>
      <c r="L738" s="1089"/>
    </row>
    <row r="739" spans="1:12">
      <c r="A739" s="330"/>
      <c r="B739" s="1090" t="s">
        <v>109</v>
      </c>
      <c r="C739" s="1091"/>
      <c r="D739" s="1091"/>
      <c r="E739" s="1091"/>
      <c r="F739" s="1091"/>
      <c r="G739" s="313"/>
      <c r="H739" s="1092" t="s">
        <v>110</v>
      </c>
      <c r="I739" s="1092"/>
      <c r="J739" s="1092"/>
      <c r="K739" s="1092"/>
      <c r="L739" s="1093"/>
    </row>
    <row r="740" spans="1:12" ht="15.75" thickBot="1">
      <c r="A740" s="330"/>
      <c r="B740" s="1090"/>
      <c r="C740" s="1091"/>
      <c r="D740" s="1091"/>
      <c r="E740" s="1091"/>
      <c r="F740" s="1091"/>
      <c r="G740" s="313"/>
      <c r="H740" s="1092"/>
      <c r="I740" s="1092"/>
      <c r="J740" s="1092"/>
      <c r="K740" s="1092"/>
      <c r="L740" s="1093"/>
    </row>
    <row r="741" spans="1:12" ht="21.75" customHeight="1">
      <c r="A741" s="330"/>
      <c r="B741" s="73"/>
      <c r="C741" s="74"/>
      <c r="D741" s="74"/>
      <c r="E741" s="74"/>
      <c r="F741" s="75"/>
      <c r="G741" s="313"/>
      <c r="H741" s="73"/>
      <c r="I741" s="74"/>
      <c r="J741" s="74"/>
      <c r="K741" s="74"/>
      <c r="L741" s="75"/>
    </row>
    <row r="742" spans="1:12" ht="21.75" customHeight="1">
      <c r="A742" s="330"/>
      <c r="B742" s="76" t="s">
        <v>384</v>
      </c>
      <c r="C742" s="313"/>
      <c r="D742" s="313"/>
      <c r="E742" s="313"/>
      <c r="F742" s="13"/>
      <c r="G742" s="313"/>
      <c r="H742" s="76" t="s">
        <v>384</v>
      </c>
      <c r="I742" s="313"/>
      <c r="J742" s="313"/>
      <c r="K742" s="313"/>
      <c r="L742" s="13"/>
    </row>
    <row r="743" spans="1:12" ht="21.75" customHeight="1">
      <c r="A743" s="330"/>
      <c r="B743" s="12"/>
      <c r="C743" s="313"/>
      <c r="D743" s="313"/>
      <c r="E743" s="313"/>
      <c r="F743" s="13"/>
      <c r="G743" s="313"/>
      <c r="H743" s="12"/>
      <c r="I743" s="313"/>
      <c r="J743" s="313"/>
      <c r="K743" s="313"/>
      <c r="L743" s="13"/>
    </row>
    <row r="744" spans="1:12" ht="21.75" customHeight="1">
      <c r="A744" s="330"/>
      <c r="B744" s="76" t="s">
        <v>385</v>
      </c>
      <c r="C744" s="313"/>
      <c r="D744" s="313"/>
      <c r="E744" s="313"/>
      <c r="F744" s="13"/>
      <c r="G744" s="313"/>
      <c r="H744" s="76" t="s">
        <v>385</v>
      </c>
      <c r="I744" s="313"/>
      <c r="J744" s="313"/>
      <c r="K744" s="313"/>
      <c r="L744" s="13"/>
    </row>
    <row r="745" spans="1:12" ht="21.75" customHeight="1" thickBot="1">
      <c r="A745" s="330"/>
      <c r="B745" s="24"/>
      <c r="C745" s="22"/>
      <c r="D745" s="22"/>
      <c r="E745" s="22"/>
      <c r="F745" s="23"/>
      <c r="G745" s="313"/>
      <c r="H745" s="24"/>
      <c r="I745" s="22"/>
      <c r="J745" s="22"/>
      <c r="K745" s="22"/>
      <c r="L745" s="23"/>
    </row>
    <row r="746" spans="1:12" ht="21.75" customHeight="1">
      <c r="A746" s="330"/>
      <c r="B746" s="12"/>
      <c r="C746" s="313"/>
      <c r="D746" s="313"/>
      <c r="E746" s="313"/>
      <c r="F746" s="313"/>
      <c r="G746" s="313"/>
      <c r="H746" s="313"/>
      <c r="I746" s="313"/>
      <c r="J746" s="313" t="s">
        <v>111</v>
      </c>
      <c r="K746" s="313"/>
      <c r="L746" s="13"/>
    </row>
    <row r="747" spans="1:12" ht="21.75" customHeight="1">
      <c r="A747" s="330"/>
      <c r="B747" s="1094" t="s">
        <v>112</v>
      </c>
      <c r="C747" s="1095"/>
      <c r="D747" s="1095"/>
      <c r="E747" s="1095"/>
      <c r="F747" s="1095"/>
      <c r="G747" s="313"/>
      <c r="H747" s="1095" t="s">
        <v>4</v>
      </c>
      <c r="I747" s="1095"/>
      <c r="J747" s="1095"/>
      <c r="K747" s="1095"/>
      <c r="L747" s="1096"/>
    </row>
    <row r="748" spans="1:12" ht="21.75" customHeight="1" thickBot="1">
      <c r="A748" s="330"/>
      <c r="B748" s="12"/>
      <c r="C748" s="313"/>
      <c r="D748" s="313"/>
      <c r="E748" s="313"/>
      <c r="F748" s="313"/>
      <c r="G748" s="313"/>
      <c r="H748" s="313"/>
      <c r="I748" s="313"/>
      <c r="J748" s="313"/>
      <c r="K748" s="313"/>
      <c r="L748" s="13"/>
    </row>
    <row r="749" spans="1:12" ht="21.75" customHeight="1">
      <c r="A749" s="330"/>
      <c r="B749" s="73"/>
      <c r="C749" s="74"/>
      <c r="D749" s="74"/>
      <c r="E749" s="74"/>
      <c r="F749" s="75"/>
      <c r="G749" s="313"/>
      <c r="H749" s="77"/>
      <c r="I749" s="78"/>
      <c r="J749" s="78"/>
      <c r="K749" s="78"/>
      <c r="L749" s="79"/>
    </row>
    <row r="750" spans="1:12" ht="21.75" customHeight="1">
      <c r="A750" s="330"/>
      <c r="B750" s="12"/>
      <c r="C750" s="313"/>
      <c r="D750" s="313"/>
      <c r="E750" s="313"/>
      <c r="F750" s="13"/>
      <c r="G750" s="313"/>
      <c r="H750" s="76" t="s">
        <v>522</v>
      </c>
      <c r="I750" s="316"/>
      <c r="J750" s="316"/>
      <c r="K750" s="316"/>
      <c r="L750" s="80"/>
    </row>
    <row r="751" spans="1:12" ht="21.75" customHeight="1">
      <c r="A751" s="330"/>
      <c r="B751" s="76" t="s">
        <v>374</v>
      </c>
      <c r="C751" s="313"/>
      <c r="D751" s="313"/>
      <c r="E751" s="313"/>
      <c r="F751" s="13"/>
      <c r="G751" s="313"/>
      <c r="H751" s="76"/>
      <c r="I751" s="316"/>
      <c r="J751" s="316"/>
      <c r="K751" s="316"/>
      <c r="L751" s="80"/>
    </row>
    <row r="752" spans="1:12" ht="21.75" customHeight="1">
      <c r="A752" s="330"/>
      <c r="B752" s="12"/>
      <c r="C752" s="313"/>
      <c r="D752" s="313"/>
      <c r="E752" s="313"/>
      <c r="F752" s="13"/>
      <c r="G752" s="313"/>
      <c r="H752" s="76" t="s">
        <v>494</v>
      </c>
      <c r="I752" s="316"/>
      <c r="J752" s="316"/>
      <c r="K752" s="316"/>
      <c r="L752" s="80"/>
    </row>
    <row r="753" spans="1:12" ht="21.75" customHeight="1" thickBot="1">
      <c r="A753" s="330"/>
      <c r="B753" s="24"/>
      <c r="C753" s="22"/>
      <c r="D753" s="22"/>
      <c r="E753" s="22"/>
      <c r="F753" s="23"/>
      <c r="G753" s="313"/>
      <c r="H753" s="76"/>
      <c r="I753" s="316"/>
      <c r="J753" s="316"/>
      <c r="K753" s="316"/>
      <c r="L753" s="80"/>
    </row>
    <row r="754" spans="1:12" ht="21.75" customHeight="1">
      <c r="A754" s="330"/>
      <c r="B754" s="1068" t="s">
        <v>113</v>
      </c>
      <c r="C754" s="1069"/>
      <c r="D754" s="1069"/>
      <c r="E754" s="1069"/>
      <c r="F754" s="1069"/>
      <c r="G754" s="1097"/>
      <c r="H754" s="1098" t="str">
        <f>'0422Master'!B30</f>
        <v>Ramya Nalla</v>
      </c>
      <c r="I754" s="1099"/>
      <c r="J754" s="1099"/>
      <c r="K754" s="1099"/>
      <c r="L754" s="1100"/>
    </row>
    <row r="755" spans="1:12" ht="21.75" customHeight="1" thickBot="1">
      <c r="A755" s="330"/>
      <c r="B755" s="727"/>
      <c r="C755" s="728"/>
      <c r="D755" s="728"/>
      <c r="E755" s="728"/>
      <c r="F755" s="728"/>
      <c r="G755" s="730"/>
      <c r="H755" s="1101" t="str">
        <f>'0422Master'!G30</f>
        <v>C-101, Akruthi Arcade, Anand Nagar, GB road, Thane West, Mumbai, Maharashtra,400615</v>
      </c>
      <c r="I755" s="1102"/>
      <c r="J755" s="1102"/>
      <c r="K755" s="1102"/>
      <c r="L755" s="1103"/>
    </row>
    <row r="756" spans="1:12" ht="30" customHeight="1">
      <c r="A756" s="330"/>
      <c r="B756" s="1072" t="s">
        <v>114</v>
      </c>
      <c r="C756" s="1073"/>
      <c r="D756" s="1073"/>
      <c r="E756" s="1073"/>
      <c r="F756" s="1073"/>
      <c r="G756" s="1073"/>
      <c r="H756" s="1074">
        <v>68</v>
      </c>
      <c r="I756" s="1075"/>
      <c r="J756" s="1075"/>
      <c r="K756" s="1075"/>
      <c r="L756" s="1076"/>
    </row>
    <row r="757" spans="1:12" ht="21.75" customHeight="1">
      <c r="A757" s="330"/>
      <c r="B757" s="1068" t="s">
        <v>115</v>
      </c>
      <c r="C757" s="1069"/>
      <c r="D757" s="1069"/>
      <c r="E757" s="1069"/>
      <c r="F757" s="1069"/>
      <c r="G757" s="1069"/>
      <c r="H757" s="1077" t="str">
        <f>'0422Master'!F30</f>
        <v>SAP Basis consultant</v>
      </c>
      <c r="I757" s="1070"/>
      <c r="J757" s="1070"/>
      <c r="K757" s="1070"/>
      <c r="L757" s="1071"/>
    </row>
    <row r="758" spans="1:12" ht="21.75" customHeight="1">
      <c r="A758" s="330"/>
      <c r="B758" s="1068" t="s">
        <v>116</v>
      </c>
      <c r="C758" s="1069"/>
      <c r="D758" s="1069"/>
      <c r="E758" s="1069"/>
      <c r="F758" s="1069"/>
      <c r="G758" s="1069"/>
      <c r="H758" s="1078" t="str">
        <f>'0422Master'!N30</f>
        <v>10/2/2022</v>
      </c>
      <c r="I758" s="1079"/>
      <c r="J758" s="1079"/>
      <c r="K758" s="1079"/>
      <c r="L758" s="1080"/>
    </row>
    <row r="759" spans="1:12" ht="21.75" customHeight="1">
      <c r="A759" s="330"/>
      <c r="B759" s="332" t="s">
        <v>117</v>
      </c>
      <c r="C759" s="86"/>
      <c r="D759" s="86"/>
      <c r="E759" s="86"/>
      <c r="F759" s="86"/>
      <c r="G759" s="86"/>
      <c r="H759" s="735"/>
      <c r="I759" s="88"/>
      <c r="J759" s="331">
        <f>'0422Master'!T657</f>
        <v>0</v>
      </c>
      <c r="K759" s="733"/>
      <c r="L759" s="734"/>
    </row>
    <row r="760" spans="1:12" ht="21.75" customHeight="1">
      <c r="A760" s="330"/>
      <c r="B760" s="332" t="s">
        <v>118</v>
      </c>
      <c r="C760" s="86"/>
      <c r="D760" s="86"/>
      <c r="E760" s="86"/>
      <c r="F760" s="86"/>
      <c r="G760" s="367"/>
      <c r="H760" s="91"/>
      <c r="I760" s="92"/>
      <c r="J760" s="331" t="str">
        <f>'0422Master'!S30</f>
        <v>10179269235</v>
      </c>
      <c r="K760" s="92"/>
      <c r="L760" s="93"/>
    </row>
    <row r="761" spans="1:12" ht="30" customHeight="1">
      <c r="A761" s="330"/>
      <c r="B761" s="1081" t="s">
        <v>119</v>
      </c>
      <c r="C761" s="1082"/>
      <c r="D761" s="1082"/>
      <c r="E761" s="1082"/>
      <c r="F761" s="1082"/>
      <c r="G761" s="1082"/>
      <c r="H761" s="1074">
        <f>'0422Master'!Y30</f>
        <v>38567</v>
      </c>
      <c r="I761" s="1075"/>
      <c r="J761" s="1075"/>
      <c r="K761" s="1075"/>
      <c r="L761" s="1076"/>
    </row>
    <row r="762" spans="1:12" ht="21.75" customHeight="1">
      <c r="A762" s="330"/>
      <c r="B762" s="1068" t="s">
        <v>120</v>
      </c>
      <c r="C762" s="1069"/>
      <c r="D762" s="1069"/>
      <c r="E762" s="1069"/>
      <c r="F762" s="1069"/>
      <c r="G762" s="1069"/>
      <c r="H762" s="1083">
        <f>'0422Master'!D10</f>
        <v>44652</v>
      </c>
      <c r="I762" s="1070"/>
      <c r="J762" s="1070"/>
      <c r="K762" s="1070"/>
      <c r="L762" s="1071"/>
    </row>
    <row r="763" spans="1:12" ht="21.75" customHeight="1">
      <c r="A763" s="330"/>
      <c r="B763" s="1068" t="s">
        <v>121</v>
      </c>
      <c r="C763" s="1069"/>
      <c r="D763" s="1069"/>
      <c r="E763" s="1069"/>
      <c r="F763" s="1069"/>
      <c r="G763" s="1069"/>
      <c r="H763" s="1070" t="s">
        <v>122</v>
      </c>
      <c r="I763" s="1070"/>
      <c r="J763" s="1070"/>
      <c r="K763" s="1070"/>
      <c r="L763" s="1071"/>
    </row>
    <row r="764" spans="1:12" ht="21.75" customHeight="1">
      <c r="A764" s="330"/>
      <c r="B764" s="332" t="s">
        <v>123</v>
      </c>
      <c r="C764" s="86"/>
      <c r="D764" s="86"/>
      <c r="E764" s="86"/>
      <c r="F764" s="86"/>
      <c r="G764" s="367"/>
      <c r="H764" s="735"/>
      <c r="I764" s="733"/>
      <c r="J764" s="95">
        <f>'0422Master'!W30</f>
        <v>30</v>
      </c>
      <c r="K764" s="733"/>
      <c r="L764" s="734"/>
    </row>
    <row r="765" spans="1:12" ht="21.75" customHeight="1">
      <c r="A765" s="330"/>
      <c r="B765" s="332" t="s">
        <v>124</v>
      </c>
      <c r="C765" s="86"/>
      <c r="D765" s="86"/>
      <c r="E765" s="86"/>
      <c r="F765" s="86"/>
      <c r="G765" s="367"/>
      <c r="H765" s="735"/>
      <c r="I765" s="733"/>
      <c r="J765" s="733" t="s">
        <v>37</v>
      </c>
      <c r="K765" s="733"/>
      <c r="L765" s="734"/>
    </row>
    <row r="766" spans="1:12" ht="21.75" customHeight="1">
      <c r="A766" s="330"/>
      <c r="B766" s="332" t="s">
        <v>125</v>
      </c>
      <c r="C766" s="86"/>
      <c r="D766" s="86"/>
      <c r="E766" s="86"/>
      <c r="F766" s="86"/>
      <c r="G766" s="367"/>
      <c r="H766" s="735"/>
      <c r="I766" s="733"/>
      <c r="J766" s="95">
        <v>0</v>
      </c>
      <c r="K766" s="733"/>
      <c r="L766" s="734"/>
    </row>
    <row r="767" spans="1:12" ht="21.75" customHeight="1">
      <c r="A767" s="330"/>
      <c r="B767" s="332" t="s">
        <v>126</v>
      </c>
      <c r="C767" s="86"/>
      <c r="D767" s="86"/>
      <c r="E767" s="86"/>
      <c r="F767" s="86"/>
      <c r="G767" s="367"/>
      <c r="H767" s="735"/>
      <c r="I767" s="733"/>
      <c r="J767" s="330"/>
      <c r="K767" s="733"/>
      <c r="L767" s="734"/>
    </row>
    <row r="768" spans="1:12" ht="21.75" customHeight="1">
      <c r="A768" s="330"/>
      <c r="B768" s="332" t="s">
        <v>127</v>
      </c>
      <c r="C768" s="86"/>
      <c r="D768" s="86"/>
      <c r="E768" s="86"/>
      <c r="F768" s="86"/>
      <c r="G768" s="367"/>
      <c r="H768" s="735"/>
      <c r="I768" s="733"/>
      <c r="J768" s="586">
        <f>'0422Master'!AM30</f>
        <v>43276.002619999992</v>
      </c>
      <c r="K768" s="733"/>
      <c r="L768" s="734" t="s">
        <v>35</v>
      </c>
    </row>
    <row r="769" spans="1:12" ht="21.75" customHeight="1">
      <c r="A769" s="330"/>
      <c r="B769" s="332" t="s">
        <v>128</v>
      </c>
      <c r="C769" s="86"/>
      <c r="D769" s="729" t="s">
        <v>32</v>
      </c>
      <c r="E769" s="731">
        <f>'0422Master'!AO30</f>
        <v>1800</v>
      </c>
      <c r="F769" s="729" t="s">
        <v>31</v>
      </c>
      <c r="G769" s="731">
        <f>'0422Master'!AN657</f>
        <v>0</v>
      </c>
      <c r="H769" s="729" t="s">
        <v>33</v>
      </c>
      <c r="I769" s="731">
        <f>'0422Master'!AP30</f>
        <v>200</v>
      </c>
      <c r="J769" s="729" t="s">
        <v>34</v>
      </c>
      <c r="K769" s="731">
        <f>'0422Master'!AQ30</f>
        <v>0</v>
      </c>
      <c r="L769" s="100">
        <f>'0422Master'!AR30</f>
        <v>283</v>
      </c>
    </row>
    <row r="770" spans="1:12" ht="21.75" customHeight="1">
      <c r="A770" s="330"/>
      <c r="B770" s="332" t="s">
        <v>129</v>
      </c>
      <c r="C770" s="86"/>
      <c r="D770" s="86"/>
      <c r="E770" s="86"/>
      <c r="F770" s="86"/>
      <c r="G770" s="367"/>
      <c r="H770" s="735"/>
      <c r="I770" s="733"/>
      <c r="J770" s="95">
        <f>J768-E769-I769-K769-L769</f>
        <v>40993.002619999992</v>
      </c>
      <c r="K770" s="733"/>
      <c r="L770" s="734"/>
    </row>
    <row r="771" spans="1:12" ht="21.75" customHeight="1">
      <c r="A771" s="330"/>
      <c r="B771" s="333" t="s">
        <v>130</v>
      </c>
      <c r="C771" s="334"/>
      <c r="D771" s="334"/>
      <c r="E771" s="334"/>
      <c r="F771" s="334"/>
      <c r="G771" s="335"/>
      <c r="H771" s="336"/>
      <c r="I771" s="337"/>
      <c r="J771" s="337"/>
      <c r="K771" s="337"/>
      <c r="L771" s="97"/>
    </row>
    <row r="772" spans="1:12" ht="21.75" customHeight="1">
      <c r="A772" s="313"/>
      <c r="B772" s="358" t="s">
        <v>131</v>
      </c>
      <c r="C772" s="316"/>
      <c r="D772" s="316"/>
      <c r="E772" s="316"/>
      <c r="F772" s="316"/>
      <c r="G772" s="359"/>
      <c r="H772" s="70"/>
      <c r="I772" s="313"/>
      <c r="J772" s="313"/>
      <c r="K772" s="313"/>
      <c r="L772" s="13"/>
    </row>
    <row r="773" spans="1:12">
      <c r="A773" s="16"/>
      <c r="B773" s="587"/>
      <c r="C773" s="16"/>
      <c r="D773" s="16"/>
      <c r="E773" s="16"/>
      <c r="F773" s="16"/>
      <c r="G773" s="16"/>
      <c r="H773" s="16"/>
      <c r="I773" s="16"/>
      <c r="J773" s="16"/>
      <c r="K773" s="16"/>
      <c r="L773" s="98"/>
    </row>
    <row r="774" spans="1:12">
      <c r="A774" s="8"/>
      <c r="B774" s="8"/>
      <c r="C774" s="8"/>
      <c r="D774" s="8"/>
      <c r="E774" s="8"/>
      <c r="F774" s="8"/>
      <c r="G774" s="8"/>
      <c r="H774" s="8"/>
      <c r="I774" s="8"/>
      <c r="J774" s="8"/>
      <c r="K774" s="8"/>
      <c r="L774" s="8"/>
    </row>
    <row r="775" spans="1:12">
      <c r="A775" s="8"/>
      <c r="B775" s="8"/>
      <c r="C775" s="8"/>
      <c r="D775" s="8"/>
      <c r="E775" s="8"/>
      <c r="F775" s="8"/>
      <c r="G775" s="8"/>
      <c r="H775" s="8"/>
      <c r="I775" s="8"/>
      <c r="J775" s="8"/>
      <c r="K775" s="8"/>
      <c r="L775" s="8"/>
    </row>
    <row r="776" spans="1:12">
      <c r="A776" s="8"/>
      <c r="B776" s="8"/>
      <c r="C776" s="8"/>
      <c r="D776" s="8"/>
      <c r="E776" s="8"/>
      <c r="F776" s="8"/>
      <c r="G776" s="8"/>
      <c r="H776" s="8"/>
      <c r="I776" s="8"/>
      <c r="J776" s="8"/>
      <c r="K776" s="8"/>
      <c r="L776" s="8"/>
    </row>
    <row r="777" spans="1:12">
      <c r="A777" s="8"/>
      <c r="B777" s="8"/>
      <c r="C777" s="8"/>
      <c r="D777" s="8"/>
      <c r="E777" s="8"/>
      <c r="F777" s="8"/>
      <c r="G777" s="8"/>
      <c r="H777" s="8"/>
      <c r="I777" s="8"/>
      <c r="J777" s="8"/>
      <c r="K777" s="8"/>
      <c r="L777" s="8"/>
    </row>
    <row r="778" spans="1:12">
      <c r="A778" s="8"/>
      <c r="B778" s="8"/>
      <c r="C778" s="8"/>
      <c r="D778" s="8"/>
      <c r="E778" s="8"/>
      <c r="F778" s="8"/>
      <c r="G778" s="8"/>
      <c r="H778" s="8"/>
      <c r="I778" s="8"/>
      <c r="J778" s="8"/>
      <c r="K778" s="8"/>
      <c r="L778" s="8"/>
    </row>
    <row r="779" spans="1:12">
      <c r="A779" s="8"/>
      <c r="B779" s="8"/>
      <c r="C779" s="8"/>
      <c r="D779" s="8"/>
      <c r="E779" s="8"/>
      <c r="F779" s="8"/>
      <c r="G779" s="8"/>
      <c r="H779" s="8"/>
      <c r="I779" s="8"/>
      <c r="J779" s="8"/>
      <c r="K779" s="8"/>
      <c r="L779" s="8"/>
    </row>
    <row r="780" spans="1:12">
      <c r="A780" s="8"/>
      <c r="B780" s="8"/>
      <c r="C780" s="8"/>
      <c r="D780" s="8"/>
      <c r="E780" s="8"/>
      <c r="F780" s="8"/>
      <c r="G780" s="8"/>
      <c r="H780" s="8"/>
      <c r="I780" s="8"/>
      <c r="J780" s="8"/>
      <c r="K780" s="8"/>
      <c r="L780" s="8"/>
    </row>
    <row r="781" spans="1:12">
      <c r="A781" s="8"/>
      <c r="B781" s="8"/>
      <c r="C781" s="8"/>
      <c r="D781" s="8"/>
      <c r="E781" s="8"/>
      <c r="F781" s="8"/>
      <c r="G781" s="8"/>
      <c r="H781" s="8"/>
      <c r="I781" s="8"/>
      <c r="J781" s="8"/>
      <c r="K781" s="8"/>
      <c r="L781" s="8"/>
    </row>
    <row r="782" spans="1:12">
      <c r="A782" s="8"/>
      <c r="B782" s="8"/>
      <c r="C782" s="8"/>
      <c r="D782" s="8"/>
      <c r="E782" s="8"/>
      <c r="F782" s="8"/>
      <c r="G782" s="8"/>
      <c r="H782" s="8"/>
      <c r="I782" s="8"/>
      <c r="J782" s="8"/>
      <c r="K782" s="8"/>
      <c r="L782" s="8"/>
    </row>
    <row r="783" spans="1:12">
      <c r="A783" s="8"/>
      <c r="B783" s="8"/>
      <c r="C783" s="8"/>
      <c r="D783" s="8"/>
      <c r="E783" s="8"/>
      <c r="F783" s="8"/>
      <c r="G783" s="8"/>
      <c r="H783" s="8"/>
      <c r="I783" s="8"/>
      <c r="J783" s="8"/>
      <c r="K783" s="8"/>
      <c r="L783" s="8"/>
    </row>
    <row r="784" spans="1:12">
      <c r="A784" s="8"/>
      <c r="B784" s="8"/>
      <c r="C784" s="8"/>
      <c r="D784" s="8"/>
      <c r="E784" s="8"/>
      <c r="F784" s="8"/>
      <c r="G784" s="8"/>
      <c r="H784" s="8"/>
      <c r="I784" s="8"/>
      <c r="J784" s="8"/>
      <c r="K784" s="8"/>
      <c r="L784" s="8"/>
    </row>
    <row r="785" spans="1:12" ht="15.75" thickBot="1">
      <c r="A785" s="330"/>
      <c r="B785" s="330"/>
      <c r="C785" s="330"/>
      <c r="D785" s="330"/>
      <c r="E785" s="330"/>
      <c r="F785" s="330"/>
      <c r="G785" s="330"/>
      <c r="H785" s="330"/>
      <c r="I785" s="330"/>
      <c r="J785" s="330"/>
      <c r="K785" s="330"/>
      <c r="L785" s="330"/>
    </row>
    <row r="786" spans="1:12" ht="32.25">
      <c r="A786" s="330"/>
      <c r="B786" s="1104" t="s">
        <v>107</v>
      </c>
      <c r="C786" s="1105"/>
      <c r="D786" s="1105"/>
      <c r="E786" s="1105"/>
      <c r="F786" s="1105"/>
      <c r="G786" s="1105"/>
      <c r="H786" s="1105"/>
      <c r="I786" s="1105"/>
      <c r="J786" s="1105"/>
      <c r="K786" s="1105"/>
      <c r="L786" s="1106"/>
    </row>
    <row r="787" spans="1:12" ht="23.25">
      <c r="A787" s="330"/>
      <c r="B787" s="1084" t="s">
        <v>108</v>
      </c>
      <c r="C787" s="1085"/>
      <c r="D787" s="1085"/>
      <c r="E787" s="1085"/>
      <c r="F787" s="1085"/>
      <c r="G787" s="1085"/>
      <c r="H787" s="1085"/>
      <c r="I787" s="1085"/>
      <c r="J787" s="1085"/>
      <c r="K787" s="1085"/>
      <c r="L787" s="1086"/>
    </row>
    <row r="788" spans="1:12" ht="16.5" thickBot="1">
      <c r="A788" s="330"/>
      <c r="B788" s="1087" t="s">
        <v>382</v>
      </c>
      <c r="C788" s="1088"/>
      <c r="D788" s="1088"/>
      <c r="E788" s="1088"/>
      <c r="F788" s="1088"/>
      <c r="G788" s="1088"/>
      <c r="H788" s="1088"/>
      <c r="I788" s="1088"/>
      <c r="J788" s="1088"/>
      <c r="K788" s="1088"/>
      <c r="L788" s="1089"/>
    </row>
    <row r="789" spans="1:12">
      <c r="A789" s="330"/>
      <c r="B789" s="1090" t="s">
        <v>109</v>
      </c>
      <c r="C789" s="1091"/>
      <c r="D789" s="1091"/>
      <c r="E789" s="1091"/>
      <c r="F789" s="1091"/>
      <c r="G789" s="313"/>
      <c r="H789" s="1092" t="s">
        <v>110</v>
      </c>
      <c r="I789" s="1092"/>
      <c r="J789" s="1092"/>
      <c r="K789" s="1092"/>
      <c r="L789" s="1093"/>
    </row>
    <row r="790" spans="1:12" ht="15.75" thickBot="1">
      <c r="A790" s="330"/>
      <c r="B790" s="1090"/>
      <c r="C790" s="1091"/>
      <c r="D790" s="1091"/>
      <c r="E790" s="1091"/>
      <c r="F790" s="1091"/>
      <c r="G790" s="313"/>
      <c r="H790" s="1092"/>
      <c r="I790" s="1092"/>
      <c r="J790" s="1092"/>
      <c r="K790" s="1092"/>
      <c r="L790" s="1093"/>
    </row>
    <row r="791" spans="1:12">
      <c r="A791" s="330"/>
      <c r="B791" s="73"/>
      <c r="C791" s="74"/>
      <c r="D791" s="74"/>
      <c r="E791" s="74"/>
      <c r="F791" s="75"/>
      <c r="G791" s="313"/>
      <c r="H791" s="73"/>
      <c r="I791" s="74"/>
      <c r="J791" s="74"/>
      <c r="K791" s="74"/>
      <c r="L791" s="75"/>
    </row>
    <row r="792" spans="1:12">
      <c r="A792" s="330"/>
      <c r="B792" s="76" t="s">
        <v>384</v>
      </c>
      <c r="C792" s="313"/>
      <c r="D792" s="313"/>
      <c r="E792" s="313"/>
      <c r="F792" s="13"/>
      <c r="G792" s="313"/>
      <c r="H792" s="76" t="s">
        <v>384</v>
      </c>
      <c r="I792" s="313"/>
      <c r="J792" s="313"/>
      <c r="K792" s="313"/>
      <c r="L792" s="13"/>
    </row>
    <row r="793" spans="1:12">
      <c r="A793" s="330"/>
      <c r="B793" s="12"/>
      <c r="C793" s="313"/>
      <c r="D793" s="313"/>
      <c r="E793" s="313"/>
      <c r="F793" s="13"/>
      <c r="G793" s="313"/>
      <c r="H793" s="12"/>
      <c r="I793" s="313"/>
      <c r="J793" s="313"/>
      <c r="K793" s="313"/>
      <c r="L793" s="13"/>
    </row>
    <row r="794" spans="1:12">
      <c r="A794" s="330"/>
      <c r="B794" s="76" t="s">
        <v>385</v>
      </c>
      <c r="C794" s="313"/>
      <c r="D794" s="313"/>
      <c r="E794" s="313"/>
      <c r="F794" s="13"/>
      <c r="G794" s="313"/>
      <c r="H794" s="76" t="s">
        <v>385</v>
      </c>
      <c r="I794" s="313"/>
      <c r="J794" s="313"/>
      <c r="K794" s="313"/>
      <c r="L794" s="13"/>
    </row>
    <row r="795" spans="1:12" ht="25.5" customHeight="1" thickBot="1">
      <c r="A795" s="330"/>
      <c r="B795" s="24"/>
      <c r="C795" s="22"/>
      <c r="D795" s="22"/>
      <c r="E795" s="22"/>
      <c r="F795" s="23"/>
      <c r="G795" s="313"/>
      <c r="H795" s="24"/>
      <c r="I795" s="22"/>
      <c r="J795" s="22"/>
      <c r="K795" s="22"/>
      <c r="L795" s="23"/>
    </row>
    <row r="796" spans="1:12" ht="25.5" customHeight="1">
      <c r="A796" s="330"/>
      <c r="B796" s="12"/>
      <c r="C796" s="313"/>
      <c r="D796" s="313"/>
      <c r="E796" s="313"/>
      <c r="F796" s="313"/>
      <c r="G796" s="313"/>
      <c r="H796" s="313"/>
      <c r="I796" s="313"/>
      <c r="J796" s="313" t="s">
        <v>111</v>
      </c>
      <c r="K796" s="313"/>
      <c r="L796" s="13"/>
    </row>
    <row r="797" spans="1:12" ht="25.5" customHeight="1">
      <c r="A797" s="330"/>
      <c r="B797" s="1094" t="s">
        <v>112</v>
      </c>
      <c r="C797" s="1095"/>
      <c r="D797" s="1095"/>
      <c r="E797" s="1095"/>
      <c r="F797" s="1095"/>
      <c r="G797" s="313"/>
      <c r="H797" s="1095" t="s">
        <v>4</v>
      </c>
      <c r="I797" s="1095"/>
      <c r="J797" s="1095"/>
      <c r="K797" s="1095"/>
      <c r="L797" s="1096"/>
    </row>
    <row r="798" spans="1:12" ht="25.5" customHeight="1" thickBot="1">
      <c r="A798" s="330"/>
      <c r="B798" s="12"/>
      <c r="C798" s="313"/>
      <c r="D798" s="313"/>
      <c r="E798" s="313"/>
      <c r="F798" s="313"/>
      <c r="G798" s="313"/>
      <c r="H798" s="313"/>
      <c r="I798" s="313"/>
      <c r="J798" s="313"/>
      <c r="K798" s="313"/>
      <c r="L798" s="13"/>
    </row>
    <row r="799" spans="1:12" ht="25.5" customHeight="1">
      <c r="A799" s="330"/>
      <c r="B799" s="73"/>
      <c r="C799" s="74"/>
      <c r="D799" s="74"/>
      <c r="E799" s="74"/>
      <c r="F799" s="75"/>
      <c r="G799" s="313"/>
      <c r="H799" s="77"/>
      <c r="I799" s="78"/>
      <c r="J799" s="78"/>
      <c r="K799" s="78"/>
      <c r="L799" s="79"/>
    </row>
    <row r="800" spans="1:12" ht="25.5" customHeight="1">
      <c r="A800" s="330"/>
      <c r="B800" s="12"/>
      <c r="C800" s="313"/>
      <c r="D800" s="313"/>
      <c r="E800" s="313"/>
      <c r="F800" s="13"/>
      <c r="G800" s="313"/>
      <c r="H800" s="76" t="s">
        <v>522</v>
      </c>
      <c r="I800" s="316"/>
      <c r="J800" s="316"/>
      <c r="K800" s="316"/>
      <c r="L800" s="80"/>
    </row>
    <row r="801" spans="1:12" ht="25.5" customHeight="1">
      <c r="A801" s="330"/>
      <c r="B801" s="76" t="s">
        <v>374</v>
      </c>
      <c r="C801" s="313"/>
      <c r="D801" s="313"/>
      <c r="E801" s="313"/>
      <c r="F801" s="13"/>
      <c r="G801" s="313"/>
      <c r="H801" s="76"/>
      <c r="I801" s="316"/>
      <c r="J801" s="316"/>
      <c r="K801" s="316"/>
      <c r="L801" s="80"/>
    </row>
    <row r="802" spans="1:12" ht="25.5" customHeight="1">
      <c r="A802" s="330"/>
      <c r="B802" s="12"/>
      <c r="C802" s="313"/>
      <c r="D802" s="313"/>
      <c r="E802" s="313"/>
      <c r="F802" s="13"/>
      <c r="G802" s="313"/>
      <c r="H802" s="76" t="s">
        <v>494</v>
      </c>
      <c r="I802" s="316"/>
      <c r="J802" s="316"/>
      <c r="K802" s="316"/>
      <c r="L802" s="80"/>
    </row>
    <row r="803" spans="1:12" ht="25.5" customHeight="1" thickBot="1">
      <c r="A803" s="330"/>
      <c r="B803" s="24"/>
      <c r="C803" s="22"/>
      <c r="D803" s="22"/>
      <c r="E803" s="22"/>
      <c r="F803" s="23"/>
      <c r="G803" s="313"/>
      <c r="H803" s="76"/>
      <c r="I803" s="316"/>
      <c r="J803" s="316"/>
      <c r="K803" s="316"/>
      <c r="L803" s="80"/>
    </row>
    <row r="804" spans="1:12" ht="25.5" customHeight="1">
      <c r="A804" s="330"/>
      <c r="B804" s="1068" t="s">
        <v>113</v>
      </c>
      <c r="C804" s="1069"/>
      <c r="D804" s="1069"/>
      <c r="E804" s="1069"/>
      <c r="F804" s="1069"/>
      <c r="G804" s="1097"/>
      <c r="H804" s="1098" t="str">
        <f>'0422Master'!B31</f>
        <v>Uma  Mahesh P</v>
      </c>
      <c r="I804" s="1099"/>
      <c r="J804" s="1099"/>
      <c r="K804" s="1099"/>
      <c r="L804" s="1100"/>
    </row>
    <row r="805" spans="1:12" ht="25.5" customHeight="1" thickBot="1">
      <c r="A805" s="330"/>
      <c r="B805" s="727"/>
      <c r="C805" s="728"/>
      <c r="D805" s="728"/>
      <c r="E805" s="728"/>
      <c r="F805" s="728"/>
      <c r="G805" s="730"/>
      <c r="H805" s="1101" t="str">
        <f>'0422Master'!G31</f>
        <v xml:space="preserve"> D.NO: 1-1 , PENTAKOTA VARI STREET , CHUCHUKONDA (VILLAGE),MUNAGAPAKA (MANDAL),VISHAKAPATNAM(DISTRICT),PIN CODE:531055</v>
      </c>
      <c r="I805" s="1102"/>
      <c r="J805" s="1102"/>
      <c r="K805" s="1102"/>
      <c r="L805" s="1103"/>
    </row>
    <row r="806" spans="1:12" ht="32.25" customHeight="1">
      <c r="A806" s="330"/>
      <c r="B806" s="1072" t="s">
        <v>114</v>
      </c>
      <c r="C806" s="1073"/>
      <c r="D806" s="1073"/>
      <c r="E806" s="1073"/>
      <c r="F806" s="1073"/>
      <c r="G806" s="1073"/>
      <c r="H806" s="1074">
        <v>70</v>
      </c>
      <c r="I806" s="1075"/>
      <c r="J806" s="1075"/>
      <c r="K806" s="1075"/>
      <c r="L806" s="1076"/>
    </row>
    <row r="807" spans="1:12" ht="25.5" customHeight="1">
      <c r="A807" s="330"/>
      <c r="B807" s="1068" t="s">
        <v>115</v>
      </c>
      <c r="C807" s="1069"/>
      <c r="D807" s="1069"/>
      <c r="E807" s="1069"/>
      <c r="F807" s="1069"/>
      <c r="G807" s="1069"/>
      <c r="H807" s="1077" t="str">
        <f>'0422Master'!F31</f>
        <v>SAP Basis consultant</v>
      </c>
      <c r="I807" s="1070"/>
      <c r="J807" s="1070"/>
      <c r="K807" s="1070"/>
      <c r="L807" s="1071"/>
    </row>
    <row r="808" spans="1:12" ht="25.5" customHeight="1">
      <c r="A808" s="330"/>
      <c r="B808" s="1068" t="s">
        <v>116</v>
      </c>
      <c r="C808" s="1069"/>
      <c r="D808" s="1069"/>
      <c r="E808" s="1069"/>
      <c r="F808" s="1069"/>
      <c r="G808" s="1069"/>
      <c r="H808" s="1078" t="str">
        <f>'0422Master'!N31</f>
        <v>10/2/2022</v>
      </c>
      <c r="I808" s="1079"/>
      <c r="J808" s="1079"/>
      <c r="K808" s="1079"/>
      <c r="L808" s="1080"/>
    </row>
    <row r="809" spans="1:12" ht="25.5" customHeight="1">
      <c r="A809" s="330"/>
      <c r="B809" s="332" t="s">
        <v>117</v>
      </c>
      <c r="C809" s="86"/>
      <c r="D809" s="86"/>
      <c r="E809" s="86"/>
      <c r="F809" s="86"/>
      <c r="G809" s="86"/>
      <c r="H809" s="735"/>
      <c r="I809" s="88"/>
      <c r="J809" s="331">
        <f>'0422Master'!T757</f>
        <v>0</v>
      </c>
      <c r="K809" s="733"/>
      <c r="L809" s="734"/>
    </row>
    <row r="810" spans="1:12" ht="25.5" customHeight="1">
      <c r="A810" s="330"/>
      <c r="B810" s="332" t="s">
        <v>118</v>
      </c>
      <c r="C810" s="86"/>
      <c r="D810" s="86"/>
      <c r="E810" s="86"/>
      <c r="F810" s="86"/>
      <c r="G810" s="367"/>
      <c r="H810" s="91"/>
      <c r="I810" s="92"/>
      <c r="J810" s="331" t="str">
        <f>'0422Master'!S31</f>
        <v>101792969226</v>
      </c>
      <c r="K810" s="92"/>
      <c r="L810" s="93"/>
    </row>
    <row r="811" spans="1:12" ht="30.75" customHeight="1">
      <c r="A811" s="330"/>
      <c r="B811" s="1081" t="s">
        <v>119</v>
      </c>
      <c r="C811" s="1082"/>
      <c r="D811" s="1082"/>
      <c r="E811" s="1082"/>
      <c r="F811" s="1082"/>
      <c r="G811" s="1082"/>
      <c r="H811" s="1074">
        <f>'0422Master'!Y31</f>
        <v>38567</v>
      </c>
      <c r="I811" s="1075"/>
      <c r="J811" s="1075"/>
      <c r="K811" s="1075"/>
      <c r="L811" s="1076"/>
    </row>
    <row r="812" spans="1:12" ht="25.5" customHeight="1">
      <c r="A812" s="330"/>
      <c r="B812" s="1068" t="s">
        <v>120</v>
      </c>
      <c r="C812" s="1069"/>
      <c r="D812" s="1069"/>
      <c r="E812" s="1069"/>
      <c r="F812" s="1069"/>
      <c r="G812" s="1069"/>
      <c r="H812" s="1083">
        <f>'0422Master'!D10</f>
        <v>44652</v>
      </c>
      <c r="I812" s="1070"/>
      <c r="J812" s="1070"/>
      <c r="K812" s="1070"/>
      <c r="L812" s="1071"/>
    </row>
    <row r="813" spans="1:12" ht="25.5" customHeight="1">
      <c r="A813" s="330"/>
      <c r="B813" s="1068" t="s">
        <v>121</v>
      </c>
      <c r="C813" s="1069"/>
      <c r="D813" s="1069"/>
      <c r="E813" s="1069"/>
      <c r="F813" s="1069"/>
      <c r="G813" s="1069"/>
      <c r="H813" s="1070" t="s">
        <v>122</v>
      </c>
      <c r="I813" s="1070"/>
      <c r="J813" s="1070"/>
      <c r="K813" s="1070"/>
      <c r="L813" s="1071"/>
    </row>
    <row r="814" spans="1:12" ht="25.5" customHeight="1">
      <c r="A814" s="330"/>
      <c r="B814" s="332" t="s">
        <v>123</v>
      </c>
      <c r="C814" s="86"/>
      <c r="D814" s="86"/>
      <c r="E814" s="86"/>
      <c r="F814" s="86"/>
      <c r="G814" s="367"/>
      <c r="H814" s="735"/>
      <c r="I814" s="733"/>
      <c r="J814" s="95">
        <f>'0422Master'!W31</f>
        <v>29</v>
      </c>
      <c r="K814" s="733"/>
      <c r="L814" s="734"/>
    </row>
    <row r="815" spans="1:12" ht="25.5" customHeight="1">
      <c r="A815" s="330"/>
      <c r="B815" s="332" t="s">
        <v>124</v>
      </c>
      <c r="C815" s="86"/>
      <c r="D815" s="86"/>
      <c r="E815" s="86"/>
      <c r="F815" s="86"/>
      <c r="G815" s="367"/>
      <c r="H815" s="735"/>
      <c r="I815" s="733"/>
      <c r="J815" s="733" t="s">
        <v>37</v>
      </c>
      <c r="K815" s="733"/>
      <c r="L815" s="734"/>
    </row>
    <row r="816" spans="1:12" ht="25.5" customHeight="1">
      <c r="A816" s="330"/>
      <c r="B816" s="332" t="s">
        <v>125</v>
      </c>
      <c r="C816" s="86"/>
      <c r="D816" s="86"/>
      <c r="E816" s="86"/>
      <c r="F816" s="86"/>
      <c r="G816" s="367"/>
      <c r="H816" s="735"/>
      <c r="I816" s="733"/>
      <c r="J816" s="95">
        <v>0</v>
      </c>
      <c r="K816" s="733"/>
      <c r="L816" s="734"/>
    </row>
    <row r="817" spans="1:12" ht="25.5" customHeight="1">
      <c r="A817" s="330"/>
      <c r="B817" s="332" t="s">
        <v>126</v>
      </c>
      <c r="C817" s="86"/>
      <c r="D817" s="86"/>
      <c r="E817" s="86"/>
      <c r="F817" s="86"/>
      <c r="G817" s="367"/>
      <c r="H817" s="735"/>
      <c r="I817" s="733"/>
      <c r="J817" s="95">
        <v>0</v>
      </c>
      <c r="K817" s="733"/>
      <c r="L817" s="734"/>
    </row>
    <row r="818" spans="1:12" ht="25.5" customHeight="1">
      <c r="A818" s="330"/>
      <c r="B818" s="332" t="s">
        <v>127</v>
      </c>
      <c r="C818" s="86"/>
      <c r="D818" s="86"/>
      <c r="E818" s="86"/>
      <c r="F818" s="86"/>
      <c r="G818" s="367"/>
      <c r="H818" s="735"/>
      <c r="I818" s="733"/>
      <c r="J818" s="586">
        <f>'0422Master'!AM31</f>
        <v>41889.056165999995</v>
      </c>
      <c r="K818" s="733"/>
      <c r="L818" s="734" t="s">
        <v>35</v>
      </c>
    </row>
    <row r="819" spans="1:12" ht="25.5" customHeight="1">
      <c r="A819" s="330"/>
      <c r="B819" s="332" t="s">
        <v>128</v>
      </c>
      <c r="C819" s="86"/>
      <c r="D819" s="729" t="s">
        <v>32</v>
      </c>
      <c r="E819" s="731">
        <f>'0422Master'!AO31</f>
        <v>1800</v>
      </c>
      <c r="F819" s="729" t="s">
        <v>31</v>
      </c>
      <c r="G819" s="731">
        <f>'0422Master'!AN757</f>
        <v>0</v>
      </c>
      <c r="H819" s="729" t="s">
        <v>33</v>
      </c>
      <c r="I819" s="731">
        <f>'0422Master'!AP31</f>
        <v>200</v>
      </c>
      <c r="J819" s="729" t="s">
        <v>34</v>
      </c>
      <c r="K819" s="731">
        <f>'0422Master'!AQ31</f>
        <v>0</v>
      </c>
      <c r="L819" s="100">
        <f>'0422Master'!AR31</f>
        <v>283</v>
      </c>
    </row>
    <row r="820" spans="1:12" ht="25.5" customHeight="1">
      <c r="A820" s="330"/>
      <c r="B820" s="332" t="s">
        <v>129</v>
      </c>
      <c r="C820" s="86"/>
      <c r="D820" s="86"/>
      <c r="E820" s="86"/>
      <c r="F820" s="86"/>
      <c r="G820" s="367"/>
      <c r="H820" s="735"/>
      <c r="I820" s="733"/>
      <c r="J820" s="95">
        <f>J818-E819-I819-K819-L819</f>
        <v>39606.056165999995</v>
      </c>
      <c r="K820" s="733"/>
      <c r="L820" s="734"/>
    </row>
    <row r="821" spans="1:12" ht="25.5" customHeight="1">
      <c r="A821" s="330"/>
      <c r="B821" s="333" t="s">
        <v>130</v>
      </c>
      <c r="C821" s="334"/>
      <c r="D821" s="334"/>
      <c r="E821" s="334"/>
      <c r="F821" s="334"/>
      <c r="G821" s="335"/>
      <c r="H821" s="336"/>
      <c r="I821" s="337"/>
      <c r="J821" s="337"/>
      <c r="K821" s="337"/>
      <c r="L821" s="97"/>
    </row>
    <row r="822" spans="1:12" ht="25.5" customHeight="1">
      <c r="A822" s="313"/>
      <c r="B822" s="358" t="s">
        <v>131</v>
      </c>
      <c r="C822" s="316"/>
      <c r="D822" s="316"/>
      <c r="E822" s="316"/>
      <c r="F822" s="316"/>
      <c r="G822" s="359"/>
      <c r="H822" s="70"/>
      <c r="I822" s="313"/>
      <c r="J822" s="313"/>
      <c r="K822" s="313"/>
      <c r="L822" s="13"/>
    </row>
    <row r="823" spans="1:12" ht="25.5" customHeight="1">
      <c r="A823" s="16"/>
      <c r="B823" s="587"/>
      <c r="C823" s="16"/>
      <c r="D823" s="16"/>
      <c r="E823" s="16"/>
      <c r="F823" s="16"/>
      <c r="G823" s="16"/>
      <c r="H823" s="16"/>
      <c r="I823" s="16"/>
      <c r="J823" s="16"/>
      <c r="K823" s="16"/>
      <c r="L823" s="98"/>
    </row>
    <row r="824" spans="1:12">
      <c r="A824" s="8"/>
      <c r="B824" s="8"/>
      <c r="C824" s="8"/>
      <c r="D824" s="8"/>
      <c r="E824" s="8"/>
      <c r="F824" s="8"/>
      <c r="G824" s="8"/>
      <c r="H824" s="8"/>
      <c r="I824" s="8"/>
      <c r="J824" s="8"/>
      <c r="K824" s="8"/>
      <c r="L824" s="8"/>
    </row>
    <row r="825" spans="1:12">
      <c r="A825" s="8"/>
      <c r="B825" s="8"/>
      <c r="C825" s="8"/>
      <c r="D825" s="8"/>
      <c r="E825" s="8"/>
      <c r="F825" s="8"/>
      <c r="G825" s="8"/>
      <c r="H825" s="8"/>
      <c r="I825" s="8"/>
      <c r="J825" s="8"/>
      <c r="K825" s="8"/>
      <c r="L825" s="8"/>
    </row>
    <row r="826" spans="1:12">
      <c r="A826" s="8"/>
      <c r="B826" s="8"/>
      <c r="C826" s="8"/>
      <c r="D826" s="8"/>
      <c r="E826" s="8"/>
      <c r="F826" s="8"/>
      <c r="G826" s="8"/>
      <c r="H826" s="8"/>
      <c r="I826" s="8"/>
      <c r="J826" s="8"/>
      <c r="K826" s="8"/>
      <c r="L826" s="8"/>
    </row>
    <row r="827" spans="1:12">
      <c r="A827" s="8"/>
      <c r="B827" s="8"/>
      <c r="C827" s="8"/>
      <c r="D827" s="8"/>
      <c r="E827" s="8"/>
      <c r="F827" s="8"/>
      <c r="G827" s="8"/>
      <c r="H827" s="8"/>
      <c r="I827" s="8"/>
      <c r="J827" s="8"/>
      <c r="K827" s="8"/>
      <c r="L827" s="8"/>
    </row>
    <row r="828" spans="1:12">
      <c r="A828" s="8"/>
      <c r="B828" s="8"/>
      <c r="C828" s="8"/>
      <c r="D828" s="8"/>
      <c r="E828" s="8"/>
      <c r="F828" s="8"/>
      <c r="G828" s="8"/>
      <c r="H828" s="8"/>
      <c r="I828" s="8"/>
      <c r="J828" s="8"/>
      <c r="K828" s="8"/>
      <c r="L828" s="8"/>
    </row>
    <row r="829" spans="1:12">
      <c r="A829" s="8"/>
      <c r="B829" s="8"/>
      <c r="C829" s="8"/>
      <c r="D829" s="8"/>
      <c r="E829" s="8"/>
      <c r="F829" s="8"/>
      <c r="G829" s="8"/>
      <c r="H829" s="8"/>
      <c r="I829" s="8"/>
      <c r="J829" s="8"/>
      <c r="K829" s="8"/>
      <c r="L829" s="8"/>
    </row>
    <row r="830" spans="1:12">
      <c r="A830" s="8"/>
      <c r="B830" s="8"/>
      <c r="C830" s="8"/>
      <c r="D830" s="8"/>
      <c r="E830" s="8"/>
      <c r="F830" s="8"/>
      <c r="G830" s="8"/>
      <c r="H830" s="8"/>
      <c r="I830" s="8"/>
      <c r="J830" s="8"/>
      <c r="K830" s="8"/>
      <c r="L830" s="8"/>
    </row>
    <row r="831" spans="1:12">
      <c r="A831" s="8"/>
      <c r="B831" s="8"/>
      <c r="C831" s="8"/>
      <c r="D831" s="8"/>
      <c r="E831" s="8"/>
      <c r="F831" s="8"/>
      <c r="G831" s="8"/>
      <c r="H831" s="8"/>
      <c r="I831" s="8"/>
      <c r="J831" s="8"/>
      <c r="K831" s="8"/>
      <c r="L831" s="8"/>
    </row>
    <row r="832" spans="1:12">
      <c r="A832" s="8"/>
      <c r="B832" s="8"/>
      <c r="C832" s="8"/>
      <c r="D832" s="8"/>
      <c r="E832" s="8"/>
      <c r="F832" s="8"/>
      <c r="G832" s="8"/>
      <c r="H832" s="8"/>
      <c r="I832" s="8"/>
      <c r="J832" s="8"/>
      <c r="K832" s="8"/>
      <c r="L832" s="8"/>
    </row>
    <row r="833" spans="1:12">
      <c r="A833" s="8"/>
      <c r="B833" s="8"/>
      <c r="C833" s="8"/>
      <c r="D833" s="8"/>
      <c r="E833" s="8"/>
      <c r="F833" s="8"/>
      <c r="G833" s="8"/>
      <c r="H833" s="8"/>
      <c r="I833" s="8"/>
      <c r="J833" s="8"/>
      <c r="K833" s="8"/>
      <c r="L833" s="8"/>
    </row>
    <row r="834" spans="1:12">
      <c r="A834" s="8"/>
      <c r="B834" s="8"/>
      <c r="C834" s="8"/>
      <c r="D834" s="8"/>
      <c r="E834" s="8"/>
      <c r="F834" s="8"/>
      <c r="G834" s="8"/>
      <c r="H834" s="8"/>
      <c r="I834" s="8"/>
      <c r="J834" s="8"/>
      <c r="K834" s="8"/>
      <c r="L834" s="8"/>
    </row>
    <row r="835" spans="1:12" ht="15.75" thickBot="1">
      <c r="A835" s="330"/>
      <c r="B835" s="330"/>
      <c r="C835" s="330"/>
      <c r="D835" s="330"/>
      <c r="E835" s="330"/>
      <c r="F835" s="330"/>
      <c r="G835" s="330"/>
      <c r="H835" s="330"/>
      <c r="I835" s="330"/>
      <c r="J835" s="330"/>
      <c r="K835" s="330"/>
      <c r="L835" s="330"/>
    </row>
    <row r="836" spans="1:12" ht="32.25">
      <c r="A836" s="330"/>
      <c r="B836" s="1104" t="s">
        <v>107</v>
      </c>
      <c r="C836" s="1105"/>
      <c r="D836" s="1105"/>
      <c r="E836" s="1105"/>
      <c r="F836" s="1105"/>
      <c r="G836" s="1105"/>
      <c r="H836" s="1105"/>
      <c r="I836" s="1105"/>
      <c r="J836" s="1105"/>
      <c r="K836" s="1105"/>
      <c r="L836" s="1106"/>
    </row>
    <row r="837" spans="1:12" ht="23.25">
      <c r="A837" s="330"/>
      <c r="B837" s="1084" t="s">
        <v>108</v>
      </c>
      <c r="C837" s="1085"/>
      <c r="D837" s="1085"/>
      <c r="E837" s="1085"/>
      <c r="F837" s="1085"/>
      <c r="G837" s="1085"/>
      <c r="H837" s="1085"/>
      <c r="I837" s="1085"/>
      <c r="J837" s="1085"/>
      <c r="K837" s="1085"/>
      <c r="L837" s="1086"/>
    </row>
    <row r="838" spans="1:12" ht="16.5" thickBot="1">
      <c r="A838" s="330"/>
      <c r="B838" s="1087" t="s">
        <v>382</v>
      </c>
      <c r="C838" s="1088"/>
      <c r="D838" s="1088"/>
      <c r="E838" s="1088"/>
      <c r="F838" s="1088"/>
      <c r="G838" s="1088"/>
      <c r="H838" s="1088"/>
      <c r="I838" s="1088"/>
      <c r="J838" s="1088"/>
      <c r="K838" s="1088"/>
      <c r="L838" s="1089"/>
    </row>
    <row r="839" spans="1:12" ht="24.75" customHeight="1">
      <c r="A839" s="330"/>
      <c r="B839" s="1090" t="s">
        <v>109</v>
      </c>
      <c r="C839" s="1091"/>
      <c r="D839" s="1091"/>
      <c r="E839" s="1091"/>
      <c r="F839" s="1091"/>
      <c r="G839" s="313"/>
      <c r="H839" s="1092" t="s">
        <v>110</v>
      </c>
      <c r="I839" s="1092"/>
      <c r="J839" s="1092"/>
      <c r="K839" s="1092"/>
      <c r="L839" s="1093"/>
    </row>
    <row r="840" spans="1:12" ht="24.75" customHeight="1" thickBot="1">
      <c r="A840" s="330"/>
      <c r="B840" s="1090"/>
      <c r="C840" s="1091"/>
      <c r="D840" s="1091"/>
      <c r="E840" s="1091"/>
      <c r="F840" s="1091"/>
      <c r="G840" s="313"/>
      <c r="H840" s="1092"/>
      <c r="I840" s="1092"/>
      <c r="J840" s="1092"/>
      <c r="K840" s="1092"/>
      <c r="L840" s="1093"/>
    </row>
    <row r="841" spans="1:12" ht="24.75" customHeight="1">
      <c r="A841" s="330"/>
      <c r="B841" s="73"/>
      <c r="C841" s="74"/>
      <c r="D841" s="74"/>
      <c r="E841" s="74"/>
      <c r="F841" s="75"/>
      <c r="G841" s="313"/>
      <c r="H841" s="73"/>
      <c r="I841" s="74"/>
      <c r="J841" s="74"/>
      <c r="K841" s="74"/>
      <c r="L841" s="75"/>
    </row>
    <row r="842" spans="1:12" ht="24.75" customHeight="1">
      <c r="A842" s="330"/>
      <c r="B842" s="76" t="s">
        <v>384</v>
      </c>
      <c r="C842" s="313"/>
      <c r="D842" s="313"/>
      <c r="E842" s="313"/>
      <c r="F842" s="13"/>
      <c r="G842" s="313"/>
      <c r="H842" s="76" t="s">
        <v>384</v>
      </c>
      <c r="I842" s="313"/>
      <c r="J842" s="313"/>
      <c r="K842" s="313"/>
      <c r="L842" s="13"/>
    </row>
    <row r="843" spans="1:12" ht="24.75" customHeight="1">
      <c r="A843" s="330"/>
      <c r="B843" s="12"/>
      <c r="C843" s="313"/>
      <c r="D843" s="313"/>
      <c r="E843" s="313"/>
      <c r="F843" s="13"/>
      <c r="G843" s="313"/>
      <c r="H843" s="12"/>
      <c r="I843" s="313"/>
      <c r="J843" s="313"/>
      <c r="K843" s="313"/>
      <c r="L843" s="13"/>
    </row>
    <row r="844" spans="1:12" ht="24.75" customHeight="1">
      <c r="A844" s="330"/>
      <c r="B844" s="76" t="s">
        <v>385</v>
      </c>
      <c r="C844" s="313"/>
      <c r="D844" s="313"/>
      <c r="E844" s="313"/>
      <c r="F844" s="13"/>
      <c r="G844" s="313"/>
      <c r="H844" s="76" t="s">
        <v>385</v>
      </c>
      <c r="I844" s="313"/>
      <c r="J844" s="313"/>
      <c r="K844" s="313"/>
      <c r="L844" s="13"/>
    </row>
    <row r="845" spans="1:12" ht="24.75" customHeight="1" thickBot="1">
      <c r="A845" s="330"/>
      <c r="B845" s="24"/>
      <c r="C845" s="22"/>
      <c r="D845" s="22"/>
      <c r="E845" s="22"/>
      <c r="F845" s="23"/>
      <c r="G845" s="313"/>
      <c r="H845" s="24"/>
      <c r="I845" s="22"/>
      <c r="J845" s="22"/>
      <c r="K845" s="22"/>
      <c r="L845" s="23"/>
    </row>
    <row r="846" spans="1:12" ht="24.75" customHeight="1">
      <c r="A846" s="330"/>
      <c r="B846" s="12"/>
      <c r="C846" s="313"/>
      <c r="D846" s="313"/>
      <c r="E846" s="313"/>
      <c r="F846" s="313"/>
      <c r="G846" s="313"/>
      <c r="H846" s="313"/>
      <c r="I846" s="313"/>
      <c r="J846" s="313" t="s">
        <v>111</v>
      </c>
      <c r="K846" s="313"/>
      <c r="L846" s="13"/>
    </row>
    <row r="847" spans="1:12" ht="24.75" customHeight="1">
      <c r="A847" s="330"/>
      <c r="B847" s="1094" t="s">
        <v>112</v>
      </c>
      <c r="C847" s="1095"/>
      <c r="D847" s="1095"/>
      <c r="E847" s="1095"/>
      <c r="F847" s="1095"/>
      <c r="G847" s="313"/>
      <c r="H847" s="1095" t="s">
        <v>4</v>
      </c>
      <c r="I847" s="1095"/>
      <c r="J847" s="1095"/>
      <c r="K847" s="1095"/>
      <c r="L847" s="1096"/>
    </row>
    <row r="848" spans="1:12" ht="24.75" customHeight="1" thickBot="1">
      <c r="A848" s="330"/>
      <c r="B848" s="12"/>
      <c r="C848" s="313"/>
      <c r="D848" s="313"/>
      <c r="E848" s="313"/>
      <c r="F848" s="313"/>
      <c r="G848" s="313"/>
      <c r="H848" s="313"/>
      <c r="I848" s="313"/>
      <c r="J848" s="313"/>
      <c r="K848" s="313"/>
      <c r="L848" s="13"/>
    </row>
    <row r="849" spans="1:12" ht="24.75" customHeight="1">
      <c r="A849" s="330"/>
      <c r="B849" s="73"/>
      <c r="C849" s="74"/>
      <c r="D849" s="74"/>
      <c r="E849" s="74"/>
      <c r="F849" s="75"/>
      <c r="G849" s="313"/>
      <c r="H849" s="77"/>
      <c r="I849" s="78"/>
      <c r="J849" s="78"/>
      <c r="K849" s="78"/>
      <c r="L849" s="79"/>
    </row>
    <row r="850" spans="1:12" ht="24.75" customHeight="1">
      <c r="A850" s="330"/>
      <c r="B850" s="12"/>
      <c r="C850" s="313"/>
      <c r="D850" s="313"/>
      <c r="E850" s="313"/>
      <c r="F850" s="13"/>
      <c r="G850" s="313"/>
      <c r="H850" s="76" t="s">
        <v>522</v>
      </c>
      <c r="I850" s="316"/>
      <c r="J850" s="316"/>
      <c r="K850" s="316"/>
      <c r="L850" s="80"/>
    </row>
    <row r="851" spans="1:12" ht="24.75" customHeight="1">
      <c r="A851" s="330"/>
      <c r="B851" s="76" t="s">
        <v>374</v>
      </c>
      <c r="C851" s="313"/>
      <c r="D851" s="313"/>
      <c r="E851" s="313"/>
      <c r="F851" s="13"/>
      <c r="G851" s="313"/>
      <c r="H851" s="76"/>
      <c r="I851" s="316"/>
      <c r="J851" s="316"/>
      <c r="K851" s="316"/>
      <c r="L851" s="80"/>
    </row>
    <row r="852" spans="1:12" ht="24.75" customHeight="1">
      <c r="A852" s="330"/>
      <c r="B852" s="12"/>
      <c r="C852" s="313"/>
      <c r="D852" s="313"/>
      <c r="E852" s="313"/>
      <c r="F852" s="13"/>
      <c r="G852" s="313"/>
      <c r="H852" s="76" t="s">
        <v>494</v>
      </c>
      <c r="I852" s="316"/>
      <c r="J852" s="316"/>
      <c r="K852" s="316"/>
      <c r="L852" s="80"/>
    </row>
    <row r="853" spans="1:12" ht="24.75" customHeight="1" thickBot="1">
      <c r="A853" s="330"/>
      <c r="B853" s="24"/>
      <c r="C853" s="22"/>
      <c r="D853" s="22"/>
      <c r="E853" s="22"/>
      <c r="F853" s="23"/>
      <c r="G853" s="313"/>
      <c r="H853" s="76"/>
      <c r="I853" s="316"/>
      <c r="J853" s="316"/>
      <c r="K853" s="316"/>
      <c r="L853" s="80"/>
    </row>
    <row r="854" spans="1:12" ht="24.75" customHeight="1">
      <c r="A854" s="330"/>
      <c r="B854" s="1068" t="s">
        <v>113</v>
      </c>
      <c r="C854" s="1069"/>
      <c r="D854" s="1069"/>
      <c r="E854" s="1069"/>
      <c r="F854" s="1069"/>
      <c r="G854" s="1097"/>
      <c r="H854" s="1098" t="str">
        <f>'0422Master'!B32</f>
        <v>NAGA SAI TEJA NUTHI</v>
      </c>
      <c r="I854" s="1099"/>
      <c r="J854" s="1099"/>
      <c r="K854" s="1099"/>
      <c r="L854" s="1100"/>
    </row>
    <row r="855" spans="1:12" ht="24.75" customHeight="1" thickBot="1">
      <c r="A855" s="330"/>
      <c r="B855" s="727"/>
      <c r="C855" s="728"/>
      <c r="D855" s="728"/>
      <c r="E855" s="728"/>
      <c r="F855" s="728"/>
      <c r="G855" s="730"/>
      <c r="H855" s="1101" t="str">
        <f>'0422Master'!G32</f>
        <v>Hno 15-21-237/1,Flat no G2,sattenapally towers,Balaji Nagar,Kukatpally,Hyderabad,500072</v>
      </c>
      <c r="I855" s="1102"/>
      <c r="J855" s="1102"/>
      <c r="K855" s="1102"/>
      <c r="L855" s="1103"/>
    </row>
    <row r="856" spans="1:12" ht="37.5" customHeight="1">
      <c r="A856" s="330"/>
      <c r="B856" s="1072" t="s">
        <v>114</v>
      </c>
      <c r="C856" s="1073"/>
      <c r="D856" s="1073"/>
      <c r="E856" s="1073"/>
      <c r="F856" s="1073"/>
      <c r="G856" s="1073"/>
      <c r="H856" s="1074">
        <v>74</v>
      </c>
      <c r="I856" s="1075"/>
      <c r="J856" s="1075"/>
      <c r="K856" s="1075"/>
      <c r="L856" s="1076"/>
    </row>
    <row r="857" spans="1:12" ht="24.75" customHeight="1">
      <c r="A857" s="330"/>
      <c r="B857" s="1068" t="s">
        <v>115</v>
      </c>
      <c r="C857" s="1069"/>
      <c r="D857" s="1069"/>
      <c r="E857" s="1069"/>
      <c r="F857" s="1069"/>
      <c r="G857" s="1069"/>
      <c r="H857" s="1077" t="str">
        <f>'0422Master'!F32</f>
        <v>SAP Basis consultant</v>
      </c>
      <c r="I857" s="1070"/>
      <c r="J857" s="1070"/>
      <c r="K857" s="1070"/>
      <c r="L857" s="1071"/>
    </row>
    <row r="858" spans="1:12" ht="24.75" customHeight="1">
      <c r="A858" s="330"/>
      <c r="B858" s="1068" t="s">
        <v>116</v>
      </c>
      <c r="C858" s="1069"/>
      <c r="D858" s="1069"/>
      <c r="E858" s="1069"/>
      <c r="F858" s="1069"/>
      <c r="G858" s="1069"/>
      <c r="H858" s="1078">
        <f>'0422Master'!N32</f>
        <v>44602</v>
      </c>
      <c r="I858" s="1079"/>
      <c r="J858" s="1079"/>
      <c r="K858" s="1079"/>
      <c r="L858" s="1080"/>
    </row>
    <row r="859" spans="1:12" ht="24.75" customHeight="1">
      <c r="A859" s="330"/>
      <c r="B859" s="332" t="s">
        <v>117</v>
      </c>
      <c r="C859" s="86"/>
      <c r="D859" s="86"/>
      <c r="E859" s="86"/>
      <c r="F859" s="86"/>
      <c r="G859" s="86"/>
      <c r="H859" s="735"/>
      <c r="I859" s="88"/>
      <c r="J859" s="331">
        <f>'0422Master'!T957</f>
        <v>0</v>
      </c>
      <c r="K859" s="733"/>
      <c r="L859" s="734"/>
    </row>
    <row r="860" spans="1:12" ht="24.75" customHeight="1">
      <c r="A860" s="330"/>
      <c r="B860" s="332" t="s">
        <v>118</v>
      </c>
      <c r="C860" s="86"/>
      <c r="D860" s="86"/>
      <c r="E860" s="86"/>
      <c r="F860" s="86"/>
      <c r="G860" s="367"/>
      <c r="H860" s="91"/>
      <c r="I860" s="92"/>
      <c r="J860" s="331" t="str">
        <f>'0422Master'!S32</f>
        <v>101756843175</v>
      </c>
      <c r="K860" s="92"/>
      <c r="L860" s="93"/>
    </row>
    <row r="861" spans="1:12" ht="31.5" customHeight="1">
      <c r="A861" s="330"/>
      <c r="B861" s="1081" t="s">
        <v>119</v>
      </c>
      <c r="C861" s="1082"/>
      <c r="D861" s="1082"/>
      <c r="E861" s="1082"/>
      <c r="F861" s="1082"/>
      <c r="G861" s="1082"/>
      <c r="H861" s="1074">
        <f>'0422Master'!Y32</f>
        <v>43202</v>
      </c>
      <c r="I861" s="1075"/>
      <c r="J861" s="1075"/>
      <c r="K861" s="1075"/>
      <c r="L861" s="1076"/>
    </row>
    <row r="862" spans="1:12" ht="24.75" customHeight="1">
      <c r="A862" s="330"/>
      <c r="B862" s="1068" t="s">
        <v>120</v>
      </c>
      <c r="C862" s="1069"/>
      <c r="D862" s="1069"/>
      <c r="E862" s="1069"/>
      <c r="F862" s="1069"/>
      <c r="G862" s="1069"/>
      <c r="H862" s="1083" t="e">
        <f>#REF!</f>
        <v>#REF!</v>
      </c>
      <c r="I862" s="1070"/>
      <c r="J862" s="1070"/>
      <c r="K862" s="1070"/>
      <c r="L862" s="1071"/>
    </row>
    <row r="863" spans="1:12" ht="24.75" customHeight="1">
      <c r="A863" s="330"/>
      <c r="B863" s="1068" t="s">
        <v>121</v>
      </c>
      <c r="C863" s="1069"/>
      <c r="D863" s="1069"/>
      <c r="E863" s="1069"/>
      <c r="F863" s="1069"/>
      <c r="G863" s="1069"/>
      <c r="H863" s="1070" t="s">
        <v>122</v>
      </c>
      <c r="I863" s="1070"/>
      <c r="J863" s="1070"/>
      <c r="K863" s="1070"/>
      <c r="L863" s="1071"/>
    </row>
    <row r="864" spans="1:12" ht="24.75" customHeight="1">
      <c r="A864" s="330"/>
      <c r="B864" s="332" t="s">
        <v>123</v>
      </c>
      <c r="C864" s="86"/>
      <c r="D864" s="86"/>
      <c r="E864" s="86"/>
      <c r="F864" s="86"/>
      <c r="G864" s="367"/>
      <c r="H864" s="735"/>
      <c r="I864" s="733"/>
      <c r="J864" s="95">
        <f>'0422Master'!W32</f>
        <v>27</v>
      </c>
      <c r="K864" s="733"/>
      <c r="L864" s="734"/>
    </row>
    <row r="865" spans="1:12" ht="24.75" customHeight="1">
      <c r="A865" s="330"/>
      <c r="B865" s="332" t="s">
        <v>124</v>
      </c>
      <c r="C865" s="86"/>
      <c r="D865" s="86"/>
      <c r="E865" s="86"/>
      <c r="F865" s="86"/>
      <c r="G865" s="367"/>
      <c r="H865" s="735"/>
      <c r="I865" s="733"/>
      <c r="J865" s="733" t="s">
        <v>37</v>
      </c>
      <c r="K865" s="733"/>
      <c r="L865" s="734"/>
    </row>
    <row r="866" spans="1:12" ht="24.75" customHeight="1">
      <c r="A866" s="330"/>
      <c r="B866" s="332" t="s">
        <v>125</v>
      </c>
      <c r="C866" s="86"/>
      <c r="D866" s="86"/>
      <c r="E866" s="86"/>
      <c r="F866" s="86"/>
      <c r="G866" s="367"/>
      <c r="H866" s="735"/>
      <c r="I866" s="733"/>
      <c r="J866" s="95">
        <v>0</v>
      </c>
      <c r="K866" s="733"/>
      <c r="L866" s="734"/>
    </row>
    <row r="867" spans="1:12" ht="24.75" customHeight="1">
      <c r="A867" s="330"/>
      <c r="B867" s="332" t="s">
        <v>126</v>
      </c>
      <c r="C867" s="86"/>
      <c r="D867" s="86"/>
      <c r="E867" s="86"/>
      <c r="F867" s="86"/>
      <c r="G867" s="367"/>
      <c r="H867" s="735"/>
      <c r="I867" s="733"/>
      <c r="J867" s="95">
        <v>0</v>
      </c>
      <c r="K867" s="733"/>
      <c r="L867" s="734"/>
    </row>
    <row r="868" spans="1:12" ht="24.75" customHeight="1">
      <c r="A868" s="330"/>
      <c r="B868" s="332" t="s">
        <v>127</v>
      </c>
      <c r="C868" s="86"/>
      <c r="D868" s="86"/>
      <c r="E868" s="86"/>
      <c r="F868" s="86"/>
      <c r="G868" s="367"/>
      <c r="H868" s="735"/>
      <c r="I868" s="733"/>
      <c r="J868" s="586">
        <f>'0422Master'!AM32</f>
        <v>43615.627747999999</v>
      </c>
      <c r="K868" s="733"/>
      <c r="L868" s="734" t="s">
        <v>35</v>
      </c>
    </row>
    <row r="869" spans="1:12" ht="24.75" customHeight="1">
      <c r="A869" s="330"/>
      <c r="B869" s="332" t="s">
        <v>128</v>
      </c>
      <c r="C869" s="86"/>
      <c r="D869" s="729" t="s">
        <v>32</v>
      </c>
      <c r="E869" s="731">
        <f>'0422Master'!AO32</f>
        <v>1800</v>
      </c>
      <c r="F869" s="729" t="s">
        <v>31</v>
      </c>
      <c r="G869" s="731">
        <f>'0422Master'!AN957</f>
        <v>0</v>
      </c>
      <c r="H869" s="729" t="s">
        <v>33</v>
      </c>
      <c r="I869" s="731">
        <f>'0422Master'!AP32</f>
        <v>200</v>
      </c>
      <c r="J869" s="729" t="s">
        <v>34</v>
      </c>
      <c r="K869" s="731">
        <f>'0422Master'!AQ32</f>
        <v>0</v>
      </c>
      <c r="L869" s="100">
        <f>'0422Master'!AR32</f>
        <v>283</v>
      </c>
    </row>
    <row r="870" spans="1:12" ht="24.75" customHeight="1">
      <c r="A870" s="330"/>
      <c r="B870" s="332" t="s">
        <v>129</v>
      </c>
      <c r="C870" s="86"/>
      <c r="D870" s="86"/>
      <c r="E870" s="86"/>
      <c r="F870" s="86"/>
      <c r="G870" s="367"/>
      <c r="H870" s="735"/>
      <c r="I870" s="733"/>
      <c r="J870" s="95">
        <f>J868-E869-I869-K869-L869</f>
        <v>41332.627747999999</v>
      </c>
      <c r="K870" s="733"/>
      <c r="L870" s="734"/>
    </row>
    <row r="871" spans="1:12" ht="24.75" customHeight="1">
      <c r="A871" s="330"/>
      <c r="B871" s="333" t="s">
        <v>130</v>
      </c>
      <c r="C871" s="334"/>
      <c r="D871" s="334"/>
      <c r="E871" s="334"/>
      <c r="F871" s="334"/>
      <c r="G871" s="335"/>
      <c r="H871" s="336"/>
      <c r="I871" s="337"/>
      <c r="J871" s="337"/>
      <c r="K871" s="337"/>
      <c r="L871" s="97"/>
    </row>
    <row r="872" spans="1:12" ht="24.75" customHeight="1">
      <c r="A872" s="313"/>
      <c r="B872" s="358" t="s">
        <v>131</v>
      </c>
      <c r="C872" s="316"/>
      <c r="D872" s="316"/>
      <c r="E872" s="316"/>
      <c r="F872" s="316"/>
      <c r="G872" s="359"/>
      <c r="H872" s="70"/>
      <c r="I872" s="313"/>
      <c r="J872" s="313"/>
      <c r="K872" s="313"/>
      <c r="L872" s="13"/>
    </row>
    <row r="873" spans="1:12" ht="24.75" customHeight="1">
      <c r="A873" s="16"/>
      <c r="B873" s="587"/>
      <c r="C873" s="16"/>
      <c r="D873" s="16"/>
      <c r="E873" s="16"/>
      <c r="F873" s="16"/>
      <c r="G873" s="16"/>
      <c r="H873" s="16"/>
      <c r="I873" s="16"/>
      <c r="J873" s="16"/>
      <c r="K873" s="16"/>
      <c r="L873" s="98"/>
    </row>
    <row r="874" spans="1:12">
      <c r="A874" s="8"/>
      <c r="B874" s="8"/>
      <c r="C874" s="8"/>
      <c r="D874" s="8"/>
      <c r="E874" s="8"/>
      <c r="F874" s="8"/>
      <c r="G874" s="8"/>
      <c r="H874" s="8"/>
      <c r="I874" s="8"/>
      <c r="J874" s="8"/>
      <c r="K874" s="8"/>
      <c r="L874" s="8"/>
    </row>
    <row r="875" spans="1:12">
      <c r="A875" s="8"/>
      <c r="B875" s="8"/>
      <c r="C875" s="8"/>
      <c r="D875" s="8"/>
      <c r="E875" s="8"/>
      <c r="F875" s="8"/>
      <c r="G875" s="8"/>
      <c r="H875" s="8"/>
      <c r="I875" s="8"/>
      <c r="J875" s="8"/>
      <c r="K875" s="8"/>
      <c r="L875" s="8"/>
    </row>
    <row r="876" spans="1:12">
      <c r="A876" s="8"/>
      <c r="B876" s="8"/>
      <c r="C876" s="8"/>
      <c r="D876" s="8"/>
      <c r="E876" s="8"/>
      <c r="F876" s="8"/>
      <c r="G876" s="8"/>
      <c r="H876" s="8"/>
      <c r="I876" s="8"/>
      <c r="J876" s="8"/>
      <c r="K876" s="8"/>
      <c r="L876" s="8"/>
    </row>
    <row r="877" spans="1:12">
      <c r="A877" s="8"/>
      <c r="B877" s="8"/>
      <c r="C877" s="8"/>
      <c r="D877" s="8"/>
      <c r="E877" s="8"/>
      <c r="F877" s="8"/>
      <c r="G877" s="8"/>
      <c r="H877" s="8"/>
      <c r="I877" s="8"/>
      <c r="J877" s="8"/>
      <c r="K877" s="8"/>
      <c r="L877" s="8"/>
    </row>
    <row r="878" spans="1:12">
      <c r="A878" s="8"/>
      <c r="B878" s="8"/>
      <c r="C878" s="8"/>
      <c r="D878" s="8"/>
      <c r="E878" s="8"/>
      <c r="F878" s="8"/>
      <c r="G878" s="8"/>
      <c r="H878" s="8"/>
      <c r="I878" s="8"/>
      <c r="J878" s="8"/>
      <c r="K878" s="8"/>
      <c r="L878" s="8"/>
    </row>
    <row r="879" spans="1:12">
      <c r="A879" s="8"/>
      <c r="B879" s="8"/>
      <c r="C879" s="8"/>
      <c r="D879" s="8"/>
      <c r="E879" s="8"/>
      <c r="F879" s="8"/>
      <c r="G879" s="8"/>
      <c r="H879" s="8"/>
      <c r="I879" s="8"/>
      <c r="J879" s="8"/>
      <c r="K879" s="8"/>
      <c r="L879" s="8"/>
    </row>
    <row r="880" spans="1:12">
      <c r="A880" s="8"/>
      <c r="B880" s="8"/>
      <c r="C880" s="8"/>
      <c r="D880" s="8"/>
      <c r="E880" s="8"/>
      <c r="F880" s="8"/>
      <c r="G880" s="8"/>
      <c r="H880" s="8"/>
      <c r="I880" s="8"/>
      <c r="J880" s="8"/>
      <c r="K880" s="8"/>
      <c r="L880" s="8"/>
    </row>
    <row r="881" spans="1:12">
      <c r="A881" s="8"/>
      <c r="B881" s="8"/>
      <c r="C881" s="8"/>
      <c r="D881" s="8"/>
      <c r="E881" s="8"/>
      <c r="F881" s="8"/>
      <c r="G881" s="8"/>
      <c r="H881" s="8"/>
      <c r="I881" s="8"/>
      <c r="J881" s="8"/>
      <c r="K881" s="8"/>
      <c r="L881" s="8"/>
    </row>
    <row r="882" spans="1:12">
      <c r="A882" s="8"/>
      <c r="B882" s="8"/>
      <c r="C882" s="8"/>
      <c r="D882" s="8"/>
      <c r="E882" s="8"/>
      <c r="F882" s="8"/>
      <c r="G882" s="8"/>
      <c r="H882" s="8"/>
      <c r="I882" s="8"/>
      <c r="J882" s="8"/>
      <c r="K882" s="8"/>
      <c r="L882" s="8"/>
    </row>
    <row r="883" spans="1:12">
      <c r="A883" s="8"/>
      <c r="B883" s="8"/>
      <c r="C883" s="8"/>
      <c r="D883" s="8"/>
      <c r="E883" s="8"/>
      <c r="F883" s="8"/>
      <c r="G883" s="8"/>
      <c r="H883" s="8"/>
      <c r="I883" s="8"/>
      <c r="J883" s="8"/>
      <c r="K883" s="8"/>
      <c r="L883" s="8"/>
    </row>
    <row r="884" spans="1:12">
      <c r="A884" s="8"/>
      <c r="B884" s="8"/>
      <c r="C884" s="8"/>
      <c r="D884" s="8"/>
      <c r="E884" s="8"/>
      <c r="F884" s="8"/>
      <c r="G884" s="8"/>
      <c r="H884" s="8"/>
      <c r="I884" s="8"/>
      <c r="J884" s="8"/>
      <c r="K884" s="8"/>
      <c r="L884" s="8"/>
    </row>
    <row r="885" spans="1:12" ht="15.75" thickBot="1">
      <c r="A885" s="330"/>
      <c r="B885" s="330"/>
      <c r="C885" s="330"/>
      <c r="D885" s="330"/>
      <c r="E885" s="330"/>
      <c r="F885" s="330"/>
      <c r="G885" s="330"/>
      <c r="H885" s="330"/>
      <c r="I885" s="330"/>
      <c r="J885" s="330"/>
      <c r="K885" s="330"/>
      <c r="L885" s="330"/>
    </row>
    <row r="886" spans="1:12" ht="32.25">
      <c r="A886" s="330"/>
      <c r="B886" s="1104" t="s">
        <v>107</v>
      </c>
      <c r="C886" s="1105"/>
      <c r="D886" s="1105"/>
      <c r="E886" s="1105"/>
      <c r="F886" s="1105"/>
      <c r="G886" s="1105"/>
      <c r="H886" s="1105"/>
      <c r="I886" s="1105"/>
      <c r="J886" s="1105"/>
      <c r="K886" s="1105"/>
      <c r="L886" s="1106"/>
    </row>
    <row r="887" spans="1:12" ht="23.25">
      <c r="A887" s="330"/>
      <c r="B887" s="1084" t="s">
        <v>108</v>
      </c>
      <c r="C887" s="1085"/>
      <c r="D887" s="1085"/>
      <c r="E887" s="1085"/>
      <c r="F887" s="1085"/>
      <c r="G887" s="1085"/>
      <c r="H887" s="1085"/>
      <c r="I887" s="1085"/>
      <c r="J887" s="1085"/>
      <c r="K887" s="1085"/>
      <c r="L887" s="1086"/>
    </row>
    <row r="888" spans="1:12" ht="16.5" thickBot="1">
      <c r="A888" s="330"/>
      <c r="B888" s="1087" t="s">
        <v>382</v>
      </c>
      <c r="C888" s="1088"/>
      <c r="D888" s="1088"/>
      <c r="E888" s="1088"/>
      <c r="F888" s="1088"/>
      <c r="G888" s="1088"/>
      <c r="H888" s="1088"/>
      <c r="I888" s="1088"/>
      <c r="J888" s="1088"/>
      <c r="K888" s="1088"/>
      <c r="L888" s="1089"/>
    </row>
    <row r="889" spans="1:12" ht="25.5" customHeight="1">
      <c r="A889" s="330"/>
      <c r="B889" s="1090" t="s">
        <v>109</v>
      </c>
      <c r="C889" s="1091"/>
      <c r="D889" s="1091"/>
      <c r="E889" s="1091"/>
      <c r="F889" s="1091"/>
      <c r="G889" s="313"/>
      <c r="H889" s="1092" t="s">
        <v>110</v>
      </c>
      <c r="I889" s="1092"/>
      <c r="J889" s="1092"/>
      <c r="K889" s="1092"/>
      <c r="L889" s="1093"/>
    </row>
    <row r="890" spans="1:12" ht="25.5" customHeight="1" thickBot="1">
      <c r="A890" s="330"/>
      <c r="B890" s="1090"/>
      <c r="C890" s="1091"/>
      <c r="D890" s="1091"/>
      <c r="E890" s="1091"/>
      <c r="F890" s="1091"/>
      <c r="G890" s="313"/>
      <c r="H890" s="1092"/>
      <c r="I890" s="1092"/>
      <c r="J890" s="1092"/>
      <c r="K890" s="1092"/>
      <c r="L890" s="1093"/>
    </row>
    <row r="891" spans="1:12" ht="25.5" customHeight="1">
      <c r="A891" s="330"/>
      <c r="B891" s="73"/>
      <c r="C891" s="74"/>
      <c r="D891" s="74"/>
      <c r="E891" s="74"/>
      <c r="F891" s="75"/>
      <c r="G891" s="313"/>
      <c r="H891" s="73"/>
      <c r="I891" s="74"/>
      <c r="J891" s="74"/>
      <c r="K891" s="74"/>
      <c r="L891" s="75"/>
    </row>
    <row r="892" spans="1:12" ht="25.5" customHeight="1">
      <c r="A892" s="330"/>
      <c r="B892" s="76" t="s">
        <v>384</v>
      </c>
      <c r="C892" s="313"/>
      <c r="D892" s="313"/>
      <c r="E892" s="313"/>
      <c r="F892" s="13"/>
      <c r="G892" s="313"/>
      <c r="H892" s="76" t="s">
        <v>384</v>
      </c>
      <c r="I892" s="313"/>
      <c r="J892" s="313"/>
      <c r="K892" s="313"/>
      <c r="L892" s="13"/>
    </row>
    <row r="893" spans="1:12" ht="25.5" customHeight="1">
      <c r="A893" s="330"/>
      <c r="B893" s="12"/>
      <c r="C893" s="313"/>
      <c r="D893" s="313"/>
      <c r="E893" s="313"/>
      <c r="F893" s="13"/>
      <c r="G893" s="313"/>
      <c r="H893" s="12"/>
      <c r="I893" s="313"/>
      <c r="J893" s="313"/>
      <c r="K893" s="313"/>
      <c r="L893" s="13"/>
    </row>
    <row r="894" spans="1:12" ht="25.5" customHeight="1">
      <c r="A894" s="330"/>
      <c r="B894" s="76" t="s">
        <v>385</v>
      </c>
      <c r="C894" s="313"/>
      <c r="D894" s="313"/>
      <c r="E894" s="313"/>
      <c r="F894" s="13"/>
      <c r="G894" s="313"/>
      <c r="H894" s="76" t="s">
        <v>385</v>
      </c>
      <c r="I894" s="313"/>
      <c r="J894" s="313"/>
      <c r="K894" s="313"/>
      <c r="L894" s="13"/>
    </row>
    <row r="895" spans="1:12" ht="25.5" customHeight="1" thickBot="1">
      <c r="A895" s="330"/>
      <c r="B895" s="24"/>
      <c r="C895" s="22"/>
      <c r="D895" s="22"/>
      <c r="E895" s="22"/>
      <c r="F895" s="23"/>
      <c r="G895" s="313"/>
      <c r="H895" s="24"/>
      <c r="I895" s="22"/>
      <c r="J895" s="22"/>
      <c r="K895" s="22"/>
      <c r="L895" s="23"/>
    </row>
    <row r="896" spans="1:12" ht="25.5" customHeight="1">
      <c r="A896" s="330"/>
      <c r="B896" s="12"/>
      <c r="C896" s="313"/>
      <c r="D896" s="313"/>
      <c r="E896" s="313"/>
      <c r="F896" s="313"/>
      <c r="G896" s="313"/>
      <c r="H896" s="313"/>
      <c r="I896" s="313"/>
      <c r="J896" s="313" t="s">
        <v>111</v>
      </c>
      <c r="K896" s="313"/>
      <c r="L896" s="13"/>
    </row>
    <row r="897" spans="1:12" ht="25.5" customHeight="1">
      <c r="A897" s="330"/>
      <c r="B897" s="1094" t="s">
        <v>112</v>
      </c>
      <c r="C897" s="1095"/>
      <c r="D897" s="1095"/>
      <c r="E897" s="1095"/>
      <c r="F897" s="1095"/>
      <c r="G897" s="313"/>
      <c r="H897" s="1095" t="s">
        <v>4</v>
      </c>
      <c r="I897" s="1095"/>
      <c r="J897" s="1095"/>
      <c r="K897" s="1095"/>
      <c r="L897" s="1096"/>
    </row>
    <row r="898" spans="1:12" ht="25.5" customHeight="1" thickBot="1">
      <c r="A898" s="330"/>
      <c r="B898" s="12"/>
      <c r="C898" s="313"/>
      <c r="D898" s="313"/>
      <c r="E898" s="313"/>
      <c r="F898" s="313"/>
      <c r="G898" s="313"/>
      <c r="H898" s="313"/>
      <c r="I898" s="313"/>
      <c r="J898" s="313"/>
      <c r="K898" s="313"/>
      <c r="L898" s="13"/>
    </row>
    <row r="899" spans="1:12" ht="25.5" customHeight="1">
      <c r="A899" s="330"/>
      <c r="B899" s="73"/>
      <c r="C899" s="74"/>
      <c r="D899" s="74"/>
      <c r="E899" s="74"/>
      <c r="F899" s="75"/>
      <c r="G899" s="313"/>
      <c r="H899" s="77"/>
      <c r="I899" s="78"/>
      <c r="J899" s="78"/>
      <c r="K899" s="78"/>
      <c r="L899" s="79"/>
    </row>
    <row r="900" spans="1:12" ht="25.5" customHeight="1">
      <c r="A900" s="330"/>
      <c r="B900" s="12"/>
      <c r="C900" s="313"/>
      <c r="D900" s="313"/>
      <c r="E900" s="313"/>
      <c r="F900" s="13"/>
      <c r="G900" s="313"/>
      <c r="H900" s="76" t="s">
        <v>522</v>
      </c>
      <c r="I900" s="316"/>
      <c r="J900" s="316"/>
      <c r="K900" s="316"/>
      <c r="L900" s="80"/>
    </row>
    <row r="901" spans="1:12" ht="25.5" customHeight="1">
      <c r="A901" s="330"/>
      <c r="B901" s="76" t="s">
        <v>374</v>
      </c>
      <c r="C901" s="313"/>
      <c r="D901" s="313"/>
      <c r="E901" s="313"/>
      <c r="F901" s="13"/>
      <c r="G901" s="313"/>
      <c r="H901" s="76"/>
      <c r="I901" s="316"/>
      <c r="J901" s="316"/>
      <c r="K901" s="316"/>
      <c r="L901" s="80"/>
    </row>
    <row r="902" spans="1:12" ht="25.5" customHeight="1">
      <c r="A902" s="330"/>
      <c r="B902" s="12"/>
      <c r="C902" s="313"/>
      <c r="D902" s="313"/>
      <c r="E902" s="313"/>
      <c r="F902" s="13"/>
      <c r="G902" s="313"/>
      <c r="H902" s="76" t="s">
        <v>494</v>
      </c>
      <c r="I902" s="316"/>
      <c r="J902" s="316"/>
      <c r="K902" s="316"/>
      <c r="L902" s="80"/>
    </row>
    <row r="903" spans="1:12" ht="25.5" customHeight="1" thickBot="1">
      <c r="A903" s="330"/>
      <c r="B903" s="24"/>
      <c r="C903" s="22"/>
      <c r="D903" s="22"/>
      <c r="E903" s="22"/>
      <c r="F903" s="23"/>
      <c r="G903" s="313"/>
      <c r="H903" s="76"/>
      <c r="I903" s="316"/>
      <c r="J903" s="316"/>
      <c r="K903" s="316"/>
      <c r="L903" s="80"/>
    </row>
    <row r="904" spans="1:12" ht="25.5" customHeight="1">
      <c r="A904" s="330"/>
      <c r="B904" s="1068" t="s">
        <v>113</v>
      </c>
      <c r="C904" s="1069"/>
      <c r="D904" s="1069"/>
      <c r="E904" s="1069"/>
      <c r="F904" s="1069"/>
      <c r="G904" s="1097"/>
      <c r="H904" s="1098" t="str">
        <f>'0422Master'!B33</f>
        <v>Mani Krishna Nandineedi</v>
      </c>
      <c r="I904" s="1099"/>
      <c r="J904" s="1099"/>
      <c r="K904" s="1099"/>
      <c r="L904" s="1100"/>
    </row>
    <row r="905" spans="1:12" ht="25.5" customHeight="1" thickBot="1">
      <c r="A905" s="330"/>
      <c r="B905" s="727"/>
      <c r="C905" s="728"/>
      <c r="D905" s="728"/>
      <c r="E905" s="728"/>
      <c r="F905" s="728"/>
      <c r="G905" s="730"/>
      <c r="H905" s="1101" t="str">
        <f>'0422Master'!G33</f>
        <v>204-7-343, Nagireddy Nagar, Near Three temples</v>
      </c>
      <c r="I905" s="1102"/>
      <c r="J905" s="1102"/>
      <c r="K905" s="1102"/>
      <c r="L905" s="1103"/>
    </row>
    <row r="906" spans="1:12" ht="33.75" customHeight="1">
      <c r="A906" s="330"/>
      <c r="B906" s="1072" t="s">
        <v>114</v>
      </c>
      <c r="C906" s="1073"/>
      <c r="D906" s="1073"/>
      <c r="E906" s="1073"/>
      <c r="F906" s="1073"/>
      <c r="G906" s="1073"/>
      <c r="H906" s="1074">
        <v>75</v>
      </c>
      <c r="I906" s="1075"/>
      <c r="J906" s="1075"/>
      <c r="K906" s="1075"/>
      <c r="L906" s="1076"/>
    </row>
    <row r="907" spans="1:12" ht="25.5" customHeight="1">
      <c r="A907" s="330"/>
      <c r="B907" s="1068" t="s">
        <v>115</v>
      </c>
      <c r="C907" s="1069"/>
      <c r="D907" s="1069"/>
      <c r="E907" s="1069"/>
      <c r="F907" s="1069"/>
      <c r="G907" s="1069"/>
      <c r="H907" s="1077" t="str">
        <f>'0422Master'!F33</f>
        <v>SAP Basis consultant</v>
      </c>
      <c r="I907" s="1070"/>
      <c r="J907" s="1070"/>
      <c r="K907" s="1070"/>
      <c r="L907" s="1071"/>
    </row>
    <row r="908" spans="1:12" ht="25.5" customHeight="1">
      <c r="A908" s="330"/>
      <c r="B908" s="1068" t="s">
        <v>116</v>
      </c>
      <c r="C908" s="1069"/>
      <c r="D908" s="1069"/>
      <c r="E908" s="1069"/>
      <c r="F908" s="1069"/>
      <c r="G908" s="1069"/>
      <c r="H908" s="1078">
        <f>'0422Master'!N33</f>
        <v>44602</v>
      </c>
      <c r="I908" s="1079"/>
      <c r="J908" s="1079"/>
      <c r="K908" s="1079"/>
      <c r="L908" s="1080"/>
    </row>
    <row r="909" spans="1:12" ht="25.5" customHeight="1">
      <c r="A909" s="330"/>
      <c r="B909" s="332" t="s">
        <v>117</v>
      </c>
      <c r="C909" s="86"/>
      <c r="D909" s="86"/>
      <c r="E909" s="86"/>
      <c r="F909" s="86"/>
      <c r="G909" s="86"/>
      <c r="H909" s="735"/>
      <c r="I909" s="88"/>
      <c r="J909" s="331">
        <f>'0422Master'!T1007</f>
        <v>0</v>
      </c>
      <c r="K909" s="733"/>
      <c r="L909" s="734"/>
    </row>
    <row r="910" spans="1:12" ht="25.5" customHeight="1">
      <c r="A910" s="330"/>
      <c r="B910" s="332" t="s">
        <v>118</v>
      </c>
      <c r="C910" s="86"/>
      <c r="D910" s="86"/>
      <c r="E910" s="86"/>
      <c r="F910" s="86"/>
      <c r="G910" s="367"/>
      <c r="H910" s="91"/>
      <c r="I910" s="92"/>
      <c r="J910" s="331" t="str">
        <f>'0422Master'!S33</f>
        <v>101589884490</v>
      </c>
      <c r="K910" s="92"/>
      <c r="L910" s="93"/>
    </row>
    <row r="911" spans="1:12" ht="25.5" customHeight="1">
      <c r="A911" s="330"/>
      <c r="B911" s="1081" t="s">
        <v>119</v>
      </c>
      <c r="C911" s="1082"/>
      <c r="D911" s="1082"/>
      <c r="E911" s="1082"/>
      <c r="F911" s="1082"/>
      <c r="G911" s="1082"/>
      <c r="H911" s="1074">
        <f>'0422Master'!Y33</f>
        <v>38567</v>
      </c>
      <c r="I911" s="1075"/>
      <c r="J911" s="1075"/>
      <c r="K911" s="1075"/>
      <c r="L911" s="1076"/>
    </row>
    <row r="912" spans="1:12" ht="25.5" customHeight="1">
      <c r="A912" s="330"/>
      <c r="B912" s="1068" t="s">
        <v>120</v>
      </c>
      <c r="C912" s="1069"/>
      <c r="D912" s="1069"/>
      <c r="E912" s="1069"/>
      <c r="F912" s="1069"/>
      <c r="G912" s="1069"/>
      <c r="H912" s="1083">
        <f>'0422Master'!D10</f>
        <v>44652</v>
      </c>
      <c r="I912" s="1070"/>
      <c r="J912" s="1070"/>
      <c r="K912" s="1070"/>
      <c r="L912" s="1071"/>
    </row>
    <row r="913" spans="1:12" ht="25.5" customHeight="1">
      <c r="A913" s="330"/>
      <c r="B913" s="1068" t="s">
        <v>121</v>
      </c>
      <c r="C913" s="1069"/>
      <c r="D913" s="1069"/>
      <c r="E913" s="1069"/>
      <c r="F913" s="1069"/>
      <c r="G913" s="1069"/>
      <c r="H913" s="1070" t="s">
        <v>122</v>
      </c>
      <c r="I913" s="1070"/>
      <c r="J913" s="1070"/>
      <c r="K913" s="1070"/>
      <c r="L913" s="1071"/>
    </row>
    <row r="914" spans="1:12" ht="25.5" customHeight="1">
      <c r="A914" s="330"/>
      <c r="B914" s="332" t="s">
        <v>123</v>
      </c>
      <c r="C914" s="86"/>
      <c r="D914" s="86"/>
      <c r="E914" s="86"/>
      <c r="F914" s="86"/>
      <c r="G914" s="367"/>
      <c r="H914" s="735"/>
      <c r="I914" s="733"/>
      <c r="J914" s="95">
        <f>'0422Master'!W33</f>
        <v>30</v>
      </c>
      <c r="K914" s="733"/>
      <c r="L914" s="734"/>
    </row>
    <row r="915" spans="1:12" ht="25.5" customHeight="1">
      <c r="A915" s="330"/>
      <c r="B915" s="332" t="s">
        <v>124</v>
      </c>
      <c r="C915" s="86"/>
      <c r="D915" s="86"/>
      <c r="E915" s="86"/>
      <c r="F915" s="86"/>
      <c r="G915" s="367"/>
      <c r="H915" s="735"/>
      <c r="I915" s="733"/>
      <c r="J915" s="733" t="s">
        <v>37</v>
      </c>
      <c r="K915" s="733"/>
      <c r="L915" s="734"/>
    </row>
    <row r="916" spans="1:12" ht="25.5" customHeight="1">
      <c r="A916" s="330"/>
      <c r="B916" s="332" t="s">
        <v>125</v>
      </c>
      <c r="C916" s="86"/>
      <c r="D916" s="86"/>
      <c r="E916" s="86"/>
      <c r="F916" s="86"/>
      <c r="G916" s="367"/>
      <c r="H916" s="735"/>
      <c r="I916" s="733"/>
      <c r="J916" s="95">
        <v>0</v>
      </c>
      <c r="K916" s="733"/>
      <c r="L916" s="734"/>
    </row>
    <row r="917" spans="1:12" ht="25.5" customHeight="1">
      <c r="A917" s="330"/>
      <c r="B917" s="332" t="s">
        <v>126</v>
      </c>
      <c r="C917" s="86"/>
      <c r="D917" s="86"/>
      <c r="E917" s="86"/>
      <c r="F917" s="86"/>
      <c r="G917" s="367"/>
      <c r="H917" s="735"/>
      <c r="I917" s="733"/>
      <c r="J917" s="330"/>
      <c r="K917" s="733"/>
      <c r="L917" s="734"/>
    </row>
    <row r="918" spans="1:12" ht="25.5" customHeight="1">
      <c r="A918" s="330"/>
      <c r="B918" s="332" t="s">
        <v>127</v>
      </c>
      <c r="C918" s="86"/>
      <c r="D918" s="86"/>
      <c r="E918" s="86"/>
      <c r="F918" s="86"/>
      <c r="G918" s="367"/>
      <c r="H918" s="735"/>
      <c r="I918" s="733"/>
      <c r="J918" s="586">
        <f>'0422Master'!AM33</f>
        <v>43276.002619999992</v>
      </c>
      <c r="K918" s="733"/>
      <c r="L918" s="734" t="s">
        <v>35</v>
      </c>
    </row>
    <row r="919" spans="1:12" ht="25.5" customHeight="1">
      <c r="A919" s="330"/>
      <c r="B919" s="332" t="s">
        <v>128</v>
      </c>
      <c r="C919" s="86"/>
      <c r="D919" s="729" t="s">
        <v>32</v>
      </c>
      <c r="E919" s="731">
        <f>'0422Master'!AO33</f>
        <v>1800</v>
      </c>
      <c r="F919" s="729" t="s">
        <v>31</v>
      </c>
      <c r="G919" s="731">
        <f>'0422Master'!AN1007</f>
        <v>0</v>
      </c>
      <c r="H919" s="729" t="s">
        <v>33</v>
      </c>
      <c r="I919" s="731">
        <f>'0422Master'!AP33</f>
        <v>200</v>
      </c>
      <c r="J919" s="729" t="s">
        <v>34</v>
      </c>
      <c r="K919" s="731">
        <f>'0422Master'!AQ33</f>
        <v>0</v>
      </c>
      <c r="L919" s="100">
        <f>'0422Master'!AR33</f>
        <v>283</v>
      </c>
    </row>
    <row r="920" spans="1:12" ht="25.5" customHeight="1">
      <c r="A920" s="330"/>
      <c r="B920" s="332" t="s">
        <v>129</v>
      </c>
      <c r="C920" s="86"/>
      <c r="D920" s="86"/>
      <c r="E920" s="86"/>
      <c r="F920" s="86"/>
      <c r="G920" s="367"/>
      <c r="H920" s="735"/>
      <c r="I920" s="733"/>
      <c r="J920" s="95">
        <f>J918-E919-I919-K919-L919</f>
        <v>40993.002619999992</v>
      </c>
      <c r="K920" s="733"/>
      <c r="L920" s="734"/>
    </row>
    <row r="921" spans="1:12" ht="25.5" customHeight="1">
      <c r="A921" s="330"/>
      <c r="B921" s="333" t="s">
        <v>130</v>
      </c>
      <c r="C921" s="334"/>
      <c r="D921" s="334"/>
      <c r="E921" s="334"/>
      <c r="F921" s="334"/>
      <c r="G921" s="335"/>
      <c r="H921" s="336"/>
      <c r="I921" s="337"/>
      <c r="J921" s="337"/>
      <c r="K921" s="337"/>
      <c r="L921" s="97"/>
    </row>
    <row r="922" spans="1:12" ht="25.5" customHeight="1">
      <c r="A922" s="330"/>
      <c r="B922" s="358" t="s">
        <v>131</v>
      </c>
      <c r="C922" s="316"/>
      <c r="D922" s="316"/>
      <c r="E922" s="316"/>
      <c r="F922" s="316"/>
      <c r="G922" s="359"/>
      <c r="H922" s="70"/>
      <c r="I922" s="313"/>
      <c r="J922" s="313"/>
      <c r="K922" s="313"/>
      <c r="L922" s="13"/>
    </row>
    <row r="923" spans="1:12" ht="25.5" customHeight="1">
      <c r="A923" s="330"/>
      <c r="B923" s="587"/>
      <c r="C923" s="16"/>
      <c r="D923" s="16"/>
      <c r="E923" s="16"/>
      <c r="F923" s="16"/>
      <c r="G923" s="16"/>
      <c r="H923" s="16"/>
      <c r="I923" s="16"/>
      <c r="J923" s="16"/>
      <c r="K923" s="16"/>
      <c r="L923" s="98"/>
    </row>
    <row r="924" spans="1:12">
      <c r="A924" s="8"/>
      <c r="B924" s="8"/>
      <c r="C924" s="8"/>
      <c r="D924" s="8"/>
      <c r="E924" s="8"/>
      <c r="F924" s="8"/>
      <c r="G924" s="8"/>
      <c r="H924" s="8"/>
      <c r="I924" s="8"/>
      <c r="J924" s="8"/>
      <c r="K924" s="8"/>
      <c r="L924" s="8"/>
    </row>
    <row r="925" spans="1:12">
      <c r="A925" s="8"/>
      <c r="B925" s="8"/>
      <c r="C925" s="8"/>
      <c r="D925" s="8"/>
      <c r="E925" s="8"/>
      <c r="F925" s="8"/>
      <c r="G925" s="8"/>
      <c r="H925" s="8"/>
      <c r="I925" s="8"/>
      <c r="J925" s="8"/>
      <c r="K925" s="8"/>
      <c r="L925" s="8"/>
    </row>
    <row r="926" spans="1:12">
      <c r="A926" s="8"/>
      <c r="B926" s="8"/>
      <c r="C926" s="8"/>
      <c r="D926" s="8"/>
      <c r="E926" s="8"/>
      <c r="F926" s="8"/>
      <c r="G926" s="8"/>
      <c r="H926" s="8"/>
      <c r="I926" s="8"/>
      <c r="J926" s="8"/>
      <c r="K926" s="8"/>
      <c r="L926" s="8"/>
    </row>
    <row r="927" spans="1:12">
      <c r="A927" s="8"/>
      <c r="B927" s="8"/>
      <c r="C927" s="8"/>
      <c r="D927" s="8"/>
      <c r="E927" s="8"/>
      <c r="F927" s="8"/>
      <c r="G927" s="8"/>
      <c r="H927" s="8"/>
      <c r="I927" s="8"/>
      <c r="J927" s="8"/>
      <c r="K927" s="8"/>
      <c r="L927" s="8"/>
    </row>
    <row r="928" spans="1:12">
      <c r="A928" s="8"/>
      <c r="B928" s="8"/>
      <c r="C928" s="8"/>
      <c r="D928" s="8"/>
      <c r="E928" s="8"/>
      <c r="F928" s="8"/>
      <c r="G928" s="8"/>
      <c r="H928" s="8"/>
      <c r="I928" s="8"/>
      <c r="J928" s="8"/>
      <c r="K928" s="8"/>
      <c r="L928" s="8"/>
    </row>
    <row r="929" spans="1:12">
      <c r="A929" s="8"/>
      <c r="B929" s="8"/>
      <c r="C929" s="8"/>
      <c r="D929" s="8"/>
      <c r="E929" s="8"/>
      <c r="F929" s="8"/>
      <c r="G929" s="8"/>
      <c r="H929" s="8"/>
      <c r="I929" s="8"/>
      <c r="J929" s="8"/>
      <c r="K929" s="8"/>
      <c r="L929" s="8"/>
    </row>
    <row r="930" spans="1:12">
      <c r="A930" s="8"/>
      <c r="B930" s="8"/>
      <c r="C930" s="8"/>
      <c r="D930" s="8"/>
      <c r="E930" s="8"/>
      <c r="F930" s="8"/>
      <c r="G930" s="8"/>
      <c r="H930" s="8"/>
      <c r="I930" s="8"/>
      <c r="J930" s="8"/>
      <c r="K930" s="8"/>
      <c r="L930" s="8"/>
    </row>
    <row r="931" spans="1:12">
      <c r="A931" s="8"/>
      <c r="B931" s="8"/>
      <c r="C931" s="8"/>
      <c r="D931" s="8"/>
      <c r="E931" s="8"/>
      <c r="F931" s="8"/>
      <c r="G931" s="8"/>
      <c r="H931" s="8"/>
      <c r="I931" s="8"/>
      <c r="J931" s="8"/>
      <c r="K931" s="8"/>
      <c r="L931" s="8"/>
    </row>
    <row r="932" spans="1:12">
      <c r="A932" s="8"/>
      <c r="B932" s="8"/>
      <c r="C932" s="8"/>
      <c r="D932" s="8"/>
      <c r="E932" s="8"/>
      <c r="F932" s="8"/>
      <c r="G932" s="8"/>
      <c r="H932" s="8"/>
      <c r="I932" s="8"/>
      <c r="J932" s="8"/>
      <c r="K932" s="8"/>
      <c r="L932" s="8"/>
    </row>
    <row r="933" spans="1:12">
      <c r="A933" s="8"/>
      <c r="B933" s="8"/>
      <c r="C933" s="8"/>
      <c r="D933" s="8"/>
      <c r="E933" s="8"/>
      <c r="F933" s="8"/>
      <c r="G933" s="8"/>
      <c r="H933" s="8"/>
      <c r="I933" s="8"/>
      <c r="J933" s="8"/>
      <c r="K933" s="8"/>
      <c r="L933" s="8"/>
    </row>
    <row r="934" spans="1:12">
      <c r="A934" s="8"/>
      <c r="B934" s="8"/>
      <c r="C934" s="8"/>
      <c r="D934" s="8"/>
      <c r="E934" s="8"/>
      <c r="F934" s="8"/>
      <c r="G934" s="8"/>
      <c r="H934" s="8"/>
      <c r="I934" s="8"/>
      <c r="J934" s="8"/>
      <c r="K934" s="8"/>
      <c r="L934" s="8"/>
    </row>
    <row r="935" spans="1:12" ht="15.75" thickBot="1">
      <c r="A935" s="330"/>
      <c r="B935" s="330"/>
      <c r="C935" s="330"/>
      <c r="D935" s="330"/>
      <c r="E935" s="330"/>
      <c r="F935" s="330"/>
      <c r="G935" s="330"/>
      <c r="H935" s="330"/>
      <c r="I935" s="330"/>
      <c r="J935" s="330"/>
      <c r="K935" s="330"/>
      <c r="L935" s="330"/>
    </row>
    <row r="936" spans="1:12" ht="32.25">
      <c r="A936" s="330"/>
      <c r="B936" s="1104" t="s">
        <v>107</v>
      </c>
      <c r="C936" s="1105"/>
      <c r="D936" s="1105"/>
      <c r="E936" s="1105"/>
      <c r="F936" s="1105"/>
      <c r="G936" s="1105"/>
      <c r="H936" s="1105"/>
      <c r="I936" s="1105"/>
      <c r="J936" s="1105"/>
      <c r="K936" s="1105"/>
      <c r="L936" s="1106"/>
    </row>
    <row r="937" spans="1:12" ht="23.25">
      <c r="A937" s="330"/>
      <c r="B937" s="1084" t="s">
        <v>108</v>
      </c>
      <c r="C937" s="1085"/>
      <c r="D937" s="1085"/>
      <c r="E937" s="1085"/>
      <c r="F937" s="1085"/>
      <c r="G937" s="1085"/>
      <c r="H937" s="1085"/>
      <c r="I937" s="1085"/>
      <c r="J937" s="1085"/>
      <c r="K937" s="1085"/>
      <c r="L937" s="1086"/>
    </row>
    <row r="938" spans="1:12" ht="16.5" thickBot="1">
      <c r="A938" s="330"/>
      <c r="B938" s="1087" t="s">
        <v>382</v>
      </c>
      <c r="C938" s="1088"/>
      <c r="D938" s="1088"/>
      <c r="E938" s="1088"/>
      <c r="F938" s="1088"/>
      <c r="G938" s="1088"/>
      <c r="H938" s="1088"/>
      <c r="I938" s="1088"/>
      <c r="J938" s="1088"/>
      <c r="K938" s="1088"/>
      <c r="L938" s="1089"/>
    </row>
    <row r="939" spans="1:12" ht="27" customHeight="1">
      <c r="A939" s="330"/>
      <c r="B939" s="1090" t="s">
        <v>109</v>
      </c>
      <c r="C939" s="1091"/>
      <c r="D939" s="1091"/>
      <c r="E939" s="1091"/>
      <c r="F939" s="1091"/>
      <c r="G939" s="313"/>
      <c r="H939" s="1092" t="s">
        <v>110</v>
      </c>
      <c r="I939" s="1092"/>
      <c r="J939" s="1092"/>
      <c r="K939" s="1092"/>
      <c r="L939" s="1093"/>
    </row>
    <row r="940" spans="1:12" ht="27" customHeight="1" thickBot="1">
      <c r="A940" s="330"/>
      <c r="B940" s="1090"/>
      <c r="C940" s="1091"/>
      <c r="D940" s="1091"/>
      <c r="E940" s="1091"/>
      <c r="F940" s="1091"/>
      <c r="G940" s="313"/>
      <c r="H940" s="1092"/>
      <c r="I940" s="1092"/>
      <c r="J940" s="1092"/>
      <c r="K940" s="1092"/>
      <c r="L940" s="1093"/>
    </row>
    <row r="941" spans="1:12" ht="27" customHeight="1">
      <c r="A941" s="330"/>
      <c r="B941" s="73"/>
      <c r="C941" s="74"/>
      <c r="D941" s="74"/>
      <c r="E941" s="74"/>
      <c r="F941" s="75"/>
      <c r="G941" s="313"/>
      <c r="H941" s="73"/>
      <c r="I941" s="74"/>
      <c r="J941" s="74"/>
      <c r="K941" s="74"/>
      <c r="L941" s="75"/>
    </row>
    <row r="942" spans="1:12" ht="27" customHeight="1">
      <c r="A942" s="330"/>
      <c r="B942" s="76" t="s">
        <v>384</v>
      </c>
      <c r="C942" s="313"/>
      <c r="D942" s="313"/>
      <c r="E942" s="313"/>
      <c r="F942" s="13"/>
      <c r="G942" s="313"/>
      <c r="H942" s="76" t="s">
        <v>384</v>
      </c>
      <c r="I942" s="313"/>
      <c r="J942" s="313"/>
      <c r="K942" s="313"/>
      <c r="L942" s="13"/>
    </row>
    <row r="943" spans="1:12" ht="27" customHeight="1">
      <c r="A943" s="330"/>
      <c r="B943" s="12"/>
      <c r="C943" s="313"/>
      <c r="D943" s="313"/>
      <c r="E943" s="313"/>
      <c r="F943" s="13"/>
      <c r="G943" s="313"/>
      <c r="H943" s="12"/>
      <c r="I943" s="313"/>
      <c r="J943" s="313"/>
      <c r="K943" s="313"/>
      <c r="L943" s="13"/>
    </row>
    <row r="944" spans="1:12" ht="27" customHeight="1">
      <c r="A944" s="330"/>
      <c r="B944" s="76" t="s">
        <v>385</v>
      </c>
      <c r="C944" s="313"/>
      <c r="D944" s="313"/>
      <c r="E944" s="313"/>
      <c r="F944" s="13"/>
      <c r="G944" s="313"/>
      <c r="H944" s="76" t="s">
        <v>385</v>
      </c>
      <c r="I944" s="313"/>
      <c r="J944" s="313"/>
      <c r="K944" s="313"/>
      <c r="L944" s="13"/>
    </row>
    <row r="945" spans="1:12" ht="27" customHeight="1" thickBot="1">
      <c r="A945" s="330"/>
      <c r="B945" s="24"/>
      <c r="C945" s="22"/>
      <c r="D945" s="22"/>
      <c r="E945" s="22"/>
      <c r="F945" s="23"/>
      <c r="G945" s="313"/>
      <c r="H945" s="24"/>
      <c r="I945" s="22"/>
      <c r="J945" s="22"/>
      <c r="K945" s="22"/>
      <c r="L945" s="23"/>
    </row>
    <row r="946" spans="1:12" ht="27" customHeight="1">
      <c r="A946" s="330"/>
      <c r="B946" s="12"/>
      <c r="C946" s="313"/>
      <c r="D946" s="313"/>
      <c r="E946" s="313"/>
      <c r="F946" s="313"/>
      <c r="G946" s="313"/>
      <c r="H946" s="313"/>
      <c r="I946" s="313"/>
      <c r="J946" s="313" t="s">
        <v>111</v>
      </c>
      <c r="K946" s="313"/>
      <c r="L946" s="13"/>
    </row>
    <row r="947" spans="1:12" ht="27" customHeight="1">
      <c r="A947" s="330"/>
      <c r="B947" s="1094" t="s">
        <v>112</v>
      </c>
      <c r="C947" s="1095"/>
      <c r="D947" s="1095"/>
      <c r="E947" s="1095"/>
      <c r="F947" s="1095"/>
      <c r="G947" s="313"/>
      <c r="H947" s="1095" t="s">
        <v>4</v>
      </c>
      <c r="I947" s="1095"/>
      <c r="J947" s="1095"/>
      <c r="K947" s="1095"/>
      <c r="L947" s="1096"/>
    </row>
    <row r="948" spans="1:12" ht="27" customHeight="1" thickBot="1">
      <c r="A948" s="330"/>
      <c r="B948" s="12"/>
      <c r="C948" s="313"/>
      <c r="D948" s="313"/>
      <c r="E948" s="313"/>
      <c r="F948" s="313"/>
      <c r="G948" s="313"/>
      <c r="H948" s="313"/>
      <c r="I948" s="313"/>
      <c r="J948" s="313"/>
      <c r="K948" s="313"/>
      <c r="L948" s="13"/>
    </row>
    <row r="949" spans="1:12" ht="27" customHeight="1">
      <c r="A949" s="330"/>
      <c r="B949" s="73"/>
      <c r="C949" s="74"/>
      <c r="D949" s="74"/>
      <c r="E949" s="74"/>
      <c r="F949" s="75"/>
      <c r="G949" s="313"/>
      <c r="H949" s="77"/>
      <c r="I949" s="78"/>
      <c r="J949" s="78"/>
      <c r="K949" s="78"/>
      <c r="L949" s="79"/>
    </row>
    <row r="950" spans="1:12" ht="27" customHeight="1">
      <c r="A950" s="330"/>
      <c r="B950" s="12"/>
      <c r="C950" s="313"/>
      <c r="D950" s="313"/>
      <c r="E950" s="313"/>
      <c r="F950" s="13"/>
      <c r="G950" s="313"/>
      <c r="H950" s="76" t="s">
        <v>522</v>
      </c>
      <c r="I950" s="316"/>
      <c r="J950" s="316"/>
      <c r="K950" s="316"/>
      <c r="L950" s="80"/>
    </row>
    <row r="951" spans="1:12" ht="27" customHeight="1">
      <c r="A951" s="330"/>
      <c r="B951" s="76" t="s">
        <v>374</v>
      </c>
      <c r="C951" s="313"/>
      <c r="D951" s="313"/>
      <c r="E951" s="313"/>
      <c r="F951" s="13"/>
      <c r="G951" s="313"/>
      <c r="H951" s="76"/>
      <c r="I951" s="316"/>
      <c r="J951" s="316"/>
      <c r="K951" s="316"/>
      <c r="L951" s="80"/>
    </row>
    <row r="952" spans="1:12" ht="27" customHeight="1">
      <c r="A952" s="330"/>
      <c r="B952" s="12"/>
      <c r="C952" s="313"/>
      <c r="D952" s="313"/>
      <c r="E952" s="313"/>
      <c r="F952" s="13"/>
      <c r="G952" s="313"/>
      <c r="H952" s="76" t="s">
        <v>494</v>
      </c>
      <c r="I952" s="316"/>
      <c r="J952" s="316"/>
      <c r="K952" s="316"/>
      <c r="L952" s="80"/>
    </row>
    <row r="953" spans="1:12" ht="27" customHeight="1" thickBot="1">
      <c r="A953" s="330"/>
      <c r="B953" s="24"/>
      <c r="C953" s="22"/>
      <c r="D953" s="22"/>
      <c r="E953" s="22"/>
      <c r="F953" s="23"/>
      <c r="G953" s="313"/>
      <c r="H953" s="76"/>
      <c r="I953" s="316"/>
      <c r="J953" s="316"/>
      <c r="K953" s="316"/>
      <c r="L953" s="80"/>
    </row>
    <row r="954" spans="1:12" ht="27" customHeight="1">
      <c r="A954" s="330"/>
      <c r="B954" s="1068" t="s">
        <v>113</v>
      </c>
      <c r="C954" s="1069"/>
      <c r="D954" s="1069"/>
      <c r="E954" s="1069"/>
      <c r="F954" s="1069"/>
      <c r="G954" s="1097"/>
      <c r="H954" s="1098" t="str">
        <f>'0422Master'!B34</f>
        <v>Sushma P</v>
      </c>
      <c r="I954" s="1099"/>
      <c r="J954" s="1099"/>
      <c r="K954" s="1099"/>
      <c r="L954" s="1100"/>
    </row>
    <row r="955" spans="1:12" ht="27" customHeight="1" thickBot="1">
      <c r="A955" s="330"/>
      <c r="B955" s="727"/>
      <c r="C955" s="728"/>
      <c r="D955" s="728"/>
      <c r="E955" s="728"/>
      <c r="F955" s="728"/>
      <c r="G955" s="730"/>
      <c r="H955" s="1101" t="str">
        <f>'0422Master'!G34</f>
        <v>H No 5-11/1, Janakipuram, bonakal,Khammam, Telangana 507204</v>
      </c>
      <c r="I955" s="1102"/>
      <c r="J955" s="1102"/>
      <c r="K955" s="1102"/>
      <c r="L955" s="1103"/>
    </row>
    <row r="956" spans="1:12" ht="39" customHeight="1">
      <c r="A956" s="330"/>
      <c r="B956" s="1072" t="s">
        <v>114</v>
      </c>
      <c r="C956" s="1073"/>
      <c r="D956" s="1073"/>
      <c r="E956" s="1073"/>
      <c r="F956" s="1073"/>
      <c r="G956" s="1073"/>
      <c r="H956" s="1074">
        <v>76</v>
      </c>
      <c r="I956" s="1075"/>
      <c r="J956" s="1075"/>
      <c r="K956" s="1075"/>
      <c r="L956" s="1076"/>
    </row>
    <row r="957" spans="1:12" ht="27" customHeight="1">
      <c r="A957" s="330"/>
      <c r="B957" s="1068" t="s">
        <v>115</v>
      </c>
      <c r="C957" s="1069"/>
      <c r="D957" s="1069"/>
      <c r="E957" s="1069"/>
      <c r="F957" s="1069"/>
      <c r="G957" s="1069"/>
      <c r="H957" s="1077" t="str">
        <f>'0422Master'!F34</f>
        <v>SAP Basis consultant</v>
      </c>
      <c r="I957" s="1070"/>
      <c r="J957" s="1070"/>
      <c r="K957" s="1070"/>
      <c r="L957" s="1071"/>
    </row>
    <row r="958" spans="1:12" ht="27" customHeight="1">
      <c r="A958" s="330"/>
      <c r="B958" s="1068" t="s">
        <v>116</v>
      </c>
      <c r="C958" s="1069"/>
      <c r="D958" s="1069"/>
      <c r="E958" s="1069"/>
      <c r="F958" s="1069"/>
      <c r="G958" s="1069"/>
      <c r="H958" s="1078">
        <f>'0422Master'!N34</f>
        <v>44602</v>
      </c>
      <c r="I958" s="1079"/>
      <c r="J958" s="1079"/>
      <c r="K958" s="1079"/>
      <c r="L958" s="1080"/>
    </row>
    <row r="959" spans="1:12" ht="27" customHeight="1">
      <c r="A959" s="330"/>
      <c r="B959" s="332" t="s">
        <v>117</v>
      </c>
      <c r="C959" s="86"/>
      <c r="D959" s="86"/>
      <c r="E959" s="86"/>
      <c r="F959" s="86"/>
      <c r="G959" s="86"/>
      <c r="H959" s="735"/>
      <c r="I959" s="88"/>
      <c r="J959" s="331">
        <f>'0422Master'!T1057</f>
        <v>0</v>
      </c>
      <c r="K959" s="733"/>
      <c r="L959" s="734"/>
    </row>
    <row r="960" spans="1:12" ht="27" customHeight="1">
      <c r="A960" s="330"/>
      <c r="B960" s="332" t="s">
        <v>118</v>
      </c>
      <c r="C960" s="86"/>
      <c r="D960" s="86"/>
      <c r="E960" s="86"/>
      <c r="F960" s="86"/>
      <c r="G960" s="367"/>
      <c r="H960" s="91"/>
      <c r="I960" s="92"/>
      <c r="J960" s="331" t="str">
        <f>'0422Master'!S34</f>
        <v>100542320584</v>
      </c>
      <c r="K960" s="92"/>
      <c r="L960" s="93"/>
    </row>
    <row r="961" spans="1:13" ht="30" customHeight="1">
      <c r="A961" s="330"/>
      <c r="B961" s="1081" t="s">
        <v>119</v>
      </c>
      <c r="C961" s="1082"/>
      <c r="D961" s="1082"/>
      <c r="E961" s="1082"/>
      <c r="F961" s="1082"/>
      <c r="G961" s="1082"/>
      <c r="H961" s="1074">
        <f>'0422Master'!Y34</f>
        <v>38567</v>
      </c>
      <c r="I961" s="1075"/>
      <c r="J961" s="1075"/>
      <c r="K961" s="1075"/>
      <c r="L961" s="1076"/>
    </row>
    <row r="962" spans="1:13" ht="27" customHeight="1">
      <c r="A962" s="330"/>
      <c r="B962" s="1068" t="s">
        <v>120</v>
      </c>
      <c r="C962" s="1069"/>
      <c r="D962" s="1069"/>
      <c r="E962" s="1069"/>
      <c r="F962" s="1069"/>
      <c r="G962" s="1069"/>
      <c r="H962" s="1083">
        <f>'0422Master'!D10</f>
        <v>44652</v>
      </c>
      <c r="I962" s="1070"/>
      <c r="J962" s="1070"/>
      <c r="K962" s="1070"/>
      <c r="L962" s="1071"/>
    </row>
    <row r="963" spans="1:13" ht="27" customHeight="1">
      <c r="A963" s="330"/>
      <c r="B963" s="1068" t="s">
        <v>121</v>
      </c>
      <c r="C963" s="1069"/>
      <c r="D963" s="1069"/>
      <c r="E963" s="1069"/>
      <c r="F963" s="1069"/>
      <c r="G963" s="1069"/>
      <c r="H963" s="1070" t="s">
        <v>122</v>
      </c>
      <c r="I963" s="1070"/>
      <c r="J963" s="1070"/>
      <c r="K963" s="1070"/>
      <c r="L963" s="1071"/>
    </row>
    <row r="964" spans="1:13" ht="27" customHeight="1">
      <c r="A964" s="330"/>
      <c r="B964" s="332" t="s">
        <v>123</v>
      </c>
      <c r="C964" s="86"/>
      <c r="D964" s="86"/>
      <c r="E964" s="86"/>
      <c r="F964" s="86"/>
      <c r="G964" s="367"/>
      <c r="H964" s="735"/>
      <c r="I964" s="733"/>
      <c r="J964" s="95">
        <f>'0422Master'!W34</f>
        <v>30</v>
      </c>
      <c r="K964" s="733"/>
      <c r="L964" s="734"/>
    </row>
    <row r="965" spans="1:13" ht="27" customHeight="1">
      <c r="A965" s="330"/>
      <c r="B965" s="332" t="s">
        <v>124</v>
      </c>
      <c r="C965" s="86"/>
      <c r="D965" s="86"/>
      <c r="E965" s="86"/>
      <c r="F965" s="86"/>
      <c r="G965" s="367"/>
      <c r="H965" s="735"/>
      <c r="I965" s="733"/>
      <c r="J965" s="733" t="s">
        <v>37</v>
      </c>
      <c r="K965" s="733"/>
      <c r="L965" s="734"/>
    </row>
    <row r="966" spans="1:13" ht="27" customHeight="1">
      <c r="A966" s="330"/>
      <c r="B966" s="332" t="s">
        <v>125</v>
      </c>
      <c r="C966" s="86"/>
      <c r="D966" s="86"/>
      <c r="E966" s="86"/>
      <c r="F966" s="86"/>
      <c r="G966" s="367"/>
      <c r="H966" s="735"/>
      <c r="I966" s="733"/>
      <c r="J966" s="95">
        <v>0</v>
      </c>
      <c r="K966" s="733"/>
      <c r="L966" s="734"/>
    </row>
    <row r="967" spans="1:13" ht="27" customHeight="1">
      <c r="A967" s="330"/>
      <c r="B967" s="332" t="s">
        <v>126</v>
      </c>
      <c r="C967" s="86"/>
      <c r="D967" s="86"/>
      <c r="E967" s="86"/>
      <c r="F967" s="86"/>
      <c r="G967" s="367"/>
      <c r="H967" s="735"/>
      <c r="I967" s="733"/>
      <c r="J967" s="330"/>
      <c r="K967" s="733"/>
      <c r="L967" s="734"/>
    </row>
    <row r="968" spans="1:13" ht="27" customHeight="1">
      <c r="A968" s="330"/>
      <c r="B968" s="332" t="s">
        <v>127</v>
      </c>
      <c r="C968" s="86"/>
      <c r="D968" s="86"/>
      <c r="E968" s="86"/>
      <c r="F968" s="86"/>
      <c r="G968" s="367"/>
      <c r="H968" s="735"/>
      <c r="I968" s="733"/>
      <c r="J968" s="586">
        <f>'0422Master'!AM34</f>
        <v>43276.002619999992</v>
      </c>
      <c r="K968" s="733"/>
      <c r="L968" s="734" t="s">
        <v>35</v>
      </c>
    </row>
    <row r="969" spans="1:13" ht="27" customHeight="1">
      <c r="A969" s="330"/>
      <c r="B969" s="332" t="s">
        <v>128</v>
      </c>
      <c r="C969" s="86"/>
      <c r="D969" s="729" t="s">
        <v>32</v>
      </c>
      <c r="E969" s="731">
        <f>'0422Master'!AO34</f>
        <v>1800</v>
      </c>
      <c r="F969" s="729" t="s">
        <v>31</v>
      </c>
      <c r="G969" s="731">
        <f>'0422Master'!AN1057</f>
        <v>0</v>
      </c>
      <c r="H969" s="729" t="s">
        <v>33</v>
      </c>
      <c r="I969" s="731">
        <f>'0422Master'!AP34</f>
        <v>200</v>
      </c>
      <c r="J969" s="729" t="s">
        <v>34</v>
      </c>
      <c r="K969" s="731">
        <f>'0422Master'!AQ34</f>
        <v>0</v>
      </c>
      <c r="L969" s="100">
        <f>'0422Master'!AR34</f>
        <v>283</v>
      </c>
    </row>
    <row r="970" spans="1:13" ht="27" customHeight="1">
      <c r="A970" s="330"/>
      <c r="B970" s="332" t="s">
        <v>129</v>
      </c>
      <c r="C970" s="86"/>
      <c r="D970" s="86"/>
      <c r="E970" s="86"/>
      <c r="F970" s="86"/>
      <c r="G970" s="367"/>
      <c r="H970" s="735"/>
      <c r="I970" s="733"/>
      <c r="J970" s="95">
        <f>J968-E969-I969-K969-L969</f>
        <v>40993.002619999992</v>
      </c>
      <c r="K970" s="733"/>
      <c r="L970" s="734"/>
    </row>
    <row r="971" spans="1:13" ht="27" customHeight="1">
      <c r="A971" s="330"/>
      <c r="B971" s="333" t="s">
        <v>130</v>
      </c>
      <c r="C971" s="334"/>
      <c r="D971" s="334"/>
      <c r="E971" s="334"/>
      <c r="F971" s="334"/>
      <c r="G971" s="335"/>
      <c r="H971" s="336"/>
      <c r="I971" s="337"/>
      <c r="J971" s="337"/>
      <c r="K971" s="337"/>
      <c r="L971" s="97"/>
    </row>
    <row r="972" spans="1:13" ht="27" customHeight="1">
      <c r="A972" s="313"/>
      <c r="B972" s="358" t="s">
        <v>131</v>
      </c>
      <c r="C972" s="316"/>
      <c r="D972" s="316"/>
      <c r="E972" s="316"/>
      <c r="F972" s="316"/>
      <c r="G972" s="359"/>
      <c r="H972" s="70"/>
      <c r="I972" s="313"/>
      <c r="J972" s="313"/>
      <c r="K972" s="313"/>
      <c r="L972" s="13"/>
    </row>
    <row r="973" spans="1:13" ht="27" customHeight="1">
      <c r="A973" s="16"/>
      <c r="B973" s="587"/>
      <c r="C973" s="16"/>
      <c r="D973" s="16"/>
      <c r="E973" s="16"/>
      <c r="F973" s="16"/>
      <c r="G973" s="16"/>
      <c r="H973" s="16"/>
      <c r="I973" s="16"/>
      <c r="J973" s="16"/>
      <c r="K973" s="16"/>
      <c r="L973" s="98"/>
    </row>
    <row r="974" spans="1:13">
      <c r="A974" s="8"/>
      <c r="B974" s="8"/>
      <c r="C974" s="8"/>
      <c r="D974" s="8"/>
      <c r="E974" s="8"/>
      <c r="F974" s="8"/>
      <c r="G974" s="8"/>
      <c r="H974" s="8"/>
      <c r="I974" s="8"/>
      <c r="J974" s="8"/>
      <c r="K974" s="8"/>
      <c r="L974" s="8"/>
      <c r="M974" s="330"/>
    </row>
    <row r="975" spans="1:13">
      <c r="A975" s="8"/>
      <c r="B975" s="8"/>
      <c r="C975" s="8"/>
      <c r="D975" s="8"/>
      <c r="E975" s="8"/>
      <c r="F975" s="8"/>
      <c r="G975" s="8"/>
      <c r="H975" s="8"/>
      <c r="I975" s="8"/>
      <c r="J975" s="8"/>
      <c r="K975" s="8"/>
      <c r="L975" s="8"/>
      <c r="M975" s="330"/>
    </row>
    <row r="976" spans="1:13">
      <c r="A976" s="8"/>
      <c r="B976" s="8"/>
      <c r="C976" s="8"/>
      <c r="D976" s="8"/>
      <c r="E976" s="8"/>
      <c r="F976" s="8"/>
      <c r="G976" s="8"/>
      <c r="H976" s="8"/>
      <c r="I976" s="8"/>
      <c r="J976" s="8"/>
      <c r="K976" s="8"/>
      <c r="L976" s="8"/>
      <c r="M976" s="330"/>
    </row>
    <row r="977" spans="1:13">
      <c r="A977" s="8"/>
      <c r="B977" s="8"/>
      <c r="C977" s="8"/>
      <c r="D977" s="8"/>
      <c r="E977" s="8"/>
      <c r="F977" s="8"/>
      <c r="G977" s="8"/>
      <c r="H977" s="8"/>
      <c r="I977" s="8"/>
      <c r="J977" s="8"/>
      <c r="K977" s="8"/>
      <c r="L977" s="8"/>
      <c r="M977" s="330"/>
    </row>
    <row r="978" spans="1:13">
      <c r="A978" s="8"/>
      <c r="B978" s="8"/>
      <c r="C978" s="8"/>
      <c r="D978" s="8"/>
      <c r="E978" s="8"/>
      <c r="F978" s="8"/>
      <c r="G978" s="8"/>
      <c r="H978" s="8"/>
      <c r="I978" s="8"/>
      <c r="J978" s="8"/>
      <c r="K978" s="8"/>
      <c r="L978" s="8"/>
      <c r="M978" s="330"/>
    </row>
    <row r="979" spans="1:13">
      <c r="A979" s="8"/>
      <c r="B979" s="8"/>
      <c r="C979" s="8"/>
      <c r="D979" s="8"/>
      <c r="E979" s="8"/>
      <c r="F979" s="8"/>
      <c r="G979" s="8"/>
      <c r="H979" s="8"/>
      <c r="I979" s="8"/>
      <c r="J979" s="8"/>
      <c r="K979" s="8"/>
      <c r="L979" s="8"/>
      <c r="M979" s="330"/>
    </row>
    <row r="980" spans="1:13">
      <c r="A980" s="8"/>
      <c r="B980" s="8"/>
      <c r="C980" s="8"/>
      <c r="D980" s="8"/>
      <c r="E980" s="8"/>
      <c r="F980" s="8"/>
      <c r="G980" s="8"/>
      <c r="H980" s="8"/>
      <c r="I980" s="8"/>
      <c r="J980" s="8"/>
      <c r="K980" s="8"/>
      <c r="L980" s="8"/>
      <c r="M980" s="330"/>
    </row>
    <row r="981" spans="1:13">
      <c r="A981" s="8"/>
      <c r="B981" s="8"/>
      <c r="C981" s="8"/>
      <c r="D981" s="8"/>
      <c r="E981" s="8"/>
      <c r="F981" s="8"/>
      <c r="G981" s="8"/>
      <c r="H981" s="8"/>
      <c r="I981" s="8"/>
      <c r="J981" s="8"/>
      <c r="K981" s="8"/>
      <c r="L981" s="8"/>
      <c r="M981" s="330"/>
    </row>
    <row r="982" spans="1:13">
      <c r="A982" s="8"/>
      <c r="B982" s="8"/>
      <c r="C982" s="8"/>
      <c r="D982" s="8"/>
      <c r="E982" s="8"/>
      <c r="F982" s="8"/>
      <c r="G982" s="8"/>
      <c r="H982" s="8"/>
      <c r="I982" s="8"/>
      <c r="J982" s="8"/>
      <c r="K982" s="8"/>
      <c r="L982" s="8"/>
      <c r="M982" s="330"/>
    </row>
    <row r="983" spans="1:13">
      <c r="A983" s="8"/>
      <c r="B983" s="8"/>
      <c r="C983" s="8"/>
      <c r="D983" s="8"/>
      <c r="E983" s="8"/>
      <c r="F983" s="8"/>
      <c r="G983" s="8"/>
      <c r="H983" s="8"/>
      <c r="I983" s="8"/>
      <c r="J983" s="8"/>
      <c r="K983" s="8"/>
      <c r="L983" s="8"/>
      <c r="M983" s="330"/>
    </row>
    <row r="984" spans="1:13">
      <c r="A984" s="8"/>
      <c r="B984" s="8"/>
      <c r="C984" s="8"/>
      <c r="D984" s="8"/>
      <c r="E984" s="8"/>
      <c r="F984" s="8"/>
      <c r="G984" s="8"/>
      <c r="H984" s="8"/>
      <c r="I984" s="8"/>
      <c r="J984" s="8"/>
      <c r="K984" s="8"/>
      <c r="L984" s="8"/>
      <c r="M984" s="330"/>
    </row>
    <row r="985" spans="1:13" ht="15.75" thickBot="1">
      <c r="A985" s="330"/>
      <c r="B985" s="330"/>
      <c r="C985" s="330"/>
      <c r="D985" s="330"/>
      <c r="E985" s="330"/>
      <c r="F985" s="330"/>
      <c r="G985" s="330"/>
      <c r="H985" s="330"/>
      <c r="I985" s="330"/>
      <c r="J985" s="330"/>
      <c r="K985" s="330"/>
      <c r="L985" s="330"/>
      <c r="M985" s="330"/>
    </row>
    <row r="986" spans="1:13" ht="32.25">
      <c r="A986" s="330"/>
      <c r="B986" s="1104" t="s">
        <v>107</v>
      </c>
      <c r="C986" s="1105"/>
      <c r="D986" s="1105"/>
      <c r="E986" s="1105"/>
      <c r="F986" s="1105"/>
      <c r="G986" s="1105"/>
      <c r="H986" s="1105"/>
      <c r="I986" s="1105"/>
      <c r="J986" s="1105"/>
      <c r="K986" s="1105"/>
      <c r="L986" s="1106"/>
      <c r="M986" s="330"/>
    </row>
    <row r="987" spans="1:13" ht="23.25">
      <c r="A987" s="330"/>
      <c r="B987" s="1084" t="s">
        <v>108</v>
      </c>
      <c r="C987" s="1085"/>
      <c r="D987" s="1085"/>
      <c r="E987" s="1085"/>
      <c r="F987" s="1085"/>
      <c r="G987" s="1085"/>
      <c r="H987" s="1085"/>
      <c r="I987" s="1085"/>
      <c r="J987" s="1085"/>
      <c r="K987" s="1085"/>
      <c r="L987" s="1086"/>
      <c r="M987" s="330"/>
    </row>
    <row r="988" spans="1:13" ht="16.5" thickBot="1">
      <c r="A988" s="330"/>
      <c r="B988" s="1087" t="s">
        <v>382</v>
      </c>
      <c r="C988" s="1088"/>
      <c r="D988" s="1088"/>
      <c r="E988" s="1088"/>
      <c r="F988" s="1088"/>
      <c r="G988" s="1088"/>
      <c r="H988" s="1088"/>
      <c r="I988" s="1088"/>
      <c r="J988" s="1088"/>
      <c r="K988" s="1088"/>
      <c r="L988" s="1089"/>
      <c r="M988" s="330"/>
    </row>
    <row r="989" spans="1:13" ht="28.15" customHeight="1">
      <c r="A989" s="330"/>
      <c r="B989" s="1090" t="s">
        <v>109</v>
      </c>
      <c r="C989" s="1091"/>
      <c r="D989" s="1091"/>
      <c r="E989" s="1091"/>
      <c r="F989" s="1091"/>
      <c r="G989" s="313"/>
      <c r="H989" s="1092" t="s">
        <v>110</v>
      </c>
      <c r="I989" s="1092"/>
      <c r="J989" s="1092"/>
      <c r="K989" s="1092"/>
      <c r="L989" s="1093"/>
      <c r="M989" s="330"/>
    </row>
    <row r="990" spans="1:13" ht="28.15" customHeight="1" thickBot="1">
      <c r="A990" s="330"/>
      <c r="B990" s="1090"/>
      <c r="C990" s="1091"/>
      <c r="D990" s="1091"/>
      <c r="E990" s="1091"/>
      <c r="F990" s="1091"/>
      <c r="G990" s="313"/>
      <c r="H990" s="1092"/>
      <c r="I990" s="1092"/>
      <c r="J990" s="1092"/>
      <c r="K990" s="1092"/>
      <c r="L990" s="1093"/>
      <c r="M990" s="330"/>
    </row>
    <row r="991" spans="1:13" ht="28.15" customHeight="1">
      <c r="A991" s="330"/>
      <c r="B991" s="73"/>
      <c r="C991" s="74"/>
      <c r="D991" s="74"/>
      <c r="E991" s="74"/>
      <c r="F991" s="75"/>
      <c r="G991" s="313"/>
      <c r="H991" s="73"/>
      <c r="I991" s="74"/>
      <c r="J991" s="74"/>
      <c r="K991" s="74"/>
      <c r="L991" s="75"/>
      <c r="M991" s="330"/>
    </row>
    <row r="992" spans="1:13" ht="28.15" customHeight="1">
      <c r="A992" s="330"/>
      <c r="B992" s="76" t="s">
        <v>384</v>
      </c>
      <c r="C992" s="313"/>
      <c r="D992" s="313"/>
      <c r="E992" s="313"/>
      <c r="F992" s="13"/>
      <c r="G992" s="313"/>
      <c r="H992" s="76" t="s">
        <v>384</v>
      </c>
      <c r="I992" s="313"/>
      <c r="J992" s="313"/>
      <c r="K992" s="313"/>
      <c r="L992" s="13"/>
      <c r="M992" s="330"/>
    </row>
    <row r="993" spans="1:13" ht="28.15" customHeight="1">
      <c r="A993" s="330"/>
      <c r="B993" s="12"/>
      <c r="C993" s="313"/>
      <c r="D993" s="313"/>
      <c r="E993" s="313"/>
      <c r="F993" s="13"/>
      <c r="G993" s="313"/>
      <c r="H993" s="12"/>
      <c r="I993" s="313"/>
      <c r="J993" s="313"/>
      <c r="K993" s="313"/>
      <c r="L993" s="13"/>
      <c r="M993" s="330"/>
    </row>
    <row r="994" spans="1:13" ht="28.15" customHeight="1">
      <c r="A994" s="330"/>
      <c r="B994" s="76" t="s">
        <v>385</v>
      </c>
      <c r="C994" s="313"/>
      <c r="D994" s="313"/>
      <c r="E994" s="313"/>
      <c r="F994" s="13"/>
      <c r="G994" s="313"/>
      <c r="H994" s="76" t="s">
        <v>385</v>
      </c>
      <c r="I994" s="313"/>
      <c r="J994" s="313"/>
      <c r="K994" s="313"/>
      <c r="L994" s="13"/>
      <c r="M994" s="330"/>
    </row>
    <row r="995" spans="1:13" ht="28.15" customHeight="1" thickBot="1">
      <c r="A995" s="330"/>
      <c r="B995" s="24"/>
      <c r="C995" s="22"/>
      <c r="D995" s="22"/>
      <c r="E995" s="22"/>
      <c r="F995" s="23"/>
      <c r="G995" s="313"/>
      <c r="H995" s="24"/>
      <c r="I995" s="22"/>
      <c r="J995" s="22"/>
      <c r="K995" s="22"/>
      <c r="L995" s="23"/>
      <c r="M995" s="330"/>
    </row>
    <row r="996" spans="1:13" ht="28.15" customHeight="1">
      <c r="A996" s="330"/>
      <c r="B996" s="12"/>
      <c r="C996" s="313"/>
      <c r="D996" s="313"/>
      <c r="E996" s="313"/>
      <c r="F996" s="313"/>
      <c r="G996" s="313"/>
      <c r="H996" s="313"/>
      <c r="I996" s="313"/>
      <c r="J996" s="313" t="s">
        <v>111</v>
      </c>
      <c r="K996" s="313"/>
      <c r="L996" s="13"/>
      <c r="M996" s="330"/>
    </row>
    <row r="997" spans="1:13" ht="28.15" customHeight="1">
      <c r="A997" s="330"/>
      <c r="B997" s="1094" t="s">
        <v>112</v>
      </c>
      <c r="C997" s="1095"/>
      <c r="D997" s="1095"/>
      <c r="E997" s="1095"/>
      <c r="F997" s="1095"/>
      <c r="G997" s="313"/>
      <c r="H997" s="1095" t="s">
        <v>4</v>
      </c>
      <c r="I997" s="1095"/>
      <c r="J997" s="1095"/>
      <c r="K997" s="1095"/>
      <c r="L997" s="1096"/>
      <c r="M997" s="330"/>
    </row>
    <row r="998" spans="1:13" ht="28.15" customHeight="1" thickBot="1">
      <c r="A998" s="330"/>
      <c r="B998" s="12"/>
      <c r="C998" s="313"/>
      <c r="D998" s="313"/>
      <c r="E998" s="313"/>
      <c r="F998" s="313"/>
      <c r="G998" s="313"/>
      <c r="H998" s="313"/>
      <c r="I998" s="313"/>
      <c r="J998" s="313"/>
      <c r="K998" s="313"/>
      <c r="L998" s="13"/>
      <c r="M998" s="330"/>
    </row>
    <row r="999" spans="1:13" ht="28.15" customHeight="1">
      <c r="A999" s="330"/>
      <c r="B999" s="73"/>
      <c r="C999" s="74"/>
      <c r="D999" s="74"/>
      <c r="E999" s="74"/>
      <c r="F999" s="75"/>
      <c r="G999" s="313"/>
      <c r="H999" s="77"/>
      <c r="I999" s="78"/>
      <c r="J999" s="78"/>
      <c r="K999" s="78"/>
      <c r="L999" s="79"/>
      <c r="M999" s="330"/>
    </row>
    <row r="1000" spans="1:13" ht="28.15" customHeight="1">
      <c r="A1000" s="330"/>
      <c r="B1000" s="12"/>
      <c r="C1000" s="313"/>
      <c r="D1000" s="313"/>
      <c r="E1000" s="313"/>
      <c r="F1000" s="13"/>
      <c r="G1000" s="313"/>
      <c r="H1000" s="76" t="s">
        <v>522</v>
      </c>
      <c r="I1000" s="316"/>
      <c r="J1000" s="316"/>
      <c r="K1000" s="316"/>
      <c r="L1000" s="80"/>
      <c r="M1000" s="330"/>
    </row>
    <row r="1001" spans="1:13" ht="28.15" customHeight="1">
      <c r="A1001" s="330"/>
      <c r="B1001" s="76" t="s">
        <v>374</v>
      </c>
      <c r="C1001" s="313"/>
      <c r="D1001" s="313"/>
      <c r="E1001" s="313"/>
      <c r="F1001" s="13"/>
      <c r="G1001" s="313"/>
      <c r="H1001" s="76"/>
      <c r="I1001" s="316"/>
      <c r="J1001" s="316"/>
      <c r="K1001" s="316"/>
      <c r="L1001" s="80"/>
      <c r="M1001" s="330"/>
    </row>
    <row r="1002" spans="1:13" ht="28.15" customHeight="1">
      <c r="A1002" s="330"/>
      <c r="B1002" s="12"/>
      <c r="C1002" s="313"/>
      <c r="D1002" s="313"/>
      <c r="E1002" s="313"/>
      <c r="F1002" s="13"/>
      <c r="G1002" s="313"/>
      <c r="H1002" s="76" t="s">
        <v>494</v>
      </c>
      <c r="I1002" s="316"/>
      <c r="J1002" s="316"/>
      <c r="K1002" s="316"/>
      <c r="L1002" s="80"/>
      <c r="M1002" s="330"/>
    </row>
    <row r="1003" spans="1:13" ht="28.15" customHeight="1" thickBot="1">
      <c r="A1003" s="330"/>
      <c r="B1003" s="24"/>
      <c r="C1003" s="22"/>
      <c r="D1003" s="22"/>
      <c r="E1003" s="22"/>
      <c r="F1003" s="23"/>
      <c r="G1003" s="313"/>
      <c r="H1003" s="76"/>
      <c r="I1003" s="316"/>
      <c r="J1003" s="316"/>
      <c r="K1003" s="316"/>
      <c r="L1003" s="80"/>
      <c r="M1003" s="330"/>
    </row>
    <row r="1004" spans="1:13" ht="28.15" customHeight="1">
      <c r="A1004" s="330"/>
      <c r="B1004" s="1068" t="s">
        <v>113</v>
      </c>
      <c r="C1004" s="1069"/>
      <c r="D1004" s="1069"/>
      <c r="E1004" s="1069"/>
      <c r="F1004" s="1069"/>
      <c r="G1004" s="1097"/>
      <c r="H1004" s="1098" t="str">
        <f>'0422Master'!B35</f>
        <v>susheelKumar Gandla</v>
      </c>
      <c r="I1004" s="1099"/>
      <c r="J1004" s="1099"/>
      <c r="K1004" s="1099"/>
      <c r="L1004" s="1100"/>
      <c r="M1004" s="330"/>
    </row>
    <row r="1005" spans="1:13" ht="28.15" customHeight="1" thickBot="1">
      <c r="A1005" s="330"/>
      <c r="B1005" s="812"/>
      <c r="C1005" s="813"/>
      <c r="D1005" s="813"/>
      <c r="E1005" s="813"/>
      <c r="F1005" s="813"/>
      <c r="G1005" s="815"/>
      <c r="H1005" s="1101" t="str">
        <f>'0422Master'!G35</f>
        <v>Flat no.308,Block A,Akruthi srinivasan Appts,Balaji nagar,Road.3,Nizampet,Hyderabad,TS 500090</v>
      </c>
      <c r="I1005" s="1102"/>
      <c r="J1005" s="1102"/>
      <c r="K1005" s="1102"/>
      <c r="L1005" s="1103"/>
      <c r="M1005" s="330"/>
    </row>
    <row r="1006" spans="1:13" ht="28.15" customHeight="1">
      <c r="A1006" s="330"/>
      <c r="B1006" s="1072" t="s">
        <v>114</v>
      </c>
      <c r="C1006" s="1073"/>
      <c r="D1006" s="1073"/>
      <c r="E1006" s="1073"/>
      <c r="F1006" s="1073"/>
      <c r="G1006" s="1073"/>
      <c r="H1006" s="1074">
        <v>77</v>
      </c>
      <c r="I1006" s="1075"/>
      <c r="J1006" s="1075"/>
      <c r="K1006" s="1075"/>
      <c r="L1006" s="1076"/>
      <c r="M1006" s="330"/>
    </row>
    <row r="1007" spans="1:13" ht="28.15" customHeight="1">
      <c r="A1007" s="330"/>
      <c r="B1007" s="1068" t="s">
        <v>115</v>
      </c>
      <c r="C1007" s="1069"/>
      <c r="D1007" s="1069"/>
      <c r="E1007" s="1069"/>
      <c r="F1007" s="1069"/>
      <c r="G1007" s="1069"/>
      <c r="H1007" s="1077" t="str">
        <f>'0422Master'!F35</f>
        <v>Sr.Software Engineer</v>
      </c>
      <c r="I1007" s="1070"/>
      <c r="J1007" s="1070"/>
      <c r="K1007" s="1070"/>
      <c r="L1007" s="1071"/>
      <c r="M1007" s="330"/>
    </row>
    <row r="1008" spans="1:13" ht="28.15" customHeight="1">
      <c r="A1008" s="330"/>
      <c r="B1008" s="1068" t="s">
        <v>116</v>
      </c>
      <c r="C1008" s="1069"/>
      <c r="D1008" s="1069"/>
      <c r="E1008" s="1069"/>
      <c r="F1008" s="1069"/>
      <c r="G1008" s="1069"/>
      <c r="H1008" s="1078">
        <f>'0422Master'!N35</f>
        <v>44652</v>
      </c>
      <c r="I1008" s="1079"/>
      <c r="J1008" s="1079"/>
      <c r="K1008" s="1079"/>
      <c r="L1008" s="1080"/>
      <c r="M1008" s="330"/>
    </row>
    <row r="1009" spans="1:13" ht="28.15" customHeight="1">
      <c r="A1009" s="330"/>
      <c r="B1009" s="332" t="s">
        <v>117</v>
      </c>
      <c r="C1009" s="86"/>
      <c r="D1009" s="86"/>
      <c r="E1009" s="86"/>
      <c r="F1009" s="86"/>
      <c r="G1009" s="86"/>
      <c r="H1009" s="819"/>
      <c r="I1009" s="88"/>
      <c r="J1009" s="331">
        <f>'0422Master'!T1107</f>
        <v>0</v>
      </c>
      <c r="K1009" s="817"/>
      <c r="L1009" s="818"/>
      <c r="M1009" s="330"/>
    </row>
    <row r="1010" spans="1:13" ht="28.15" customHeight="1">
      <c r="A1010" s="330"/>
      <c r="B1010" s="332" t="s">
        <v>118</v>
      </c>
      <c r="C1010" s="86"/>
      <c r="D1010" s="86"/>
      <c r="E1010" s="86"/>
      <c r="F1010" s="86"/>
      <c r="G1010" s="367"/>
      <c r="H1010" s="91"/>
      <c r="I1010" s="92"/>
      <c r="J1010" s="1380" t="str">
        <f>'0422Master'!S35</f>
        <v>N/A</v>
      </c>
      <c r="K1010" s="92"/>
      <c r="L1010" s="93"/>
      <c r="M1010" s="330"/>
    </row>
    <row r="1011" spans="1:13" ht="28.15" customHeight="1">
      <c r="A1011" s="330"/>
      <c r="B1011" s="1081" t="s">
        <v>119</v>
      </c>
      <c r="C1011" s="1082"/>
      <c r="D1011" s="1082"/>
      <c r="E1011" s="1082"/>
      <c r="F1011" s="1082"/>
      <c r="G1011" s="1082"/>
      <c r="H1011" s="1074">
        <f>'0422Master'!AC35</f>
        <v>32224.199999999997</v>
      </c>
      <c r="I1011" s="1075"/>
      <c r="J1011" s="1075"/>
      <c r="K1011" s="1075"/>
      <c r="L1011" s="1076"/>
      <c r="M1011" s="330"/>
    </row>
    <row r="1012" spans="1:13" ht="28.15" customHeight="1">
      <c r="A1012" s="330"/>
      <c r="B1012" s="1068" t="s">
        <v>120</v>
      </c>
      <c r="C1012" s="1069"/>
      <c r="D1012" s="1069"/>
      <c r="E1012" s="1069"/>
      <c r="F1012" s="1069"/>
      <c r="G1012" s="1069"/>
      <c r="H1012" s="1083">
        <f>'0422Master'!D10</f>
        <v>44652</v>
      </c>
      <c r="I1012" s="1070"/>
      <c r="J1012" s="1070"/>
      <c r="K1012" s="1070"/>
      <c r="L1012" s="1071"/>
      <c r="M1012" s="330"/>
    </row>
    <row r="1013" spans="1:13" ht="28.15" customHeight="1">
      <c r="A1013" s="330"/>
      <c r="B1013" s="1068" t="s">
        <v>121</v>
      </c>
      <c r="C1013" s="1069"/>
      <c r="D1013" s="1069"/>
      <c r="E1013" s="1069"/>
      <c r="F1013" s="1069"/>
      <c r="G1013" s="1069"/>
      <c r="H1013" s="1070" t="s">
        <v>122</v>
      </c>
      <c r="I1013" s="1070"/>
      <c r="J1013" s="1070"/>
      <c r="K1013" s="1070"/>
      <c r="L1013" s="1071"/>
      <c r="M1013" s="330"/>
    </row>
    <row r="1014" spans="1:13" ht="28.15" customHeight="1">
      <c r="A1014" s="330"/>
      <c r="B1014" s="332" t="s">
        <v>123</v>
      </c>
      <c r="C1014" s="86"/>
      <c r="D1014" s="86"/>
      <c r="E1014" s="86"/>
      <c r="F1014" s="86"/>
      <c r="G1014" s="367"/>
      <c r="H1014" s="819"/>
      <c r="I1014" s="817"/>
      <c r="J1014" s="95">
        <f>'0422Master'!W35</f>
        <v>30</v>
      </c>
      <c r="K1014" s="817"/>
      <c r="L1014" s="818"/>
      <c r="M1014" s="330"/>
    </row>
    <row r="1015" spans="1:13" ht="28.15" customHeight="1">
      <c r="A1015" s="330"/>
      <c r="B1015" s="332" t="s">
        <v>124</v>
      </c>
      <c r="C1015" s="86"/>
      <c r="D1015" s="86"/>
      <c r="E1015" s="86"/>
      <c r="F1015" s="86"/>
      <c r="G1015" s="367"/>
      <c r="H1015" s="819"/>
      <c r="I1015" s="817"/>
      <c r="J1015" s="817" t="s">
        <v>37</v>
      </c>
      <c r="K1015" s="817"/>
      <c r="L1015" s="818"/>
      <c r="M1015" s="330"/>
    </row>
    <row r="1016" spans="1:13" ht="28.15" customHeight="1">
      <c r="A1016" s="330"/>
      <c r="B1016" s="332" t="s">
        <v>125</v>
      </c>
      <c r="C1016" s="86"/>
      <c r="D1016" s="86"/>
      <c r="E1016" s="86"/>
      <c r="F1016" s="86"/>
      <c r="G1016" s="367"/>
      <c r="H1016" s="819"/>
      <c r="I1016" s="817"/>
      <c r="J1016" s="95">
        <v>0</v>
      </c>
      <c r="K1016" s="817"/>
      <c r="L1016" s="818"/>
      <c r="M1016" s="330"/>
    </row>
    <row r="1017" spans="1:13" ht="28.15" customHeight="1">
      <c r="A1017" s="330"/>
      <c r="B1017" s="332" t="s">
        <v>126</v>
      </c>
      <c r="C1017" s="86"/>
      <c r="D1017" s="86"/>
      <c r="E1017" s="86"/>
      <c r="F1017" s="86"/>
      <c r="G1017" s="367"/>
      <c r="H1017" s="819"/>
      <c r="I1017" s="817"/>
      <c r="J1017" s="853">
        <v>0</v>
      </c>
      <c r="K1017" s="817"/>
      <c r="L1017" s="818"/>
      <c r="M1017" s="330"/>
    </row>
    <row r="1018" spans="1:13" ht="28.15" customHeight="1">
      <c r="A1018" s="330"/>
      <c r="B1018" s="332" t="s">
        <v>127</v>
      </c>
      <c r="C1018" s="86"/>
      <c r="D1018" s="86"/>
      <c r="E1018" s="86"/>
      <c r="F1018" s="86"/>
      <c r="G1018" s="367"/>
      <c r="H1018" s="819"/>
      <c r="I1018" s="817"/>
      <c r="J1018" s="586">
        <f>'0422Master'!AM35</f>
        <v>88276.332079999993</v>
      </c>
      <c r="K1018" s="817"/>
      <c r="L1018" s="818" t="s">
        <v>35</v>
      </c>
      <c r="M1018" s="330"/>
    </row>
    <row r="1019" spans="1:13" ht="28.15" customHeight="1">
      <c r="A1019" s="330"/>
      <c r="B1019" s="332" t="s">
        <v>128</v>
      </c>
      <c r="C1019" s="86"/>
      <c r="D1019" s="814" t="s">
        <v>32</v>
      </c>
      <c r="E1019" s="816">
        <f>'0422Master'!AO35</f>
        <v>0</v>
      </c>
      <c r="F1019" s="814" t="s">
        <v>31</v>
      </c>
      <c r="G1019" s="816">
        <f>'0422Master'!AN1107</f>
        <v>0</v>
      </c>
      <c r="H1019" s="814" t="s">
        <v>33</v>
      </c>
      <c r="I1019" s="816">
        <f>'0422Master'!AP35</f>
        <v>200</v>
      </c>
      <c r="J1019" s="814" t="s">
        <v>34</v>
      </c>
      <c r="K1019" s="816">
        <f>'0422Master'!AQ35</f>
        <v>0</v>
      </c>
      <c r="L1019" s="100">
        <f>'0422Master'!AR35</f>
        <v>0</v>
      </c>
      <c r="M1019" s="330"/>
    </row>
    <row r="1020" spans="1:13" ht="28.15" customHeight="1">
      <c r="A1020" s="330"/>
      <c r="B1020" s="332" t="s">
        <v>129</v>
      </c>
      <c r="C1020" s="86"/>
      <c r="D1020" s="86"/>
      <c r="E1020" s="86"/>
      <c r="F1020" s="86"/>
      <c r="G1020" s="367"/>
      <c r="H1020" s="819"/>
      <c r="I1020" s="817"/>
      <c r="J1020" s="95">
        <f>J1018-E1019-I1019-K1019-L1019</f>
        <v>88076.332079999993</v>
      </c>
      <c r="K1020" s="817"/>
      <c r="L1020" s="818"/>
      <c r="M1020" s="330"/>
    </row>
    <row r="1021" spans="1:13" ht="28.15" customHeight="1">
      <c r="A1021" s="330"/>
      <c r="B1021" s="333" t="s">
        <v>130</v>
      </c>
      <c r="C1021" s="334"/>
      <c r="D1021" s="334"/>
      <c r="E1021" s="334"/>
      <c r="F1021" s="334"/>
      <c r="G1021" s="335"/>
      <c r="H1021" s="336"/>
      <c r="I1021" s="337"/>
      <c r="J1021" s="337"/>
      <c r="K1021" s="337"/>
      <c r="L1021" s="97"/>
      <c r="M1021" s="330"/>
    </row>
    <row r="1022" spans="1:13" ht="28.15" customHeight="1">
      <c r="A1022" s="330"/>
      <c r="B1022" s="358" t="s">
        <v>131</v>
      </c>
      <c r="C1022" s="316"/>
      <c r="D1022" s="316"/>
      <c r="E1022" s="316"/>
      <c r="F1022" s="316"/>
      <c r="G1022" s="359"/>
      <c r="H1022" s="70"/>
      <c r="I1022" s="313"/>
      <c r="J1022" s="313"/>
      <c r="K1022" s="313"/>
      <c r="L1022" s="13"/>
      <c r="M1022" s="330"/>
    </row>
    <row r="1023" spans="1:13" ht="28.15" customHeight="1">
      <c r="A1023" s="330"/>
      <c r="B1023" s="587"/>
      <c r="C1023" s="16"/>
      <c r="D1023" s="16"/>
      <c r="E1023" s="16"/>
      <c r="F1023" s="16"/>
      <c r="G1023" s="16"/>
      <c r="H1023" s="16"/>
      <c r="I1023" s="16"/>
      <c r="J1023" s="16"/>
      <c r="K1023" s="16"/>
      <c r="L1023" s="98"/>
      <c r="M1023" s="330"/>
    </row>
    <row r="1024" spans="1:13">
      <c r="A1024" s="8"/>
      <c r="B1024" s="8"/>
      <c r="C1024" s="8"/>
      <c r="D1024" s="8"/>
      <c r="E1024" s="8"/>
      <c r="F1024" s="8"/>
      <c r="G1024" s="8"/>
      <c r="H1024" s="8"/>
      <c r="I1024" s="8"/>
      <c r="J1024" s="8"/>
      <c r="K1024" s="8"/>
      <c r="L1024" s="8"/>
      <c r="M1024" s="330"/>
    </row>
    <row r="1025" spans="1:13">
      <c r="A1025" s="8"/>
      <c r="B1025" s="8"/>
      <c r="C1025" s="8"/>
      <c r="D1025" s="8"/>
      <c r="E1025" s="8"/>
      <c r="F1025" s="8"/>
      <c r="G1025" s="8"/>
      <c r="H1025" s="8"/>
      <c r="I1025" s="8"/>
      <c r="J1025" s="8"/>
      <c r="K1025" s="8"/>
      <c r="L1025" s="8"/>
      <c r="M1025" s="330"/>
    </row>
    <row r="1026" spans="1:13">
      <c r="A1026" s="8"/>
      <c r="B1026" s="8"/>
      <c r="C1026" s="8"/>
      <c r="D1026" s="8"/>
      <c r="E1026" s="8"/>
      <c r="F1026" s="8"/>
      <c r="G1026" s="8"/>
      <c r="H1026" s="8"/>
      <c r="I1026" s="8"/>
      <c r="J1026" s="8"/>
      <c r="K1026" s="8"/>
      <c r="L1026" s="8"/>
      <c r="M1026" s="330"/>
    </row>
    <row r="1027" spans="1:13">
      <c r="A1027" s="8"/>
      <c r="B1027" s="8"/>
      <c r="C1027" s="8"/>
      <c r="D1027" s="8"/>
      <c r="E1027" s="8"/>
      <c r="F1027" s="8"/>
      <c r="G1027" s="8"/>
      <c r="H1027" s="8"/>
      <c r="I1027" s="8"/>
      <c r="J1027" s="8"/>
      <c r="K1027" s="8"/>
      <c r="L1027" s="8"/>
      <c r="M1027" s="330"/>
    </row>
    <row r="1028" spans="1:13">
      <c r="A1028" s="8"/>
      <c r="B1028" s="8"/>
      <c r="C1028" s="8"/>
      <c r="D1028" s="8"/>
      <c r="E1028" s="8"/>
      <c r="F1028" s="8"/>
      <c r="G1028" s="8"/>
      <c r="H1028" s="8"/>
      <c r="I1028" s="8"/>
      <c r="J1028" s="8"/>
      <c r="K1028" s="8"/>
      <c r="L1028" s="8"/>
      <c r="M1028" s="330"/>
    </row>
    <row r="1029" spans="1:13">
      <c r="A1029" s="8"/>
      <c r="B1029" s="8"/>
      <c r="C1029" s="8"/>
      <c r="D1029" s="8"/>
      <c r="E1029" s="8"/>
      <c r="F1029" s="8"/>
      <c r="G1029" s="8"/>
      <c r="H1029" s="8"/>
      <c r="I1029" s="8"/>
      <c r="J1029" s="8"/>
      <c r="K1029" s="8"/>
      <c r="L1029" s="8"/>
      <c r="M1029" s="330"/>
    </row>
    <row r="1030" spans="1:13">
      <c r="A1030" s="8"/>
      <c r="B1030" s="8"/>
      <c r="C1030" s="8"/>
      <c r="D1030" s="8"/>
      <c r="E1030" s="8"/>
      <c r="F1030" s="8"/>
      <c r="G1030" s="8"/>
      <c r="H1030" s="8"/>
      <c r="I1030" s="8"/>
      <c r="J1030" s="8"/>
      <c r="K1030" s="8"/>
      <c r="L1030" s="8"/>
      <c r="M1030" s="330"/>
    </row>
    <row r="1031" spans="1:13">
      <c r="A1031" s="8"/>
      <c r="B1031" s="8"/>
      <c r="C1031" s="8"/>
      <c r="D1031" s="8"/>
      <c r="E1031" s="8"/>
      <c r="F1031" s="8"/>
      <c r="G1031" s="8"/>
      <c r="H1031" s="8"/>
      <c r="I1031" s="8"/>
      <c r="J1031" s="8"/>
      <c r="K1031" s="8"/>
      <c r="L1031" s="8"/>
      <c r="M1031" s="330"/>
    </row>
    <row r="1032" spans="1:13">
      <c r="A1032" s="8"/>
      <c r="B1032" s="8"/>
      <c r="C1032" s="8"/>
      <c r="D1032" s="8"/>
      <c r="E1032" s="8"/>
      <c r="F1032" s="8"/>
      <c r="G1032" s="8"/>
      <c r="H1032" s="8"/>
      <c r="I1032" s="8"/>
      <c r="J1032" s="8"/>
      <c r="K1032" s="8"/>
      <c r="L1032" s="8"/>
      <c r="M1032" s="330"/>
    </row>
    <row r="1033" spans="1:13">
      <c r="A1033" s="8"/>
      <c r="B1033" s="8"/>
      <c r="C1033" s="8"/>
      <c r="D1033" s="8"/>
      <c r="E1033" s="8"/>
      <c r="F1033" s="8"/>
      <c r="G1033" s="8"/>
      <c r="H1033" s="8"/>
      <c r="I1033" s="8"/>
      <c r="J1033" s="8"/>
      <c r="K1033" s="8"/>
      <c r="L1033" s="8"/>
      <c r="M1033" s="330"/>
    </row>
    <row r="1034" spans="1:13">
      <c r="A1034" s="8"/>
      <c r="B1034" s="8"/>
      <c r="C1034" s="8"/>
      <c r="D1034" s="8"/>
      <c r="E1034" s="8"/>
      <c r="F1034" s="8"/>
      <c r="G1034" s="8"/>
      <c r="H1034" s="8"/>
      <c r="I1034" s="8"/>
      <c r="J1034" s="8"/>
      <c r="K1034" s="8"/>
      <c r="L1034" s="8"/>
      <c r="M1034" s="330"/>
    </row>
    <row r="1035" spans="1:13" ht="15.75" thickBot="1">
      <c r="A1035" s="330"/>
      <c r="B1035" s="330"/>
      <c r="C1035" s="330"/>
      <c r="D1035" s="330"/>
      <c r="E1035" s="330"/>
      <c r="F1035" s="330"/>
      <c r="G1035" s="330"/>
      <c r="H1035" s="330"/>
      <c r="I1035" s="330"/>
      <c r="J1035" s="330"/>
      <c r="K1035" s="330"/>
      <c r="L1035" s="330"/>
      <c r="M1035" s="330"/>
    </row>
    <row r="1036" spans="1:13" ht="32.25">
      <c r="A1036" s="330"/>
      <c r="B1036" s="1104" t="s">
        <v>107</v>
      </c>
      <c r="C1036" s="1105"/>
      <c r="D1036" s="1105"/>
      <c r="E1036" s="1105"/>
      <c r="F1036" s="1105"/>
      <c r="G1036" s="1105"/>
      <c r="H1036" s="1105"/>
      <c r="I1036" s="1105"/>
      <c r="J1036" s="1105"/>
      <c r="K1036" s="1105"/>
      <c r="L1036" s="1106"/>
      <c r="M1036" s="330"/>
    </row>
    <row r="1037" spans="1:13" ht="23.25">
      <c r="A1037" s="330"/>
      <c r="B1037" s="1084" t="s">
        <v>108</v>
      </c>
      <c r="C1037" s="1085"/>
      <c r="D1037" s="1085"/>
      <c r="E1037" s="1085"/>
      <c r="F1037" s="1085"/>
      <c r="G1037" s="1085"/>
      <c r="H1037" s="1085"/>
      <c r="I1037" s="1085"/>
      <c r="J1037" s="1085"/>
      <c r="K1037" s="1085"/>
      <c r="L1037" s="1086"/>
      <c r="M1037" s="330"/>
    </row>
    <row r="1038" spans="1:13" ht="16.5" thickBot="1">
      <c r="A1038" s="330"/>
      <c r="B1038" s="1087" t="s">
        <v>382</v>
      </c>
      <c r="C1038" s="1088"/>
      <c r="D1038" s="1088"/>
      <c r="E1038" s="1088"/>
      <c r="F1038" s="1088"/>
      <c r="G1038" s="1088"/>
      <c r="H1038" s="1088"/>
      <c r="I1038" s="1088"/>
      <c r="J1038" s="1088"/>
      <c r="K1038" s="1088"/>
      <c r="L1038" s="1089"/>
      <c r="M1038" s="330"/>
    </row>
    <row r="1039" spans="1:13">
      <c r="A1039" s="330"/>
      <c r="B1039" s="1090" t="s">
        <v>109</v>
      </c>
      <c r="C1039" s="1091"/>
      <c r="D1039" s="1091"/>
      <c r="E1039" s="1091"/>
      <c r="F1039" s="1091"/>
      <c r="G1039" s="313"/>
      <c r="H1039" s="1092" t="s">
        <v>110</v>
      </c>
      <c r="I1039" s="1092"/>
      <c r="J1039" s="1092"/>
      <c r="K1039" s="1092"/>
      <c r="L1039" s="1093"/>
      <c r="M1039" s="330"/>
    </row>
    <row r="1040" spans="1:13" ht="15.75" thickBot="1">
      <c r="A1040" s="330"/>
      <c r="B1040" s="1090"/>
      <c r="C1040" s="1091"/>
      <c r="D1040" s="1091"/>
      <c r="E1040" s="1091"/>
      <c r="F1040" s="1091"/>
      <c r="G1040" s="313"/>
      <c r="H1040" s="1092"/>
      <c r="I1040" s="1092"/>
      <c r="J1040" s="1092"/>
      <c r="K1040" s="1092"/>
      <c r="L1040" s="1093"/>
      <c r="M1040" s="330"/>
    </row>
    <row r="1041" spans="1:13">
      <c r="A1041" s="330"/>
      <c r="B1041" s="73"/>
      <c r="C1041" s="74"/>
      <c r="D1041" s="74"/>
      <c r="E1041" s="74"/>
      <c r="F1041" s="75"/>
      <c r="G1041" s="313"/>
      <c r="H1041" s="73"/>
      <c r="I1041" s="74"/>
      <c r="J1041" s="74"/>
      <c r="K1041" s="74"/>
      <c r="L1041" s="75"/>
      <c r="M1041" s="330"/>
    </row>
    <row r="1042" spans="1:13">
      <c r="A1042" s="330"/>
      <c r="B1042" s="76" t="s">
        <v>384</v>
      </c>
      <c r="C1042" s="313"/>
      <c r="D1042" s="313"/>
      <c r="E1042" s="313"/>
      <c r="F1042" s="13"/>
      <c r="G1042" s="313"/>
      <c r="H1042" s="76" t="s">
        <v>384</v>
      </c>
      <c r="I1042" s="313"/>
      <c r="J1042" s="313"/>
      <c r="K1042" s="313"/>
      <c r="L1042" s="13"/>
      <c r="M1042" s="330"/>
    </row>
    <row r="1043" spans="1:13">
      <c r="A1043" s="330"/>
      <c r="B1043" s="12"/>
      <c r="C1043" s="313"/>
      <c r="D1043" s="313"/>
      <c r="E1043" s="313"/>
      <c r="F1043" s="13"/>
      <c r="G1043" s="313"/>
      <c r="H1043" s="12"/>
      <c r="I1043" s="313"/>
      <c r="J1043" s="313"/>
      <c r="K1043" s="313"/>
      <c r="L1043" s="13"/>
      <c r="M1043" s="330"/>
    </row>
    <row r="1044" spans="1:13">
      <c r="A1044" s="330"/>
      <c r="B1044" s="76" t="s">
        <v>385</v>
      </c>
      <c r="C1044" s="313"/>
      <c r="D1044" s="313"/>
      <c r="E1044" s="313"/>
      <c r="F1044" s="13"/>
      <c r="G1044" s="313"/>
      <c r="H1044" s="76" t="s">
        <v>385</v>
      </c>
      <c r="I1044" s="313"/>
      <c r="J1044" s="313"/>
      <c r="K1044" s="313"/>
      <c r="L1044" s="13"/>
      <c r="M1044" s="330"/>
    </row>
    <row r="1045" spans="1:13" ht="15.75" thickBot="1">
      <c r="A1045" s="330"/>
      <c r="B1045" s="24"/>
      <c r="C1045" s="22"/>
      <c r="D1045" s="22"/>
      <c r="E1045" s="22"/>
      <c r="F1045" s="23"/>
      <c r="G1045" s="313"/>
      <c r="H1045" s="24"/>
      <c r="I1045" s="22"/>
      <c r="J1045" s="22"/>
      <c r="K1045" s="22"/>
      <c r="L1045" s="23"/>
      <c r="M1045" s="330"/>
    </row>
    <row r="1046" spans="1:13">
      <c r="A1046" s="330"/>
      <c r="B1046" s="12"/>
      <c r="C1046" s="313"/>
      <c r="D1046" s="313"/>
      <c r="E1046" s="313"/>
      <c r="F1046" s="313"/>
      <c r="G1046" s="313"/>
      <c r="H1046" s="313"/>
      <c r="I1046" s="313"/>
      <c r="J1046" s="313" t="s">
        <v>111</v>
      </c>
      <c r="K1046" s="313"/>
      <c r="L1046" s="13"/>
      <c r="M1046" s="330"/>
    </row>
    <row r="1047" spans="1:13">
      <c r="A1047" s="330"/>
      <c r="B1047" s="1094" t="s">
        <v>112</v>
      </c>
      <c r="C1047" s="1095"/>
      <c r="D1047" s="1095"/>
      <c r="E1047" s="1095"/>
      <c r="F1047" s="1095"/>
      <c r="G1047" s="313"/>
      <c r="H1047" s="1095" t="s">
        <v>4</v>
      </c>
      <c r="I1047" s="1095"/>
      <c r="J1047" s="1095"/>
      <c r="K1047" s="1095"/>
      <c r="L1047" s="1096"/>
      <c r="M1047" s="330"/>
    </row>
    <row r="1048" spans="1:13" ht="15.75" thickBot="1">
      <c r="A1048" s="330"/>
      <c r="B1048" s="12"/>
      <c r="C1048" s="313"/>
      <c r="D1048" s="313"/>
      <c r="E1048" s="313"/>
      <c r="F1048" s="313"/>
      <c r="G1048" s="313"/>
      <c r="H1048" s="313"/>
      <c r="I1048" s="313"/>
      <c r="J1048" s="313"/>
      <c r="K1048" s="313"/>
      <c r="L1048" s="13"/>
      <c r="M1048" s="330"/>
    </row>
    <row r="1049" spans="1:13">
      <c r="A1049" s="330"/>
      <c r="B1049" s="73"/>
      <c r="C1049" s="74"/>
      <c r="D1049" s="74"/>
      <c r="E1049" s="74"/>
      <c r="F1049" s="75"/>
      <c r="G1049" s="313"/>
      <c r="H1049" s="77"/>
      <c r="I1049" s="78"/>
      <c r="J1049" s="78"/>
      <c r="K1049" s="78"/>
      <c r="L1049" s="79"/>
      <c r="M1049" s="330"/>
    </row>
    <row r="1050" spans="1:13">
      <c r="A1050" s="330"/>
      <c r="B1050" s="12"/>
      <c r="C1050" s="313"/>
      <c r="D1050" s="313"/>
      <c r="E1050" s="313"/>
      <c r="F1050" s="13"/>
      <c r="G1050" s="313"/>
      <c r="H1050" s="76" t="s">
        <v>522</v>
      </c>
      <c r="I1050" s="316"/>
      <c r="J1050" s="316"/>
      <c r="K1050" s="316"/>
      <c r="L1050" s="80"/>
      <c r="M1050" s="330"/>
    </row>
    <row r="1051" spans="1:13">
      <c r="A1051" s="330"/>
      <c r="B1051" s="76" t="s">
        <v>374</v>
      </c>
      <c r="C1051" s="313"/>
      <c r="D1051" s="313"/>
      <c r="E1051" s="313"/>
      <c r="F1051" s="13"/>
      <c r="G1051" s="313"/>
      <c r="H1051" s="76"/>
      <c r="I1051" s="316"/>
      <c r="J1051" s="316"/>
      <c r="K1051" s="316"/>
      <c r="L1051" s="80"/>
      <c r="M1051" s="330"/>
    </row>
    <row r="1052" spans="1:13">
      <c r="A1052" s="330"/>
      <c r="B1052" s="12"/>
      <c r="C1052" s="313"/>
      <c r="D1052" s="313"/>
      <c r="E1052" s="313"/>
      <c r="F1052" s="13"/>
      <c r="G1052" s="313"/>
      <c r="H1052" s="76" t="s">
        <v>494</v>
      </c>
      <c r="I1052" s="316"/>
      <c r="J1052" s="316"/>
      <c r="K1052" s="316"/>
      <c r="L1052" s="80"/>
      <c r="M1052" s="330"/>
    </row>
    <row r="1053" spans="1:13" ht="15.75" thickBot="1">
      <c r="A1053" s="330"/>
      <c r="B1053" s="24"/>
      <c r="C1053" s="22"/>
      <c r="D1053" s="22"/>
      <c r="E1053" s="22"/>
      <c r="F1053" s="23"/>
      <c r="G1053" s="313"/>
      <c r="H1053" s="76"/>
      <c r="I1053" s="316"/>
      <c r="J1053" s="316"/>
      <c r="K1053" s="316"/>
      <c r="L1053" s="80"/>
      <c r="M1053" s="330"/>
    </row>
    <row r="1054" spans="1:13">
      <c r="A1054" s="330"/>
      <c r="B1054" s="1068" t="s">
        <v>113</v>
      </c>
      <c r="C1054" s="1069"/>
      <c r="D1054" s="1069"/>
      <c r="E1054" s="1069"/>
      <c r="F1054" s="1069"/>
      <c r="G1054" s="1097"/>
      <c r="H1054" s="1098">
        <f>'0422Master'!B134</f>
        <v>0</v>
      </c>
      <c r="I1054" s="1099"/>
      <c r="J1054" s="1099"/>
      <c r="K1054" s="1099"/>
      <c r="L1054" s="1100"/>
      <c r="M1054" s="330"/>
    </row>
    <row r="1055" spans="1:13" ht="15.75" thickBot="1">
      <c r="A1055" s="330"/>
      <c r="B1055" s="812"/>
      <c r="C1055" s="813"/>
      <c r="D1055" s="813"/>
      <c r="E1055" s="813"/>
      <c r="F1055" s="813"/>
      <c r="G1055" s="815"/>
      <c r="H1055" s="1101">
        <f>'0422Master'!G134</f>
        <v>0</v>
      </c>
      <c r="I1055" s="1102"/>
      <c r="J1055" s="1102"/>
      <c r="K1055" s="1102"/>
      <c r="L1055" s="1103"/>
      <c r="M1055" s="330"/>
    </row>
    <row r="1056" spans="1:13">
      <c r="A1056" s="330"/>
      <c r="B1056" s="1072" t="s">
        <v>114</v>
      </c>
      <c r="C1056" s="1073"/>
      <c r="D1056" s="1073"/>
      <c r="E1056" s="1073"/>
      <c r="F1056" s="1073"/>
      <c r="G1056" s="1073"/>
      <c r="H1056" s="1074">
        <v>76</v>
      </c>
      <c r="I1056" s="1075"/>
      <c r="J1056" s="1075"/>
      <c r="K1056" s="1075"/>
      <c r="L1056" s="1076"/>
      <c r="M1056" s="330"/>
    </row>
    <row r="1057" spans="1:13">
      <c r="A1057" s="330"/>
      <c r="B1057" s="1068" t="s">
        <v>115</v>
      </c>
      <c r="C1057" s="1069"/>
      <c r="D1057" s="1069"/>
      <c r="E1057" s="1069"/>
      <c r="F1057" s="1069"/>
      <c r="G1057" s="1069"/>
      <c r="H1057" s="1077">
        <f>'0422Master'!F134</f>
        <v>0</v>
      </c>
      <c r="I1057" s="1070"/>
      <c r="J1057" s="1070"/>
      <c r="K1057" s="1070"/>
      <c r="L1057" s="1071"/>
      <c r="M1057" s="330"/>
    </row>
    <row r="1058" spans="1:13">
      <c r="A1058" s="330"/>
      <c r="B1058" s="1068" t="s">
        <v>116</v>
      </c>
      <c r="C1058" s="1069"/>
      <c r="D1058" s="1069"/>
      <c r="E1058" s="1069"/>
      <c r="F1058" s="1069"/>
      <c r="G1058" s="1069"/>
      <c r="H1058" s="1078">
        <f>'0422Master'!N134</f>
        <v>0</v>
      </c>
      <c r="I1058" s="1079"/>
      <c r="J1058" s="1079"/>
      <c r="K1058" s="1079"/>
      <c r="L1058" s="1080"/>
      <c r="M1058" s="330"/>
    </row>
    <row r="1059" spans="1:13">
      <c r="A1059" s="330"/>
      <c r="B1059" s="332" t="s">
        <v>117</v>
      </c>
      <c r="C1059" s="86"/>
      <c r="D1059" s="86"/>
      <c r="E1059" s="86"/>
      <c r="F1059" s="86"/>
      <c r="G1059" s="86"/>
      <c r="H1059" s="819"/>
      <c r="I1059" s="88"/>
      <c r="J1059" s="331">
        <f>'0422Master'!T1157</f>
        <v>0</v>
      </c>
      <c r="K1059" s="817"/>
      <c r="L1059" s="818"/>
      <c r="M1059" s="330"/>
    </row>
    <row r="1060" spans="1:13">
      <c r="A1060" s="330"/>
      <c r="B1060" s="332" t="s">
        <v>118</v>
      </c>
      <c r="C1060" s="86"/>
      <c r="D1060" s="86"/>
      <c r="E1060" s="86"/>
      <c r="F1060" s="86"/>
      <c r="G1060" s="367"/>
      <c r="H1060" s="91"/>
      <c r="I1060" s="92"/>
      <c r="J1060" s="331">
        <f>'0422Master'!S134</f>
        <v>0</v>
      </c>
      <c r="K1060" s="92"/>
      <c r="L1060" s="93"/>
      <c r="M1060" s="330"/>
    </row>
    <row r="1061" spans="1:13">
      <c r="A1061" s="330"/>
      <c r="B1061" s="1081" t="s">
        <v>119</v>
      </c>
      <c r="C1061" s="1082"/>
      <c r="D1061" s="1082"/>
      <c r="E1061" s="1082"/>
      <c r="F1061" s="1082"/>
      <c r="G1061" s="1082"/>
      <c r="H1061" s="1074">
        <f>'0422Master'!Y134</f>
        <v>0</v>
      </c>
      <c r="I1061" s="1075"/>
      <c r="J1061" s="1075"/>
      <c r="K1061" s="1075"/>
      <c r="L1061" s="1076"/>
      <c r="M1061" s="330"/>
    </row>
    <row r="1062" spans="1:13">
      <c r="A1062" s="330"/>
      <c r="B1062" s="1068" t="s">
        <v>120</v>
      </c>
      <c r="C1062" s="1069"/>
      <c r="D1062" s="1069"/>
      <c r="E1062" s="1069"/>
      <c r="F1062" s="1069"/>
      <c r="G1062" s="1069"/>
      <c r="H1062" s="1083">
        <f>'0422Master'!D105</f>
        <v>0</v>
      </c>
      <c r="I1062" s="1070"/>
      <c r="J1062" s="1070"/>
      <c r="K1062" s="1070"/>
      <c r="L1062" s="1071"/>
      <c r="M1062" s="330"/>
    </row>
    <row r="1063" spans="1:13">
      <c r="A1063" s="330"/>
      <c r="B1063" s="1068" t="s">
        <v>121</v>
      </c>
      <c r="C1063" s="1069"/>
      <c r="D1063" s="1069"/>
      <c r="E1063" s="1069"/>
      <c r="F1063" s="1069"/>
      <c r="G1063" s="1069"/>
      <c r="H1063" s="1070" t="s">
        <v>122</v>
      </c>
      <c r="I1063" s="1070"/>
      <c r="J1063" s="1070"/>
      <c r="K1063" s="1070"/>
      <c r="L1063" s="1071"/>
      <c r="M1063" s="330"/>
    </row>
    <row r="1064" spans="1:13">
      <c r="A1064" s="330"/>
      <c r="B1064" s="332" t="s">
        <v>123</v>
      </c>
      <c r="C1064" s="86"/>
      <c r="D1064" s="86"/>
      <c r="E1064" s="86"/>
      <c r="F1064" s="86"/>
      <c r="G1064" s="367"/>
      <c r="H1064" s="819"/>
      <c r="I1064" s="817"/>
      <c r="J1064" s="95">
        <f>'0422Master'!W134</f>
        <v>0</v>
      </c>
      <c r="K1064" s="817"/>
      <c r="L1064" s="818"/>
      <c r="M1064" s="330"/>
    </row>
    <row r="1065" spans="1:13">
      <c r="A1065" s="330"/>
      <c r="B1065" s="332" t="s">
        <v>124</v>
      </c>
      <c r="C1065" s="86"/>
      <c r="D1065" s="86"/>
      <c r="E1065" s="86"/>
      <c r="F1065" s="86"/>
      <c r="G1065" s="367"/>
      <c r="H1065" s="819"/>
      <c r="I1065" s="817"/>
      <c r="J1065" s="817" t="s">
        <v>37</v>
      </c>
      <c r="K1065" s="817"/>
      <c r="L1065" s="818"/>
      <c r="M1065" s="330"/>
    </row>
    <row r="1066" spans="1:13">
      <c r="A1066" s="330"/>
      <c r="B1066" s="332" t="s">
        <v>125</v>
      </c>
      <c r="C1066" s="86"/>
      <c r="D1066" s="86"/>
      <c r="E1066" s="86"/>
      <c r="F1066" s="86"/>
      <c r="G1066" s="367"/>
      <c r="H1066" s="819"/>
      <c r="I1066" s="817"/>
      <c r="J1066" s="95">
        <v>0</v>
      </c>
      <c r="K1066" s="817"/>
      <c r="L1066" s="818"/>
      <c r="M1066" s="330"/>
    </row>
    <row r="1067" spans="1:13">
      <c r="A1067" s="330"/>
      <c r="B1067" s="332" t="s">
        <v>126</v>
      </c>
      <c r="C1067" s="86"/>
      <c r="D1067" s="86"/>
      <c r="E1067" s="86"/>
      <c r="F1067" s="86"/>
      <c r="G1067" s="367"/>
      <c r="H1067" s="819"/>
      <c r="I1067" s="817"/>
      <c r="J1067" s="330"/>
      <c r="K1067" s="817"/>
      <c r="L1067" s="818"/>
      <c r="M1067" s="330"/>
    </row>
    <row r="1068" spans="1:13">
      <c r="A1068" s="330"/>
      <c r="B1068" s="332" t="s">
        <v>127</v>
      </c>
      <c r="C1068" s="86"/>
      <c r="D1068" s="86"/>
      <c r="E1068" s="86"/>
      <c r="F1068" s="86"/>
      <c r="G1068" s="367"/>
      <c r="H1068" s="819"/>
      <c r="I1068" s="817"/>
      <c r="J1068" s="586">
        <f>'0422Master'!AM134</f>
        <v>0</v>
      </c>
      <c r="K1068" s="817"/>
      <c r="L1068" s="818" t="s">
        <v>35</v>
      </c>
      <c r="M1068" s="330"/>
    </row>
    <row r="1069" spans="1:13">
      <c r="A1069" s="330"/>
      <c r="B1069" s="332" t="s">
        <v>128</v>
      </c>
      <c r="C1069" s="86"/>
      <c r="D1069" s="814" t="s">
        <v>32</v>
      </c>
      <c r="E1069" s="816">
        <f>'0422Master'!AO134</f>
        <v>0</v>
      </c>
      <c r="F1069" s="814" t="s">
        <v>31</v>
      </c>
      <c r="G1069" s="816">
        <f>'0422Master'!AN1157</f>
        <v>0</v>
      </c>
      <c r="H1069" s="814" t="s">
        <v>33</v>
      </c>
      <c r="I1069" s="816">
        <f>'0422Master'!AP134</f>
        <v>0</v>
      </c>
      <c r="J1069" s="814" t="s">
        <v>34</v>
      </c>
      <c r="K1069" s="816">
        <f>'0422Master'!AQ134</f>
        <v>0</v>
      </c>
      <c r="L1069" s="100">
        <f>'0422Master'!AR134</f>
        <v>0</v>
      </c>
      <c r="M1069" s="330"/>
    </row>
    <row r="1070" spans="1:13">
      <c r="A1070" s="330"/>
      <c r="B1070" s="332" t="s">
        <v>129</v>
      </c>
      <c r="C1070" s="86"/>
      <c r="D1070" s="86"/>
      <c r="E1070" s="86"/>
      <c r="F1070" s="86"/>
      <c r="G1070" s="367"/>
      <c r="H1070" s="819"/>
      <c r="I1070" s="817"/>
      <c r="J1070" s="95">
        <f>J1068-E1069-I1069-K1069-L1069</f>
        <v>0</v>
      </c>
      <c r="K1070" s="817"/>
      <c r="L1070" s="818"/>
      <c r="M1070" s="330"/>
    </row>
    <row r="1071" spans="1:13">
      <c r="A1071" s="330"/>
      <c r="B1071" s="333" t="s">
        <v>130</v>
      </c>
      <c r="C1071" s="334"/>
      <c r="D1071" s="334"/>
      <c r="E1071" s="334"/>
      <c r="F1071" s="334"/>
      <c r="G1071" s="335"/>
      <c r="H1071" s="336"/>
      <c r="I1071" s="337"/>
      <c r="J1071" s="337"/>
      <c r="K1071" s="337"/>
      <c r="L1071" s="97"/>
      <c r="M1071" s="330"/>
    </row>
    <row r="1072" spans="1:13">
      <c r="A1072" s="313"/>
      <c r="B1072" s="358" t="s">
        <v>131</v>
      </c>
      <c r="C1072" s="316"/>
      <c r="D1072" s="316"/>
      <c r="E1072" s="316"/>
      <c r="F1072" s="316"/>
      <c r="G1072" s="359"/>
      <c r="H1072" s="70"/>
      <c r="I1072" s="313"/>
      <c r="J1072" s="313"/>
      <c r="K1072" s="313"/>
      <c r="L1072" s="13"/>
      <c r="M1072" s="330"/>
    </row>
    <row r="1073" spans="1:13">
      <c r="A1073" s="16"/>
      <c r="B1073" s="587"/>
      <c r="C1073" s="16"/>
      <c r="D1073" s="16"/>
      <c r="E1073" s="16"/>
      <c r="F1073" s="16"/>
      <c r="G1073" s="16"/>
      <c r="H1073" s="16"/>
      <c r="I1073" s="16"/>
      <c r="J1073" s="16"/>
      <c r="K1073" s="16"/>
      <c r="L1073" s="98"/>
      <c r="M1073" s="330"/>
    </row>
  </sheetData>
  <mergeCells count="462">
    <mergeCell ref="B1058:G1058"/>
    <mergeCell ref="H1058:L1058"/>
    <mergeCell ref="B1061:G1061"/>
    <mergeCell ref="H1061:L1061"/>
    <mergeCell ref="B1062:G1062"/>
    <mergeCell ref="H1062:L1062"/>
    <mergeCell ref="B1063:G1063"/>
    <mergeCell ref="H1063:L1063"/>
    <mergeCell ref="B1047:F1047"/>
    <mergeCell ref="H1047:L1047"/>
    <mergeCell ref="B1054:G1054"/>
    <mergeCell ref="H1054:L1054"/>
    <mergeCell ref="H1055:L1055"/>
    <mergeCell ref="B1056:G1056"/>
    <mergeCell ref="H1056:L1056"/>
    <mergeCell ref="B1057:G1057"/>
    <mergeCell ref="H1057:L1057"/>
    <mergeCell ref="B1012:G1012"/>
    <mergeCell ref="H1012:L1012"/>
    <mergeCell ref="B1013:G1013"/>
    <mergeCell ref="H1013:L1013"/>
    <mergeCell ref="B1036:L1036"/>
    <mergeCell ref="B1037:L1037"/>
    <mergeCell ref="B1038:L1038"/>
    <mergeCell ref="B1039:F1040"/>
    <mergeCell ref="H1039:L1040"/>
    <mergeCell ref="H1005:L1005"/>
    <mergeCell ref="B1006:G1006"/>
    <mergeCell ref="H1006:L1006"/>
    <mergeCell ref="B1007:G1007"/>
    <mergeCell ref="H1007:L1007"/>
    <mergeCell ref="B1008:G1008"/>
    <mergeCell ref="H1008:L1008"/>
    <mergeCell ref="B1011:G1011"/>
    <mergeCell ref="H1011:L1011"/>
    <mergeCell ref="B986:L986"/>
    <mergeCell ref="B987:L987"/>
    <mergeCell ref="B988:L988"/>
    <mergeCell ref="B989:F990"/>
    <mergeCell ref="H989:L990"/>
    <mergeCell ref="B997:F997"/>
    <mergeCell ref="H997:L997"/>
    <mergeCell ref="B1004:G1004"/>
    <mergeCell ref="H1004:L1004"/>
    <mergeCell ref="B961:G961"/>
    <mergeCell ref="H961:L961"/>
    <mergeCell ref="B962:G962"/>
    <mergeCell ref="H962:L962"/>
    <mergeCell ref="B963:G963"/>
    <mergeCell ref="H963:L963"/>
    <mergeCell ref="B954:G954"/>
    <mergeCell ref="H954:L954"/>
    <mergeCell ref="H955:L955"/>
    <mergeCell ref="B956:G956"/>
    <mergeCell ref="H956:L956"/>
    <mergeCell ref="B957:G957"/>
    <mergeCell ref="H957:L957"/>
    <mergeCell ref="B958:G958"/>
    <mergeCell ref="H958:L958"/>
    <mergeCell ref="B913:G913"/>
    <mergeCell ref="H913:L913"/>
    <mergeCell ref="B936:L936"/>
    <mergeCell ref="B937:L937"/>
    <mergeCell ref="B938:L938"/>
    <mergeCell ref="B939:F940"/>
    <mergeCell ref="H939:L940"/>
    <mergeCell ref="B947:F947"/>
    <mergeCell ref="H947:L947"/>
    <mergeCell ref="B906:G906"/>
    <mergeCell ref="H906:L906"/>
    <mergeCell ref="B907:G907"/>
    <mergeCell ref="H907:L907"/>
    <mergeCell ref="B908:G908"/>
    <mergeCell ref="H908:L908"/>
    <mergeCell ref="B911:G911"/>
    <mergeCell ref="H911:L911"/>
    <mergeCell ref="B912:G912"/>
    <mergeCell ref="H912:L912"/>
    <mergeCell ref="B887:L887"/>
    <mergeCell ref="B888:L888"/>
    <mergeCell ref="B889:F890"/>
    <mergeCell ref="H889:L890"/>
    <mergeCell ref="B897:F897"/>
    <mergeCell ref="H897:L897"/>
    <mergeCell ref="B904:G904"/>
    <mergeCell ref="H904:L904"/>
    <mergeCell ref="H905:L905"/>
    <mergeCell ref="B858:G858"/>
    <mergeCell ref="H858:L858"/>
    <mergeCell ref="B861:G861"/>
    <mergeCell ref="H861:L861"/>
    <mergeCell ref="B862:G862"/>
    <mergeCell ref="H862:L862"/>
    <mergeCell ref="B863:G863"/>
    <mergeCell ref="H863:L863"/>
    <mergeCell ref="B886:L886"/>
    <mergeCell ref="B847:F847"/>
    <mergeCell ref="H847:L847"/>
    <mergeCell ref="B854:G854"/>
    <mergeCell ref="H854:L854"/>
    <mergeCell ref="H855:L855"/>
    <mergeCell ref="B856:G856"/>
    <mergeCell ref="H856:L856"/>
    <mergeCell ref="B857:G857"/>
    <mergeCell ref="H857:L857"/>
    <mergeCell ref="B836:L836"/>
    <mergeCell ref="B837:L837"/>
    <mergeCell ref="B838:L838"/>
    <mergeCell ref="B839:F840"/>
    <mergeCell ref="H839:L840"/>
    <mergeCell ref="B813:G813"/>
    <mergeCell ref="H813:L813"/>
    <mergeCell ref="B806:G806"/>
    <mergeCell ref="H806:L806"/>
    <mergeCell ref="B807:G807"/>
    <mergeCell ref="H807:L807"/>
    <mergeCell ref="B808:G808"/>
    <mergeCell ref="H808:L808"/>
    <mergeCell ref="B811:G811"/>
    <mergeCell ref="H811:L811"/>
    <mergeCell ref="B812:G812"/>
    <mergeCell ref="H812:L812"/>
    <mergeCell ref="B787:L787"/>
    <mergeCell ref="B788:L788"/>
    <mergeCell ref="B789:F790"/>
    <mergeCell ref="H789:L790"/>
    <mergeCell ref="B797:F797"/>
    <mergeCell ref="H797:L797"/>
    <mergeCell ref="B804:G804"/>
    <mergeCell ref="H804:L804"/>
    <mergeCell ref="H805:L805"/>
    <mergeCell ref="B786:L786"/>
    <mergeCell ref="B762:G762"/>
    <mergeCell ref="H762:L762"/>
    <mergeCell ref="B763:G763"/>
    <mergeCell ref="H763:L763"/>
    <mergeCell ref="H755:L755"/>
    <mergeCell ref="B756:G756"/>
    <mergeCell ref="H756:L756"/>
    <mergeCell ref="B757:G757"/>
    <mergeCell ref="H757:L757"/>
    <mergeCell ref="B758:G758"/>
    <mergeCell ref="H758:L758"/>
    <mergeCell ref="B761:G761"/>
    <mergeCell ref="H761:L761"/>
    <mergeCell ref="B736:L736"/>
    <mergeCell ref="B737:L737"/>
    <mergeCell ref="B738:L738"/>
    <mergeCell ref="B739:F740"/>
    <mergeCell ref="H739:L740"/>
    <mergeCell ref="B747:F747"/>
    <mergeCell ref="H747:L747"/>
    <mergeCell ref="B754:G754"/>
    <mergeCell ref="H754:L754"/>
    <mergeCell ref="B334:G334"/>
    <mergeCell ref="H334:L334"/>
    <mergeCell ref="B335:G335"/>
    <mergeCell ref="H335:L335"/>
    <mergeCell ref="B336:G336"/>
    <mergeCell ref="H336:L336"/>
    <mergeCell ref="B327:G327"/>
    <mergeCell ref="H327:L327"/>
    <mergeCell ref="H328:L328"/>
    <mergeCell ref="B329:G329"/>
    <mergeCell ref="H329:L329"/>
    <mergeCell ref="B330:G330"/>
    <mergeCell ref="H330:L330"/>
    <mergeCell ref="B331:G331"/>
    <mergeCell ref="H331:L331"/>
    <mergeCell ref="B290:G290"/>
    <mergeCell ref="H290:L290"/>
    <mergeCell ref="B309:L309"/>
    <mergeCell ref="B310:L310"/>
    <mergeCell ref="B311:L311"/>
    <mergeCell ref="B312:F313"/>
    <mergeCell ref="H312:L313"/>
    <mergeCell ref="B320:F320"/>
    <mergeCell ref="H320:L320"/>
    <mergeCell ref="B283:G283"/>
    <mergeCell ref="H283:L283"/>
    <mergeCell ref="B284:G284"/>
    <mergeCell ref="H284:L284"/>
    <mergeCell ref="B285:G285"/>
    <mergeCell ref="H285:L285"/>
    <mergeCell ref="B288:G288"/>
    <mergeCell ref="H288:L288"/>
    <mergeCell ref="B289:G289"/>
    <mergeCell ref="H289:L289"/>
    <mergeCell ref="B264:L264"/>
    <mergeCell ref="B265:L265"/>
    <mergeCell ref="B266:F267"/>
    <mergeCell ref="H266:L267"/>
    <mergeCell ref="B274:F274"/>
    <mergeCell ref="H274:L274"/>
    <mergeCell ref="B281:G281"/>
    <mergeCell ref="H281:L281"/>
    <mergeCell ref="H282:L282"/>
    <mergeCell ref="B239:G239"/>
    <mergeCell ref="H239:L239"/>
    <mergeCell ref="B242:G242"/>
    <mergeCell ref="H242:L242"/>
    <mergeCell ref="B243:G243"/>
    <mergeCell ref="H243:L243"/>
    <mergeCell ref="B244:G244"/>
    <mergeCell ref="H244:L244"/>
    <mergeCell ref="B263:L263"/>
    <mergeCell ref="B228:F228"/>
    <mergeCell ref="H228:L228"/>
    <mergeCell ref="B235:G235"/>
    <mergeCell ref="H235:L235"/>
    <mergeCell ref="H236:L236"/>
    <mergeCell ref="B237:G237"/>
    <mergeCell ref="H237:L237"/>
    <mergeCell ref="B238:G238"/>
    <mergeCell ref="H238:L238"/>
    <mergeCell ref="B192:G192"/>
    <mergeCell ref="H192:L192"/>
    <mergeCell ref="B193:G193"/>
    <mergeCell ref="H193:L193"/>
    <mergeCell ref="B217:L217"/>
    <mergeCell ref="B218:L218"/>
    <mergeCell ref="B219:L219"/>
    <mergeCell ref="B220:F221"/>
    <mergeCell ref="H220:L221"/>
    <mergeCell ref="H185:L185"/>
    <mergeCell ref="B186:G186"/>
    <mergeCell ref="H186:L186"/>
    <mergeCell ref="B187:G187"/>
    <mergeCell ref="H187:L187"/>
    <mergeCell ref="B188:G188"/>
    <mergeCell ref="H188:L188"/>
    <mergeCell ref="B191:G191"/>
    <mergeCell ref="H191:L191"/>
    <mergeCell ref="B166:L166"/>
    <mergeCell ref="B167:L167"/>
    <mergeCell ref="B168:L168"/>
    <mergeCell ref="B169:F170"/>
    <mergeCell ref="H169:L170"/>
    <mergeCell ref="B177:F177"/>
    <mergeCell ref="H177:L177"/>
    <mergeCell ref="B184:G184"/>
    <mergeCell ref="H184:L184"/>
    <mergeCell ref="B136:G136"/>
    <mergeCell ref="H136:L136"/>
    <mergeCell ref="H128:L128"/>
    <mergeCell ref="B129:G129"/>
    <mergeCell ref="H129:L129"/>
    <mergeCell ref="B130:G130"/>
    <mergeCell ref="H130:L130"/>
    <mergeCell ref="B131:G131"/>
    <mergeCell ref="H131:L131"/>
    <mergeCell ref="B134:G134"/>
    <mergeCell ref="H134:L134"/>
    <mergeCell ref="B111:L111"/>
    <mergeCell ref="B112:F113"/>
    <mergeCell ref="H112:L113"/>
    <mergeCell ref="B120:F120"/>
    <mergeCell ref="H120:L120"/>
    <mergeCell ref="B127:G127"/>
    <mergeCell ref="H127:L127"/>
    <mergeCell ref="B135:G135"/>
    <mergeCell ref="H135:L135"/>
    <mergeCell ref="B109:L109"/>
    <mergeCell ref="B110:L110"/>
    <mergeCell ref="B28:G28"/>
    <mergeCell ref="H28:L28"/>
    <mergeCell ref="H21:L21"/>
    <mergeCell ref="B22:G22"/>
    <mergeCell ref="H22:L22"/>
    <mergeCell ref="B23:G23"/>
    <mergeCell ref="H23:L23"/>
    <mergeCell ref="B26:G26"/>
    <mergeCell ref="H26:L26"/>
    <mergeCell ref="B27:G27"/>
    <mergeCell ref="H27:L27"/>
    <mergeCell ref="B56:L56"/>
    <mergeCell ref="B57:L57"/>
    <mergeCell ref="B58:F59"/>
    <mergeCell ref="H58:L59"/>
    <mergeCell ref="B66:F66"/>
    <mergeCell ref="H66:L66"/>
    <mergeCell ref="B73:G73"/>
    <mergeCell ref="H73:L73"/>
    <mergeCell ref="B81:G81"/>
    <mergeCell ref="H81:L81"/>
    <mergeCell ref="B82:G82"/>
    <mergeCell ref="B55:L55"/>
    <mergeCell ref="H20:L20"/>
    <mergeCell ref="B21:G21"/>
    <mergeCell ref="B19:G19"/>
    <mergeCell ref="H19:L19"/>
    <mergeCell ref="B1:L1"/>
    <mergeCell ref="B2:L2"/>
    <mergeCell ref="B12:F12"/>
    <mergeCell ref="H12:L12"/>
    <mergeCell ref="B3:L3"/>
    <mergeCell ref="B4:F5"/>
    <mergeCell ref="H4:L5"/>
    <mergeCell ref="H82:L82"/>
    <mergeCell ref="H74:L74"/>
    <mergeCell ref="B75:G75"/>
    <mergeCell ref="H75:L75"/>
    <mergeCell ref="B76:G76"/>
    <mergeCell ref="H76:L76"/>
    <mergeCell ref="B77:G77"/>
    <mergeCell ref="H77:L77"/>
    <mergeCell ref="B80:G80"/>
    <mergeCell ref="H80:L80"/>
    <mergeCell ref="B373:L373"/>
    <mergeCell ref="B374:L374"/>
    <mergeCell ref="B375:L375"/>
    <mergeCell ref="B376:F377"/>
    <mergeCell ref="H376:L377"/>
    <mergeCell ref="B384:F384"/>
    <mergeCell ref="H384:L384"/>
    <mergeCell ref="B391:G391"/>
    <mergeCell ref="H391:L391"/>
    <mergeCell ref="B425:L425"/>
    <mergeCell ref="B399:G399"/>
    <mergeCell ref="H399:L399"/>
    <mergeCell ref="B400:G400"/>
    <mergeCell ref="H400:L400"/>
    <mergeCell ref="H392:L392"/>
    <mergeCell ref="B393:G393"/>
    <mergeCell ref="H393:L393"/>
    <mergeCell ref="B394:G394"/>
    <mergeCell ref="H394:L394"/>
    <mergeCell ref="B395:G395"/>
    <mergeCell ref="H395:L395"/>
    <mergeCell ref="B398:G398"/>
    <mergeCell ref="H398:L398"/>
    <mergeCell ref="B426:L426"/>
    <mergeCell ref="B427:L427"/>
    <mergeCell ref="B428:F429"/>
    <mergeCell ref="H428:L429"/>
    <mergeCell ref="B436:F436"/>
    <mergeCell ref="H436:L436"/>
    <mergeCell ref="B443:G443"/>
    <mergeCell ref="H443:L443"/>
    <mergeCell ref="H444:L444"/>
    <mergeCell ref="B445:G445"/>
    <mergeCell ref="H445:L445"/>
    <mergeCell ref="B446:G446"/>
    <mergeCell ref="H446:L446"/>
    <mergeCell ref="B447:G447"/>
    <mergeCell ref="H447:L447"/>
    <mergeCell ref="B450:G450"/>
    <mergeCell ref="H450:L450"/>
    <mergeCell ref="B451:G451"/>
    <mergeCell ref="H451:L451"/>
    <mergeCell ref="B452:G452"/>
    <mergeCell ref="H452:L452"/>
    <mergeCell ref="B480:L480"/>
    <mergeCell ref="B481:L481"/>
    <mergeCell ref="B482:L482"/>
    <mergeCell ref="B483:F484"/>
    <mergeCell ref="H483:L484"/>
    <mergeCell ref="B491:F491"/>
    <mergeCell ref="H491:L491"/>
    <mergeCell ref="B498:G498"/>
    <mergeCell ref="H498:L498"/>
    <mergeCell ref="H499:L499"/>
    <mergeCell ref="B500:G500"/>
    <mergeCell ref="H500:L500"/>
    <mergeCell ref="B501:G501"/>
    <mergeCell ref="H501:L501"/>
    <mergeCell ref="B502:G502"/>
    <mergeCell ref="H502:L502"/>
    <mergeCell ref="B505:G505"/>
    <mergeCell ref="H505:L505"/>
    <mergeCell ref="B506:G506"/>
    <mergeCell ref="H506:L506"/>
    <mergeCell ref="B507:G507"/>
    <mergeCell ref="H507:L507"/>
    <mergeCell ref="B536:L536"/>
    <mergeCell ref="B537:L537"/>
    <mergeCell ref="B538:L538"/>
    <mergeCell ref="B539:F540"/>
    <mergeCell ref="H539:L540"/>
    <mergeCell ref="B547:F547"/>
    <mergeCell ref="H547:L547"/>
    <mergeCell ref="B554:G554"/>
    <mergeCell ref="H554:L554"/>
    <mergeCell ref="H555:L555"/>
    <mergeCell ref="B556:G556"/>
    <mergeCell ref="H556:L556"/>
    <mergeCell ref="B557:G557"/>
    <mergeCell ref="H557:L557"/>
    <mergeCell ref="B558:G558"/>
    <mergeCell ref="H558:L558"/>
    <mergeCell ref="B561:G561"/>
    <mergeCell ref="H561:L561"/>
    <mergeCell ref="B562:G562"/>
    <mergeCell ref="H562:L562"/>
    <mergeCell ref="B563:G563"/>
    <mergeCell ref="H563:L563"/>
    <mergeCell ref="B586:L586"/>
    <mergeCell ref="B587:L587"/>
    <mergeCell ref="B588:L588"/>
    <mergeCell ref="B589:F590"/>
    <mergeCell ref="H589:L590"/>
    <mergeCell ref="B597:F597"/>
    <mergeCell ref="H597:L597"/>
    <mergeCell ref="B604:G604"/>
    <mergeCell ref="H604:L604"/>
    <mergeCell ref="H605:L605"/>
    <mergeCell ref="B606:G606"/>
    <mergeCell ref="H606:L606"/>
    <mergeCell ref="B607:G607"/>
    <mergeCell ref="H607:L607"/>
    <mergeCell ref="B608:G608"/>
    <mergeCell ref="H608:L608"/>
    <mergeCell ref="B611:G611"/>
    <mergeCell ref="H611:L611"/>
    <mergeCell ref="B612:G612"/>
    <mergeCell ref="H612:L612"/>
    <mergeCell ref="B613:G613"/>
    <mergeCell ref="H613:L613"/>
    <mergeCell ref="B636:L636"/>
    <mergeCell ref="B637:L637"/>
    <mergeCell ref="B638:L638"/>
    <mergeCell ref="B639:F640"/>
    <mergeCell ref="H639:L640"/>
    <mergeCell ref="B647:F647"/>
    <mergeCell ref="H647:L647"/>
    <mergeCell ref="B654:G654"/>
    <mergeCell ref="H654:L654"/>
    <mergeCell ref="H655:L655"/>
    <mergeCell ref="B656:G656"/>
    <mergeCell ref="H656:L656"/>
    <mergeCell ref="B657:G657"/>
    <mergeCell ref="H657:L657"/>
    <mergeCell ref="B658:G658"/>
    <mergeCell ref="H658:L658"/>
    <mergeCell ref="B661:G661"/>
    <mergeCell ref="H661:L661"/>
    <mergeCell ref="B662:G662"/>
    <mergeCell ref="H662:L662"/>
    <mergeCell ref="B663:G663"/>
    <mergeCell ref="H663:L663"/>
    <mergeCell ref="B686:L686"/>
    <mergeCell ref="B687:L687"/>
    <mergeCell ref="B688:L688"/>
    <mergeCell ref="B689:F690"/>
    <mergeCell ref="H689:L690"/>
    <mergeCell ref="B697:F697"/>
    <mergeCell ref="H697:L697"/>
    <mergeCell ref="B704:G704"/>
    <mergeCell ref="H704:L704"/>
    <mergeCell ref="H705:L705"/>
    <mergeCell ref="B713:G713"/>
    <mergeCell ref="H713:L713"/>
    <mergeCell ref="B706:G706"/>
    <mergeCell ref="H706:L706"/>
    <mergeCell ref="B707:G707"/>
    <mergeCell ref="H707:L707"/>
    <mergeCell ref="B708:G708"/>
    <mergeCell ref="H708:L708"/>
    <mergeCell ref="B711:G711"/>
    <mergeCell ref="H711:L711"/>
    <mergeCell ref="B712:G712"/>
    <mergeCell ref="H712:L712"/>
  </mergeCells>
  <pageMargins left="0.88" right="0.53" top="0.74803149606299213" bottom="0.74803149606299213" header="0.31496062992125984" footer="0.31496062992125984"/>
  <pageSetup scale="55" orientation="portrait" horizontalDpi="300" verticalDpi="300" r:id="rId1"/>
  <rowBreaks count="20" manualBreakCount="20">
    <brk id="54" max="16383" man="1"/>
    <brk id="108" max="16383" man="1"/>
    <brk id="165" max="16383" man="1"/>
    <brk id="216" max="16383" man="1"/>
    <brk id="262" max="16383" man="1"/>
    <brk id="308" max="16383" man="1"/>
    <brk id="372" max="16383" man="1"/>
    <brk id="424" max="16383" man="1"/>
    <brk id="479" max="16383" man="1"/>
    <brk id="535" max="16383" man="1"/>
    <brk id="585" max="16383" man="1"/>
    <brk id="635" max="16383" man="1"/>
    <brk id="685" max="16383" man="1"/>
    <brk id="735" max="16383" man="1"/>
    <brk id="785" max="16383" man="1"/>
    <brk id="835" max="16383" man="1"/>
    <brk id="885" max="12" man="1"/>
    <brk id="935" max="16383" man="1"/>
    <brk id="985" max="16383" man="1"/>
    <brk id="103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064"/>
  <sheetViews>
    <sheetView topLeftCell="F873" workbookViewId="0">
      <selection activeCell="I887" sqref="I887"/>
    </sheetView>
  </sheetViews>
  <sheetFormatPr defaultRowHeight="15"/>
  <cols>
    <col min="9" max="9" width="15.5703125" customWidth="1"/>
    <col min="10" max="10" width="3.140625" customWidth="1"/>
    <col min="19" max="19" width="15.5703125" customWidth="1"/>
  </cols>
  <sheetData>
    <row r="1" spans="1:19" ht="26.25">
      <c r="A1" s="1116" t="s">
        <v>707</v>
      </c>
      <c r="B1" s="1117"/>
      <c r="C1" s="1117"/>
      <c r="D1" s="1117"/>
      <c r="E1" s="1117"/>
      <c r="F1" s="1117"/>
      <c r="G1" s="1117"/>
      <c r="H1" s="1117"/>
      <c r="I1" s="1118"/>
      <c r="J1" s="74"/>
      <c r="K1" s="1116" t="s">
        <v>707</v>
      </c>
      <c r="L1" s="1117"/>
      <c r="M1" s="1117"/>
      <c r="N1" s="1117"/>
      <c r="O1" s="1117"/>
      <c r="P1" s="1117"/>
      <c r="Q1" s="1117"/>
      <c r="R1" s="1117"/>
      <c r="S1" s="1118"/>
    </row>
    <row r="2" spans="1:19" ht="15.75" thickBot="1">
      <c r="A2" s="1119" t="s">
        <v>708</v>
      </c>
      <c r="B2" s="1120"/>
      <c r="C2" s="1120"/>
      <c r="D2" s="1120"/>
      <c r="E2" s="1120"/>
      <c r="F2" s="1120"/>
      <c r="G2" s="1120"/>
      <c r="H2" s="1120"/>
      <c r="I2" s="1121"/>
      <c r="J2" s="22"/>
      <c r="K2" s="1119" t="s">
        <v>708</v>
      </c>
      <c r="L2" s="1120"/>
      <c r="M2" s="1120"/>
      <c r="N2" s="1120"/>
      <c r="O2" s="1120"/>
      <c r="P2" s="1120"/>
      <c r="Q2" s="1120"/>
      <c r="R2" s="1120"/>
      <c r="S2" s="1121"/>
    </row>
    <row r="3" spans="1:19">
      <c r="A3" s="12"/>
      <c r="I3" s="13"/>
      <c r="K3" s="12"/>
      <c r="S3" s="13"/>
    </row>
    <row r="4" spans="1:19">
      <c r="A4" s="14" t="s">
        <v>49</v>
      </c>
      <c r="B4" s="3"/>
      <c r="C4" s="3"/>
      <c r="D4" s="6" t="str">
        <f>'0422Master'!F5</f>
        <v>Burgeon IT Services Pvt.Ltd.</v>
      </c>
      <c r="I4" s="13"/>
      <c r="K4" s="14" t="s">
        <v>49</v>
      </c>
      <c r="L4" s="3"/>
      <c r="M4" s="3"/>
      <c r="N4" s="6" t="str">
        <f>D4</f>
        <v>Burgeon IT Services Pvt.Ltd.</v>
      </c>
      <c r="S4" s="13"/>
    </row>
    <row r="5" spans="1:19">
      <c r="A5" s="14"/>
      <c r="B5" s="3" t="str">
        <f>'0422Master'!F6</f>
        <v>Siri Mansion LIGB 436 Dr.A S Rao Nagar,Hyderabad</v>
      </c>
      <c r="C5" s="3"/>
      <c r="D5" s="3"/>
      <c r="I5" s="13"/>
      <c r="K5" s="14"/>
      <c r="L5" s="3" t="str">
        <f>B5</f>
        <v>Siri Mansion LIGB 436 Dr.A S Rao Nagar,Hyderabad</v>
      </c>
      <c r="M5" s="3"/>
      <c r="N5" s="3"/>
      <c r="S5" s="13"/>
    </row>
    <row r="6" spans="1:19">
      <c r="A6" s="14"/>
      <c r="B6" s="3">
        <f>'0422Master'!F7</f>
        <v>0</v>
      </c>
      <c r="C6" s="3"/>
      <c r="D6" s="3"/>
      <c r="E6" s="3"/>
      <c r="I6" s="13"/>
      <c r="K6" s="14"/>
      <c r="L6" s="3">
        <f>B6</f>
        <v>0</v>
      </c>
      <c r="M6" s="3"/>
      <c r="N6" s="3"/>
      <c r="O6" s="3"/>
      <c r="S6" s="13"/>
    </row>
    <row r="7" spans="1:19" ht="15" customHeight="1">
      <c r="A7" s="1113" t="s">
        <v>50</v>
      </c>
      <c r="B7" s="1114"/>
      <c r="C7" s="1114"/>
      <c r="D7" s="1114"/>
      <c r="E7" s="3"/>
      <c r="I7" s="13"/>
      <c r="K7" s="1113" t="s">
        <v>50</v>
      </c>
      <c r="L7" s="1114"/>
      <c r="M7" s="1114"/>
      <c r="N7" s="1114"/>
      <c r="O7" s="3"/>
      <c r="S7" s="13"/>
    </row>
    <row r="8" spans="1:19">
      <c r="A8" s="1113"/>
      <c r="B8" s="1114"/>
      <c r="C8" s="1114"/>
      <c r="D8" s="1114"/>
      <c r="E8" s="15" t="str">
        <f>'0422Master'!B16</f>
        <v>Shaikh Mohammed Sartaj</v>
      </c>
      <c r="F8" s="16"/>
      <c r="G8" s="16"/>
      <c r="H8" s="16" t="str">
        <f>'0422Master'!E16</f>
        <v>Shaikh Mohammad Rafique</v>
      </c>
      <c r="I8" s="13"/>
      <c r="K8" s="1113"/>
      <c r="L8" s="1114"/>
      <c r="M8" s="1114"/>
      <c r="N8" s="1114"/>
      <c r="O8" s="15" t="str">
        <f>E8</f>
        <v>Shaikh Mohammed Sartaj</v>
      </c>
      <c r="P8" s="16"/>
      <c r="Q8" s="16"/>
      <c r="R8" s="16" t="str">
        <f>H8</f>
        <v>Shaikh Mohammad Rafique</v>
      </c>
      <c r="S8" s="13"/>
    </row>
    <row r="9" spans="1:19">
      <c r="A9" s="14"/>
      <c r="B9" s="3"/>
      <c r="C9" s="3"/>
      <c r="D9" s="3"/>
      <c r="E9" s="3"/>
      <c r="I9" s="13"/>
      <c r="K9" s="14"/>
      <c r="L9" s="3"/>
      <c r="M9" s="3"/>
      <c r="N9" s="3"/>
      <c r="O9" s="3"/>
      <c r="S9" s="13"/>
    </row>
    <row r="10" spans="1:19">
      <c r="A10" s="1115" t="s">
        <v>51</v>
      </c>
      <c r="B10" s="1112"/>
      <c r="C10" s="1112"/>
      <c r="D10" s="1112"/>
      <c r="E10" s="15" t="str">
        <f>'0422Master'!F8</f>
        <v>IT SUPPORTIVE SERVICES&amp; PUNE SEZ UNIT-II</v>
      </c>
      <c r="F10" s="16"/>
      <c r="G10" s="16"/>
      <c r="H10" s="16"/>
      <c r="I10" s="13"/>
      <c r="K10" s="1115" t="s">
        <v>51</v>
      </c>
      <c r="L10" s="1112"/>
      <c r="M10" s="1112"/>
      <c r="N10" s="1112"/>
      <c r="O10" s="15" t="str">
        <f>E10</f>
        <v>IT SUPPORTIVE SERVICES&amp; PUNE SEZ UNIT-II</v>
      </c>
      <c r="P10" s="16"/>
      <c r="Q10" s="16"/>
      <c r="R10" s="16"/>
      <c r="S10" s="13"/>
    </row>
    <row r="11" spans="1:19">
      <c r="A11" s="14"/>
      <c r="B11" s="3"/>
      <c r="C11" s="3"/>
      <c r="D11" s="3"/>
      <c r="E11" s="3"/>
      <c r="I11" s="13"/>
      <c r="K11" s="14"/>
      <c r="L11" s="3"/>
      <c r="M11" s="3"/>
      <c r="N11" s="3"/>
      <c r="O11" s="3"/>
      <c r="S11" s="13"/>
    </row>
    <row r="12" spans="1:19">
      <c r="A12" s="1115" t="s">
        <v>52</v>
      </c>
      <c r="B12" s="1112"/>
      <c r="C12" s="1112"/>
      <c r="D12" s="1112"/>
      <c r="E12" s="17">
        <f>'0422Master'!D10</f>
        <v>44652</v>
      </c>
      <c r="F12" s="16"/>
      <c r="G12" s="16"/>
      <c r="H12" s="16"/>
      <c r="I12" s="13"/>
      <c r="K12" s="1115" t="s">
        <v>52</v>
      </c>
      <c r="L12" s="1112"/>
      <c r="M12" s="1112"/>
      <c r="N12" s="1112"/>
      <c r="O12" s="17">
        <f>E12</f>
        <v>44652</v>
      </c>
      <c r="P12" s="16"/>
      <c r="Q12" s="16"/>
      <c r="R12" s="16"/>
      <c r="S12" s="13"/>
    </row>
    <row r="13" spans="1:19">
      <c r="A13" s="14"/>
      <c r="B13" s="3"/>
      <c r="C13" s="3"/>
      <c r="D13" s="3"/>
      <c r="E13" s="3"/>
      <c r="I13" s="13"/>
      <c r="K13" s="14"/>
      <c r="L13" s="3"/>
      <c r="M13" s="3"/>
      <c r="N13" s="3"/>
      <c r="O13" s="3"/>
      <c r="S13" s="13"/>
    </row>
    <row r="14" spans="1:19">
      <c r="A14" s="18">
        <v>1</v>
      </c>
      <c r="B14" s="1112" t="s">
        <v>53</v>
      </c>
      <c r="C14" s="1112"/>
      <c r="D14" s="1112"/>
      <c r="E14" s="19">
        <f>'0422Master'!W16</f>
        <v>30</v>
      </c>
      <c r="F14" s="16"/>
      <c r="G14" s="16"/>
      <c r="H14" s="16"/>
      <c r="I14" s="13"/>
      <c r="K14" s="18">
        <v>1</v>
      </c>
      <c r="L14" s="1112" t="s">
        <v>53</v>
      </c>
      <c r="M14" s="1112"/>
      <c r="N14" s="1112"/>
      <c r="O14" s="19">
        <f>E14</f>
        <v>30</v>
      </c>
      <c r="P14" s="16"/>
      <c r="Q14" s="16"/>
      <c r="R14" s="16"/>
      <c r="S14" s="13"/>
    </row>
    <row r="15" spans="1:19">
      <c r="A15" s="18"/>
      <c r="B15" s="3"/>
      <c r="C15" s="3"/>
      <c r="D15" s="3"/>
      <c r="E15" s="3"/>
      <c r="I15" s="13"/>
      <c r="K15" s="18"/>
      <c r="L15" s="3"/>
      <c r="M15" s="3"/>
      <c r="N15" s="3"/>
      <c r="O15" s="3"/>
      <c r="S15" s="13"/>
    </row>
    <row r="16" spans="1:19" ht="15" customHeight="1">
      <c r="A16" s="18">
        <v>2</v>
      </c>
      <c r="B16" s="1114" t="s">
        <v>54</v>
      </c>
      <c r="C16" s="1114"/>
      <c r="D16" s="1114"/>
      <c r="E16" s="3"/>
      <c r="I16" s="13"/>
      <c r="K16" s="18">
        <v>2</v>
      </c>
      <c r="L16" s="1114" t="s">
        <v>54</v>
      </c>
      <c r="M16" s="1114"/>
      <c r="N16" s="1114"/>
      <c r="O16" s="3"/>
      <c r="S16" s="13"/>
    </row>
    <row r="17" spans="1:20">
      <c r="A17" s="18"/>
      <c r="B17" s="1114"/>
      <c r="C17" s="1114"/>
      <c r="D17" s="1114"/>
      <c r="E17" s="20" t="s">
        <v>37</v>
      </c>
      <c r="F17" s="16"/>
      <c r="G17" s="16"/>
      <c r="H17" s="16"/>
      <c r="I17" s="13"/>
      <c r="K17" s="18"/>
      <c r="L17" s="1114"/>
      <c r="M17" s="1114"/>
      <c r="N17" s="1114"/>
      <c r="O17" s="20" t="s">
        <v>37</v>
      </c>
      <c r="P17" s="16"/>
      <c r="Q17" s="16"/>
      <c r="R17" s="16"/>
      <c r="S17" s="13"/>
    </row>
    <row r="18" spans="1:20">
      <c r="A18" s="18"/>
      <c r="B18" s="3"/>
      <c r="C18" s="3"/>
      <c r="D18" s="3"/>
      <c r="E18" s="3"/>
      <c r="I18" s="13"/>
      <c r="K18" s="18"/>
      <c r="L18" s="3"/>
      <c r="M18" s="3"/>
      <c r="N18" s="3"/>
      <c r="O18" s="3"/>
      <c r="S18" s="13"/>
    </row>
    <row r="19" spans="1:20">
      <c r="A19" s="18">
        <v>3</v>
      </c>
      <c r="B19" s="1112" t="s">
        <v>55</v>
      </c>
      <c r="C19" s="1112"/>
      <c r="D19" s="1112"/>
      <c r="E19" s="20" t="s">
        <v>37</v>
      </c>
      <c r="F19" s="16"/>
      <c r="G19" s="16"/>
      <c r="H19" s="16"/>
      <c r="I19" s="13"/>
      <c r="K19" s="18">
        <v>3</v>
      </c>
      <c r="L19" s="1112" t="s">
        <v>55</v>
      </c>
      <c r="M19" s="1112"/>
      <c r="N19" s="1112"/>
      <c r="O19" s="15" t="str">
        <f>E19</f>
        <v>N/A</v>
      </c>
      <c r="P19" s="16"/>
      <c r="Q19" s="16"/>
      <c r="R19" s="16"/>
      <c r="S19" s="13"/>
    </row>
    <row r="20" spans="1:20">
      <c r="A20" s="18"/>
      <c r="B20" s="3"/>
      <c r="C20" s="3"/>
      <c r="D20" s="3"/>
      <c r="E20" s="3"/>
      <c r="I20" s="13"/>
      <c r="K20" s="18"/>
      <c r="L20" s="3"/>
      <c r="M20" s="3"/>
      <c r="N20" s="3"/>
      <c r="O20" s="3"/>
      <c r="S20" s="13"/>
    </row>
    <row r="21" spans="1:20">
      <c r="A21" s="18">
        <v>4</v>
      </c>
      <c r="B21" s="1112" t="s">
        <v>56</v>
      </c>
      <c r="C21" s="1112"/>
      <c r="D21" s="1112"/>
      <c r="E21" s="20" t="s">
        <v>57</v>
      </c>
      <c r="F21" s="16"/>
      <c r="G21" s="16"/>
      <c r="H21" s="16"/>
      <c r="I21" s="13"/>
      <c r="K21" s="18">
        <v>4</v>
      </c>
      <c r="L21" s="1112" t="s">
        <v>56</v>
      </c>
      <c r="M21" s="1112"/>
      <c r="N21" s="1112"/>
      <c r="O21" s="20" t="s">
        <v>57</v>
      </c>
      <c r="P21" s="16"/>
      <c r="Q21" s="16"/>
      <c r="R21" s="16"/>
      <c r="S21" s="13"/>
    </row>
    <row r="22" spans="1:20">
      <c r="A22" s="18"/>
      <c r="B22" s="3"/>
      <c r="C22" s="3"/>
      <c r="D22" s="3"/>
      <c r="E22" s="3"/>
      <c r="I22" s="13"/>
      <c r="K22" s="18"/>
      <c r="L22" s="3"/>
      <c r="M22" s="3"/>
      <c r="N22" s="3"/>
      <c r="O22" s="3"/>
      <c r="S22" s="13"/>
    </row>
    <row r="23" spans="1:20">
      <c r="A23" s="18">
        <v>5</v>
      </c>
      <c r="B23" s="1112" t="s">
        <v>58</v>
      </c>
      <c r="C23" s="1112"/>
      <c r="D23" s="1112"/>
      <c r="E23" s="274">
        <f>'0422Master'!AM16</f>
        <v>88276.332079999993</v>
      </c>
      <c r="I23" s="13"/>
      <c r="K23" s="18">
        <v>5</v>
      </c>
      <c r="L23" s="1112" t="s">
        <v>58</v>
      </c>
      <c r="M23" s="1112"/>
      <c r="N23" s="1112"/>
      <c r="O23" s="274">
        <f>E23</f>
        <v>88276.332079999993</v>
      </c>
      <c r="S23" s="13"/>
    </row>
    <row r="24" spans="1:20">
      <c r="A24" s="18"/>
      <c r="B24" s="3"/>
      <c r="C24" s="3"/>
      <c r="D24" s="275" t="s">
        <v>59</v>
      </c>
      <c r="E24" s="275" t="s">
        <v>31</v>
      </c>
      <c r="F24" s="275" t="s">
        <v>33</v>
      </c>
      <c r="G24" s="275" t="s">
        <v>34</v>
      </c>
      <c r="H24" s="275" t="s">
        <v>378</v>
      </c>
      <c r="I24" s="273" t="s">
        <v>379</v>
      </c>
      <c r="K24" s="18"/>
      <c r="L24" s="3"/>
      <c r="M24" s="3"/>
      <c r="N24" s="275" t="s">
        <v>59</v>
      </c>
      <c r="O24" s="275" t="s">
        <v>31</v>
      </c>
      <c r="P24" s="275" t="s">
        <v>33</v>
      </c>
      <c r="Q24" s="275" t="s">
        <v>34</v>
      </c>
      <c r="R24" s="275" t="s">
        <v>378</v>
      </c>
      <c r="S24" s="273" t="s">
        <v>379</v>
      </c>
    </row>
    <row r="25" spans="1:20">
      <c r="A25" s="18">
        <v>6</v>
      </c>
      <c r="B25" s="25" t="s">
        <v>60</v>
      </c>
      <c r="C25" s="25"/>
      <c r="D25" s="276">
        <f>'0422Master'!AO16</f>
        <v>1800</v>
      </c>
      <c r="E25" s="276">
        <f>'0422Master'!AN16</f>
        <v>0</v>
      </c>
      <c r="F25" s="277">
        <f>'0422Master'!AP16</f>
        <v>200</v>
      </c>
      <c r="G25" s="276">
        <f>'0422Master'!AQ16</f>
        <v>0</v>
      </c>
      <c r="H25" s="277">
        <f>'0422Master'!AR16</f>
        <v>254</v>
      </c>
      <c r="I25" s="277">
        <f>D25+E25+F25+G25+H25</f>
        <v>2254</v>
      </c>
      <c r="K25" s="18">
        <v>6</v>
      </c>
      <c r="L25" s="25" t="s">
        <v>60</v>
      </c>
      <c r="M25" s="25"/>
      <c r="N25" s="276">
        <f t="shared" ref="N25:S25" si="0">D25</f>
        <v>1800</v>
      </c>
      <c r="O25" s="276">
        <f t="shared" si="0"/>
        <v>0</v>
      </c>
      <c r="P25" s="277">
        <f t="shared" si="0"/>
        <v>200</v>
      </c>
      <c r="Q25" s="276">
        <f t="shared" si="0"/>
        <v>0</v>
      </c>
      <c r="R25" s="277">
        <f t="shared" si="0"/>
        <v>254</v>
      </c>
      <c r="S25" s="277">
        <f t="shared" si="0"/>
        <v>2254</v>
      </c>
    </row>
    <row r="26" spans="1:20">
      <c r="A26" s="18"/>
      <c r="B26" s="3"/>
      <c r="C26" s="3"/>
      <c r="D26" s="3"/>
      <c r="E26" s="3"/>
      <c r="I26" s="13"/>
      <c r="K26" s="18"/>
      <c r="L26" s="3"/>
      <c r="M26" s="3"/>
      <c r="N26" s="3"/>
      <c r="O26" s="3"/>
      <c r="S26" s="13"/>
    </row>
    <row r="27" spans="1:20">
      <c r="A27" s="18">
        <v>7</v>
      </c>
      <c r="B27" s="1112" t="s">
        <v>61</v>
      </c>
      <c r="C27" s="1112"/>
      <c r="D27" s="1112"/>
      <c r="E27" s="21">
        <f>E23-I25</f>
        <v>86022.332079999993</v>
      </c>
      <c r="F27" s="16"/>
      <c r="G27" s="16"/>
      <c r="H27" s="16"/>
      <c r="I27" s="13"/>
      <c r="K27" s="18">
        <v>7</v>
      </c>
      <c r="L27" s="1112" t="s">
        <v>61</v>
      </c>
      <c r="M27" s="1112"/>
      <c r="N27" s="1112"/>
      <c r="O27" s="21">
        <f>E27</f>
        <v>86022.332079999993</v>
      </c>
      <c r="P27" s="16"/>
      <c r="Q27" s="16"/>
      <c r="R27" s="16"/>
      <c r="S27" s="13"/>
      <c r="T27">
        <v>2</v>
      </c>
    </row>
    <row r="28" spans="1:20">
      <c r="A28" s="12"/>
      <c r="I28" s="13"/>
      <c r="K28" s="12"/>
      <c r="S28" s="13"/>
    </row>
    <row r="29" spans="1:20">
      <c r="A29" s="12"/>
      <c r="I29" s="13"/>
      <c r="K29" s="12"/>
      <c r="S29" s="13"/>
    </row>
    <row r="30" spans="1:20" ht="15.75" thickBot="1">
      <c r="A30" s="12"/>
      <c r="F30" s="22"/>
      <c r="G30" s="22"/>
      <c r="H30" s="22"/>
      <c r="I30" s="23"/>
      <c r="K30" s="12"/>
      <c r="P30" s="22"/>
      <c r="Q30" s="22"/>
      <c r="R30" s="22"/>
      <c r="S30" s="23"/>
    </row>
    <row r="31" spans="1:20" ht="15.75" thickBot="1">
      <c r="A31" s="24"/>
      <c r="B31" s="22"/>
      <c r="C31" s="22"/>
      <c r="D31" s="22"/>
      <c r="E31" s="22"/>
      <c r="F31" s="1110" t="s">
        <v>62</v>
      </c>
      <c r="G31" s="1110"/>
      <c r="H31" s="1110"/>
      <c r="I31" s="1111"/>
      <c r="K31" s="24"/>
      <c r="L31" s="22"/>
      <c r="M31" s="22"/>
      <c r="N31" s="22"/>
      <c r="O31" s="22"/>
      <c r="P31" s="1110" t="s">
        <v>62</v>
      </c>
      <c r="Q31" s="1110"/>
      <c r="R31" s="1110"/>
      <c r="S31" s="1111"/>
    </row>
    <row r="44" spans="1:19" s="330" customFormat="1"/>
    <row r="45" spans="1:19" s="330" customFormat="1"/>
    <row r="46" spans="1:19" s="330" customFormat="1"/>
    <row r="47" spans="1:19" ht="27" customHeight="1" thickBot="1"/>
    <row r="48" spans="1:19" ht="26.25">
      <c r="A48" s="1116" t="s">
        <v>707</v>
      </c>
      <c r="B48" s="1117"/>
      <c r="C48" s="1117"/>
      <c r="D48" s="1117"/>
      <c r="E48" s="1117"/>
      <c r="F48" s="1117"/>
      <c r="G48" s="1117"/>
      <c r="H48" s="1117"/>
      <c r="I48" s="1118"/>
      <c r="J48" s="74"/>
      <c r="K48" s="1116" t="s">
        <v>707</v>
      </c>
      <c r="L48" s="1117"/>
      <c r="M48" s="1117"/>
      <c r="N48" s="1117"/>
      <c r="O48" s="1117"/>
      <c r="P48" s="1117"/>
      <c r="Q48" s="1117"/>
      <c r="R48" s="1117"/>
      <c r="S48" s="1118"/>
    </row>
    <row r="49" spans="1:19" ht="15.75" thickBot="1">
      <c r="A49" s="1119" t="s">
        <v>708</v>
      </c>
      <c r="B49" s="1120"/>
      <c r="C49" s="1120"/>
      <c r="D49" s="1120"/>
      <c r="E49" s="1120"/>
      <c r="F49" s="1120"/>
      <c r="G49" s="1120"/>
      <c r="H49" s="1120"/>
      <c r="I49" s="1121"/>
      <c r="J49" s="22"/>
      <c r="K49" s="1119" t="s">
        <v>708</v>
      </c>
      <c r="L49" s="1120"/>
      <c r="M49" s="1120"/>
      <c r="N49" s="1120"/>
      <c r="O49" s="1120"/>
      <c r="P49" s="1120"/>
      <c r="Q49" s="1120"/>
      <c r="R49" s="1120"/>
      <c r="S49" s="1121"/>
    </row>
    <row r="50" spans="1:19">
      <c r="A50" s="12"/>
      <c r="I50" s="13"/>
      <c r="K50" s="12"/>
      <c r="S50" s="13"/>
    </row>
    <row r="51" spans="1:19">
      <c r="A51" s="14" t="s">
        <v>49</v>
      </c>
      <c r="B51" s="3"/>
      <c r="C51" s="3"/>
      <c r="D51" s="344" t="s">
        <v>384</v>
      </c>
      <c r="I51" s="13"/>
      <c r="K51" s="14" t="s">
        <v>49</v>
      </c>
      <c r="L51" s="3"/>
      <c r="M51" s="3"/>
      <c r="N51" s="6" t="str">
        <f>D51</f>
        <v>Burgeon IT Services Pvt.Ltd.</v>
      </c>
      <c r="S51" s="13"/>
    </row>
    <row r="52" spans="1:19">
      <c r="A52" s="14"/>
      <c r="B52" s="348" t="s">
        <v>385</v>
      </c>
      <c r="C52" s="3"/>
      <c r="D52" s="3"/>
      <c r="I52" s="13"/>
      <c r="K52" s="14"/>
      <c r="L52" s="3" t="str">
        <f>B52</f>
        <v>Siri Mansion LIGB 436 Dr.A S Rao Nagar,Hyderabad</v>
      </c>
      <c r="M52" s="3"/>
      <c r="N52" s="3"/>
      <c r="S52" s="13"/>
    </row>
    <row r="53" spans="1:19">
      <c r="A53" s="14"/>
      <c r="B53" s="3">
        <f>'0422Master'!F351</f>
        <v>0</v>
      </c>
      <c r="C53" s="3"/>
      <c r="D53" s="3"/>
      <c r="E53" s="3"/>
      <c r="I53" s="13"/>
      <c r="K53" s="14"/>
      <c r="L53" s="3">
        <f>B53</f>
        <v>0</v>
      </c>
      <c r="M53" s="3"/>
      <c r="N53" s="3"/>
      <c r="O53" s="3"/>
      <c r="S53" s="13"/>
    </row>
    <row r="54" spans="1:19" ht="15" customHeight="1">
      <c r="A54" s="1113" t="s">
        <v>50</v>
      </c>
      <c r="B54" s="1114"/>
      <c r="C54" s="1114"/>
      <c r="D54" s="1114"/>
      <c r="E54" s="3"/>
      <c r="I54" s="13"/>
      <c r="K54" s="1113" t="s">
        <v>50</v>
      </c>
      <c r="L54" s="1114"/>
      <c r="M54" s="1114"/>
      <c r="N54" s="1114"/>
      <c r="O54" s="3"/>
      <c r="S54" s="13"/>
    </row>
    <row r="55" spans="1:19">
      <c r="A55" s="1113"/>
      <c r="B55" s="1114"/>
      <c r="C55" s="1114"/>
      <c r="D55" s="1114"/>
      <c r="E55" s="15" t="str">
        <f>'0422Master'!B17</f>
        <v>Moin Ahemad Jahur Ahemad Kumarkiri</v>
      </c>
      <c r="F55" s="16"/>
      <c r="G55" s="16"/>
      <c r="H55" s="13" t="str">
        <f>'0422Master'!E17</f>
        <v>Jahur Ahemad Kumarkiri</v>
      </c>
      <c r="K55" s="1113"/>
      <c r="L55" s="1114"/>
      <c r="M55" s="1114"/>
      <c r="N55" s="1114"/>
      <c r="O55" s="15" t="str">
        <f>E55</f>
        <v>Moin Ahemad Jahur Ahemad Kumarkiri</v>
      </c>
      <c r="P55" s="16"/>
      <c r="Q55" s="16"/>
      <c r="R55" s="13" t="str">
        <f>H55</f>
        <v>Jahur Ahemad Kumarkiri</v>
      </c>
    </row>
    <row r="56" spans="1:19">
      <c r="A56" s="14"/>
      <c r="B56" s="3"/>
      <c r="C56" s="3"/>
      <c r="D56" s="3"/>
      <c r="E56" s="3"/>
      <c r="I56" s="13"/>
      <c r="K56" s="14"/>
      <c r="L56" s="3"/>
      <c r="M56" s="3"/>
      <c r="N56" s="3"/>
      <c r="O56" s="3"/>
      <c r="S56" s="13"/>
    </row>
    <row r="57" spans="1:19">
      <c r="A57" s="1115" t="s">
        <v>51</v>
      </c>
      <c r="B57" s="1112"/>
      <c r="C57" s="1112"/>
      <c r="D57" s="1112"/>
      <c r="E57" s="350" t="s">
        <v>374</v>
      </c>
      <c r="F57" s="16"/>
      <c r="G57" s="16"/>
      <c r="H57" s="16"/>
      <c r="I57" s="13"/>
      <c r="K57" s="1115" t="s">
        <v>51</v>
      </c>
      <c r="L57" s="1112"/>
      <c r="M57" s="1112"/>
      <c r="N57" s="1112"/>
      <c r="O57" s="15" t="str">
        <f>E57</f>
        <v>IT SUPPORTIVE SERVICES</v>
      </c>
      <c r="P57" s="16"/>
      <c r="Q57" s="16"/>
      <c r="R57" s="16"/>
      <c r="S57" s="13"/>
    </row>
    <row r="58" spans="1:19">
      <c r="A58" s="14"/>
      <c r="B58" s="3"/>
      <c r="C58" s="3"/>
      <c r="D58" s="3"/>
      <c r="E58" s="3"/>
      <c r="I58" s="13"/>
      <c r="K58" s="14"/>
      <c r="L58" s="3"/>
      <c r="M58" s="3"/>
      <c r="N58" s="3"/>
      <c r="O58" s="3"/>
      <c r="S58" s="13"/>
    </row>
    <row r="59" spans="1:19">
      <c r="A59" s="1115" t="s">
        <v>52</v>
      </c>
      <c r="B59" s="1112"/>
      <c r="C59" s="1112"/>
      <c r="D59" s="1112"/>
      <c r="E59" s="17">
        <f>'0422Master'!D10</f>
        <v>44652</v>
      </c>
      <c r="F59" s="16"/>
      <c r="G59" s="16"/>
      <c r="H59" s="16"/>
      <c r="I59" s="13"/>
      <c r="K59" s="1115" t="s">
        <v>52</v>
      </c>
      <c r="L59" s="1112"/>
      <c r="M59" s="1112"/>
      <c r="N59" s="1112"/>
      <c r="O59" s="17">
        <f>E59</f>
        <v>44652</v>
      </c>
      <c r="P59" s="16"/>
      <c r="Q59" s="16"/>
      <c r="R59" s="16"/>
      <c r="S59" s="13"/>
    </row>
    <row r="60" spans="1:19">
      <c r="A60" s="14"/>
      <c r="B60" s="3"/>
      <c r="C60" s="3"/>
      <c r="D60" s="3"/>
      <c r="E60" s="3"/>
      <c r="I60" s="13"/>
      <c r="K60" s="14"/>
      <c r="L60" s="3"/>
      <c r="M60" s="3"/>
      <c r="N60" s="3"/>
      <c r="O60" s="3"/>
      <c r="S60" s="13"/>
    </row>
    <row r="61" spans="1:19">
      <c r="A61" s="18">
        <v>1</v>
      </c>
      <c r="B61" s="1112" t="s">
        <v>53</v>
      </c>
      <c r="C61" s="1112"/>
      <c r="D61" s="1112"/>
      <c r="E61" s="19">
        <f>'0422Master'!W17</f>
        <v>30</v>
      </c>
      <c r="F61" s="16"/>
      <c r="G61" s="16"/>
      <c r="H61" s="16"/>
      <c r="I61" s="13"/>
      <c r="K61" s="18">
        <v>1</v>
      </c>
      <c r="L61" s="1112" t="s">
        <v>53</v>
      </c>
      <c r="M61" s="1112"/>
      <c r="N61" s="1112"/>
      <c r="O61" s="19">
        <f>E61</f>
        <v>30</v>
      </c>
      <c r="P61" s="16"/>
      <c r="Q61" s="16"/>
      <c r="R61" s="16"/>
      <c r="S61" s="13"/>
    </row>
    <row r="62" spans="1:19">
      <c r="A62" s="18"/>
      <c r="B62" s="3"/>
      <c r="C62" s="3"/>
      <c r="D62" s="3"/>
      <c r="E62" s="3"/>
      <c r="I62" s="13"/>
      <c r="K62" s="18"/>
      <c r="L62" s="3"/>
      <c r="M62" s="3"/>
      <c r="N62" s="3"/>
      <c r="O62" s="3"/>
      <c r="S62" s="13"/>
    </row>
    <row r="63" spans="1:19" ht="15" customHeight="1">
      <c r="A63" s="18">
        <v>2</v>
      </c>
      <c r="B63" s="1114" t="s">
        <v>54</v>
      </c>
      <c r="C63" s="1114"/>
      <c r="D63" s="1114"/>
      <c r="E63" s="3"/>
      <c r="I63" s="13"/>
      <c r="K63" s="18">
        <v>2</v>
      </c>
      <c r="L63" s="1114" t="s">
        <v>54</v>
      </c>
      <c r="M63" s="1114"/>
      <c r="N63" s="1114"/>
      <c r="O63" s="3"/>
      <c r="S63" s="13"/>
    </row>
    <row r="64" spans="1:19">
      <c r="A64" s="18"/>
      <c r="B64" s="1114"/>
      <c r="C64" s="1114"/>
      <c r="D64" s="1114"/>
      <c r="E64" s="20" t="s">
        <v>37</v>
      </c>
      <c r="F64" s="16"/>
      <c r="G64" s="16"/>
      <c r="H64" s="16"/>
      <c r="I64" s="13"/>
      <c r="K64" s="18"/>
      <c r="L64" s="1114"/>
      <c r="M64" s="1114"/>
      <c r="N64" s="1114"/>
      <c r="O64" s="20" t="s">
        <v>37</v>
      </c>
      <c r="P64" s="16"/>
      <c r="Q64" s="16"/>
      <c r="R64" s="16"/>
      <c r="S64" s="13"/>
    </row>
    <row r="65" spans="1:20">
      <c r="A65" s="18"/>
      <c r="B65" s="3"/>
      <c r="C65" s="3"/>
      <c r="D65" s="3"/>
      <c r="E65" s="3"/>
      <c r="I65" s="13"/>
      <c r="K65" s="18"/>
      <c r="L65" s="3"/>
      <c r="M65" s="3"/>
      <c r="N65" s="3"/>
      <c r="O65" s="3"/>
      <c r="S65" s="13"/>
    </row>
    <row r="66" spans="1:20">
      <c r="A66" s="18">
        <v>3</v>
      </c>
      <c r="B66" s="1112" t="s">
        <v>55</v>
      </c>
      <c r="C66" s="1112"/>
      <c r="D66" s="1112"/>
      <c r="E66" s="20" t="s">
        <v>37</v>
      </c>
      <c r="F66" s="16"/>
      <c r="G66" s="16"/>
      <c r="H66" s="16"/>
      <c r="I66" s="13"/>
      <c r="K66" s="18">
        <v>3</v>
      </c>
      <c r="L66" s="1112" t="s">
        <v>55</v>
      </c>
      <c r="M66" s="1112"/>
      <c r="N66" s="1112"/>
      <c r="O66" s="15" t="str">
        <f>E66</f>
        <v>N/A</v>
      </c>
      <c r="P66" s="16"/>
      <c r="Q66" s="16"/>
      <c r="R66" s="16"/>
      <c r="S66" s="13"/>
    </row>
    <row r="67" spans="1:20">
      <c r="A67" s="18"/>
      <c r="B67" s="3"/>
      <c r="C67" s="3"/>
      <c r="D67" s="3"/>
      <c r="E67" s="3"/>
      <c r="I67" s="13"/>
      <c r="K67" s="18"/>
      <c r="L67" s="3"/>
      <c r="M67" s="3"/>
      <c r="N67" s="3"/>
      <c r="O67" s="3"/>
      <c r="S67" s="13"/>
    </row>
    <row r="68" spans="1:20">
      <c r="A68" s="18">
        <v>4</v>
      </c>
      <c r="B68" s="1112" t="s">
        <v>56</v>
      </c>
      <c r="C68" s="1112"/>
      <c r="D68" s="1112"/>
      <c r="E68" s="20" t="s">
        <v>57</v>
      </c>
      <c r="F68" s="16"/>
      <c r="G68" s="16"/>
      <c r="H68" s="16"/>
      <c r="I68" s="13"/>
      <c r="K68" s="18">
        <v>4</v>
      </c>
      <c r="L68" s="1112" t="s">
        <v>56</v>
      </c>
      <c r="M68" s="1112"/>
      <c r="N68" s="1112"/>
      <c r="O68" s="20" t="s">
        <v>57</v>
      </c>
      <c r="P68" s="16"/>
      <c r="Q68" s="16"/>
      <c r="R68" s="16"/>
      <c r="S68" s="13"/>
    </row>
    <row r="69" spans="1:20">
      <c r="A69" s="18"/>
      <c r="B69" s="3"/>
      <c r="C69" s="3"/>
      <c r="D69" s="3"/>
      <c r="E69" s="3"/>
      <c r="I69" s="13"/>
      <c r="K69" s="18"/>
      <c r="L69" s="3"/>
      <c r="M69" s="3"/>
      <c r="N69" s="3"/>
      <c r="O69" s="3"/>
      <c r="S69" s="13"/>
    </row>
    <row r="70" spans="1:20">
      <c r="A70" s="18">
        <v>5</v>
      </c>
      <c r="B70" s="1112" t="s">
        <v>58</v>
      </c>
      <c r="C70" s="1112"/>
      <c r="D70" s="1112"/>
      <c r="E70" s="274">
        <f>'0422Master'!AM17</f>
        <v>156275.79902000001</v>
      </c>
      <c r="I70" s="13"/>
      <c r="K70" s="18">
        <v>5</v>
      </c>
      <c r="L70" s="1112" t="s">
        <v>58</v>
      </c>
      <c r="M70" s="1112"/>
      <c r="N70" s="1112"/>
      <c r="O70" s="274">
        <f>E70</f>
        <v>156275.79902000001</v>
      </c>
      <c r="S70" s="13"/>
    </row>
    <row r="71" spans="1:20">
      <c r="A71" s="18"/>
      <c r="B71" s="3"/>
      <c r="C71" s="3"/>
      <c r="D71" s="275" t="s">
        <v>59</v>
      </c>
      <c r="E71" s="275" t="s">
        <v>31</v>
      </c>
      <c r="F71" s="275" t="s">
        <v>33</v>
      </c>
      <c r="G71" s="275" t="s">
        <v>34</v>
      </c>
      <c r="H71" s="275" t="s">
        <v>378</v>
      </c>
      <c r="I71" s="273" t="s">
        <v>379</v>
      </c>
      <c r="K71" s="18"/>
      <c r="L71" s="3"/>
      <c r="M71" s="3"/>
      <c r="N71" s="275" t="s">
        <v>59</v>
      </c>
      <c r="O71" s="275" t="s">
        <v>31</v>
      </c>
      <c r="P71" s="275" t="s">
        <v>33</v>
      </c>
      <c r="Q71" s="275" t="s">
        <v>34</v>
      </c>
      <c r="R71" s="275" t="s">
        <v>378</v>
      </c>
      <c r="S71" s="273" t="s">
        <v>379</v>
      </c>
    </row>
    <row r="72" spans="1:20">
      <c r="A72" s="18">
        <v>6</v>
      </c>
      <c r="B72" s="25" t="s">
        <v>60</v>
      </c>
      <c r="C72" s="25"/>
      <c r="D72" s="276">
        <f>'0422Master'!AO17</f>
        <v>1800</v>
      </c>
      <c r="E72" s="276">
        <f>'0422Master'!AN17</f>
        <v>0</v>
      </c>
      <c r="F72" s="277">
        <f>'0422Master'!AP17</f>
        <v>200</v>
      </c>
      <c r="G72" s="276">
        <f>'0422Master'!AQ17</f>
        <v>0</v>
      </c>
      <c r="H72" s="277">
        <f>'0422Master'!AR17</f>
        <v>254</v>
      </c>
      <c r="I72" s="277">
        <f>D72+E72+F72+G72+H72</f>
        <v>2254</v>
      </c>
      <c r="K72" s="18">
        <v>6</v>
      </c>
      <c r="L72" s="25" t="s">
        <v>60</v>
      </c>
      <c r="M72" s="25"/>
      <c r="N72" s="276">
        <f t="shared" ref="N72:S72" si="1">D72</f>
        <v>1800</v>
      </c>
      <c r="O72" s="276">
        <f t="shared" si="1"/>
        <v>0</v>
      </c>
      <c r="P72" s="277">
        <f t="shared" si="1"/>
        <v>200</v>
      </c>
      <c r="Q72" s="276">
        <f t="shared" si="1"/>
        <v>0</v>
      </c>
      <c r="R72" s="277">
        <f t="shared" si="1"/>
        <v>254</v>
      </c>
      <c r="S72" s="277">
        <f t="shared" si="1"/>
        <v>2254</v>
      </c>
      <c r="T72">
        <v>3</v>
      </c>
    </row>
    <row r="73" spans="1:20">
      <c r="A73" s="18"/>
      <c r="B73" s="3"/>
      <c r="C73" s="3"/>
      <c r="D73" s="3"/>
      <c r="E73" s="3"/>
      <c r="I73" s="13"/>
      <c r="K73" s="18"/>
      <c r="L73" s="3"/>
      <c r="M73" s="3"/>
      <c r="N73" s="3"/>
      <c r="O73" s="3"/>
      <c r="S73" s="13"/>
    </row>
    <row r="74" spans="1:20">
      <c r="A74" s="18">
        <v>7</v>
      </c>
      <c r="B74" s="1112" t="s">
        <v>61</v>
      </c>
      <c r="C74" s="1112"/>
      <c r="D74" s="1112"/>
      <c r="E74" s="21">
        <f>E70-I72</f>
        <v>154021.79902000001</v>
      </c>
      <c r="F74" s="16"/>
      <c r="G74" s="16"/>
      <c r="H74" s="16"/>
      <c r="I74" s="13"/>
      <c r="K74" s="18">
        <v>7</v>
      </c>
      <c r="L74" s="1112" t="s">
        <v>61</v>
      </c>
      <c r="M74" s="1112"/>
      <c r="N74" s="1112"/>
      <c r="O74" s="21">
        <f>E74</f>
        <v>154021.79902000001</v>
      </c>
      <c r="P74" s="16"/>
      <c r="Q74" s="16"/>
      <c r="R74" s="16"/>
      <c r="S74" s="13"/>
    </row>
    <row r="75" spans="1:20">
      <c r="A75" s="12"/>
      <c r="I75" s="13"/>
      <c r="K75" s="12"/>
      <c r="S75" s="13"/>
    </row>
    <row r="76" spans="1:20">
      <c r="A76" s="12"/>
      <c r="I76" s="13"/>
      <c r="K76" s="12"/>
      <c r="S76" s="13"/>
    </row>
    <row r="77" spans="1:20" ht="15.75" thickBot="1">
      <c r="A77" s="12"/>
      <c r="F77" s="22"/>
      <c r="G77" s="22"/>
      <c r="H77" s="22"/>
      <c r="I77" s="23"/>
      <c r="K77" s="12"/>
      <c r="P77" s="22"/>
      <c r="Q77" s="22"/>
      <c r="R77" s="22"/>
      <c r="S77" s="23"/>
    </row>
    <row r="78" spans="1:20" ht="15.75" thickBot="1">
      <c r="A78" s="24"/>
      <c r="B78" s="22"/>
      <c r="C78" s="22"/>
      <c r="D78" s="22"/>
      <c r="E78" s="22"/>
      <c r="F78" s="1110" t="s">
        <v>62</v>
      </c>
      <c r="G78" s="1110"/>
      <c r="H78" s="1110"/>
      <c r="I78" s="1111"/>
      <c r="K78" s="24"/>
      <c r="L78" s="22"/>
      <c r="M78" s="22"/>
      <c r="N78" s="22"/>
      <c r="O78" s="22"/>
      <c r="P78" s="1110" t="s">
        <v>62</v>
      </c>
      <c r="Q78" s="1110"/>
      <c r="R78" s="1110"/>
      <c r="S78" s="1111"/>
    </row>
    <row r="91" spans="1:19" s="330" customFormat="1"/>
    <row r="92" spans="1:19" s="330" customFormat="1"/>
    <row r="93" spans="1:19" s="330" customFormat="1"/>
    <row r="94" spans="1:19" ht="22.5" customHeight="1" thickBot="1"/>
    <row r="95" spans="1:19" ht="26.25">
      <c r="A95" s="1116" t="s">
        <v>707</v>
      </c>
      <c r="B95" s="1117"/>
      <c r="C95" s="1117"/>
      <c r="D95" s="1117"/>
      <c r="E95" s="1117"/>
      <c r="F95" s="1117"/>
      <c r="G95" s="1117"/>
      <c r="H95" s="1117"/>
      <c r="I95" s="1118"/>
      <c r="J95" s="74"/>
      <c r="K95" s="1116" t="s">
        <v>707</v>
      </c>
      <c r="L95" s="1117"/>
      <c r="M95" s="1117"/>
      <c r="N95" s="1117"/>
      <c r="O95" s="1117"/>
      <c r="P95" s="1117"/>
      <c r="Q95" s="1117"/>
      <c r="R95" s="1117"/>
      <c r="S95" s="1118"/>
    </row>
    <row r="96" spans="1:19" ht="15.75" thickBot="1">
      <c r="A96" s="1119" t="s">
        <v>708</v>
      </c>
      <c r="B96" s="1120"/>
      <c r="C96" s="1120"/>
      <c r="D96" s="1120"/>
      <c r="E96" s="1120"/>
      <c r="F96" s="1120"/>
      <c r="G96" s="1120"/>
      <c r="H96" s="1120"/>
      <c r="I96" s="1121"/>
      <c r="J96" s="22"/>
      <c r="K96" s="1119" t="s">
        <v>708</v>
      </c>
      <c r="L96" s="1120"/>
      <c r="M96" s="1120"/>
      <c r="N96" s="1120"/>
      <c r="O96" s="1120"/>
      <c r="P96" s="1120"/>
      <c r="Q96" s="1120"/>
      <c r="R96" s="1120"/>
      <c r="S96" s="1121"/>
    </row>
    <row r="97" spans="1:19">
      <c r="A97" s="12"/>
      <c r="I97" s="13"/>
      <c r="K97" s="12"/>
      <c r="S97" s="13"/>
    </row>
    <row r="98" spans="1:19">
      <c r="A98" s="14" t="s">
        <v>49</v>
      </c>
      <c r="B98" s="3"/>
      <c r="C98" s="3"/>
      <c r="D98" s="6" t="str">
        <f>'0422Master'!F5</f>
        <v>Burgeon IT Services Pvt.Ltd.</v>
      </c>
      <c r="I98" s="13"/>
      <c r="K98" s="14" t="s">
        <v>49</v>
      </c>
      <c r="L98" s="3"/>
      <c r="M98" s="3"/>
      <c r="N98" s="6" t="str">
        <f>D98</f>
        <v>Burgeon IT Services Pvt.Ltd.</v>
      </c>
      <c r="S98" s="13"/>
    </row>
    <row r="99" spans="1:19">
      <c r="A99" s="14"/>
      <c r="B99" s="3" t="str">
        <f>'0422Master'!F6</f>
        <v>Siri Mansion LIGB 436 Dr.A S Rao Nagar,Hyderabad</v>
      </c>
      <c r="C99" s="3"/>
      <c r="D99" s="3"/>
      <c r="I99" s="13"/>
      <c r="K99" s="14"/>
      <c r="L99" s="3" t="str">
        <f>B99</f>
        <v>Siri Mansion LIGB 436 Dr.A S Rao Nagar,Hyderabad</v>
      </c>
      <c r="M99" s="3"/>
      <c r="N99" s="3"/>
      <c r="S99" s="13"/>
    </row>
    <row r="100" spans="1:19">
      <c r="A100" s="14"/>
      <c r="B100" s="3">
        <f>'0422Master'!F395</f>
        <v>0</v>
      </c>
      <c r="C100" s="3"/>
      <c r="D100" s="3"/>
      <c r="E100" s="3"/>
      <c r="I100" s="13"/>
      <c r="K100" s="14"/>
      <c r="L100" s="3">
        <f>B100</f>
        <v>0</v>
      </c>
      <c r="M100" s="3"/>
      <c r="N100" s="3"/>
      <c r="O100" s="3"/>
      <c r="S100" s="13"/>
    </row>
    <row r="101" spans="1:19" ht="15" customHeight="1">
      <c r="A101" s="1113" t="s">
        <v>50</v>
      </c>
      <c r="B101" s="1114"/>
      <c r="C101" s="1114"/>
      <c r="D101" s="1114"/>
      <c r="E101" s="3"/>
      <c r="I101" s="13"/>
      <c r="K101" s="1113" t="s">
        <v>50</v>
      </c>
      <c r="L101" s="1114"/>
      <c r="M101" s="1114"/>
      <c r="N101" s="1114"/>
      <c r="O101" s="3"/>
      <c r="S101" s="13"/>
    </row>
    <row r="102" spans="1:19">
      <c r="A102" s="1113"/>
      <c r="B102" s="1114"/>
      <c r="C102" s="1114"/>
      <c r="D102" s="1114"/>
      <c r="E102" s="15" t="str">
        <f>'0422Master'!B18</f>
        <v>Savana Saritha Dora</v>
      </c>
      <c r="F102" s="16"/>
      <c r="G102" s="16"/>
      <c r="H102" s="16" t="str">
        <f>'0422Master'!E18</f>
        <v>Laxman gupta</v>
      </c>
      <c r="I102" s="13"/>
      <c r="K102" s="1113"/>
      <c r="L102" s="1114"/>
      <c r="M102" s="1114"/>
      <c r="N102" s="1114"/>
      <c r="O102" s="15" t="str">
        <f>E102</f>
        <v>Savana Saritha Dora</v>
      </c>
      <c r="P102" s="16"/>
      <c r="Q102" s="16"/>
      <c r="R102" s="16" t="str">
        <f>H102</f>
        <v>Laxman gupta</v>
      </c>
      <c r="S102" s="13"/>
    </row>
    <row r="103" spans="1:19">
      <c r="A103" s="14"/>
      <c r="B103" s="3"/>
      <c r="C103" s="3"/>
      <c r="D103" s="3"/>
      <c r="E103" s="3"/>
      <c r="I103" s="13"/>
      <c r="K103" s="14"/>
      <c r="L103" s="3"/>
      <c r="M103" s="3"/>
      <c r="N103" s="3"/>
      <c r="O103" s="3"/>
      <c r="S103" s="13"/>
    </row>
    <row r="104" spans="1:19">
      <c r="A104" s="1115" t="s">
        <v>51</v>
      </c>
      <c r="B104" s="1112"/>
      <c r="C104" s="1112"/>
      <c r="D104" s="1112"/>
      <c r="E104" s="15" t="str">
        <f>'0422Master'!F8</f>
        <v>IT SUPPORTIVE SERVICES&amp; PUNE SEZ UNIT-II</v>
      </c>
      <c r="F104" s="16"/>
      <c r="G104" s="16"/>
      <c r="H104" s="16"/>
      <c r="I104" s="13"/>
      <c r="K104" s="1115" t="s">
        <v>51</v>
      </c>
      <c r="L104" s="1112"/>
      <c r="M104" s="1112"/>
      <c r="N104" s="1112"/>
      <c r="O104" s="15" t="str">
        <f>E104</f>
        <v>IT SUPPORTIVE SERVICES&amp; PUNE SEZ UNIT-II</v>
      </c>
      <c r="P104" s="16"/>
      <c r="Q104" s="16"/>
      <c r="R104" s="16"/>
      <c r="S104" s="13"/>
    </row>
    <row r="105" spans="1:19">
      <c r="A105" s="14"/>
      <c r="B105" s="3"/>
      <c r="C105" s="3"/>
      <c r="D105" s="3"/>
      <c r="E105" s="3"/>
      <c r="I105" s="13"/>
      <c r="K105" s="14"/>
      <c r="L105" s="3"/>
      <c r="M105" s="3"/>
      <c r="N105" s="3"/>
      <c r="O105" s="3"/>
      <c r="S105" s="13"/>
    </row>
    <row r="106" spans="1:19">
      <c r="A106" s="1115" t="s">
        <v>52</v>
      </c>
      <c r="B106" s="1112"/>
      <c r="C106" s="1112"/>
      <c r="D106" s="1112"/>
      <c r="E106" s="17">
        <f>'0422Master'!D10</f>
        <v>44652</v>
      </c>
      <c r="F106" s="16"/>
      <c r="G106" s="16"/>
      <c r="H106" s="16"/>
      <c r="I106" s="13"/>
      <c r="K106" s="1115" t="s">
        <v>52</v>
      </c>
      <c r="L106" s="1112"/>
      <c r="M106" s="1112"/>
      <c r="N106" s="1112"/>
      <c r="O106" s="17">
        <f>E106</f>
        <v>44652</v>
      </c>
      <c r="P106" s="16"/>
      <c r="Q106" s="16"/>
      <c r="R106" s="16"/>
      <c r="S106" s="13"/>
    </row>
    <row r="107" spans="1:19">
      <c r="A107" s="14"/>
      <c r="B107" s="3"/>
      <c r="C107" s="3"/>
      <c r="D107" s="3"/>
      <c r="E107" s="3"/>
      <c r="I107" s="13"/>
      <c r="K107" s="14"/>
      <c r="L107" s="3"/>
      <c r="M107" s="3"/>
      <c r="N107" s="3"/>
      <c r="O107" s="3"/>
      <c r="S107" s="13"/>
    </row>
    <row r="108" spans="1:19">
      <c r="A108" s="18">
        <v>1</v>
      </c>
      <c r="B108" s="1112" t="s">
        <v>53</v>
      </c>
      <c r="C108" s="1112"/>
      <c r="D108" s="1112"/>
      <c r="E108" s="19">
        <f>'0422Master'!W18</f>
        <v>30</v>
      </c>
      <c r="F108" s="16"/>
      <c r="G108" s="16"/>
      <c r="H108" s="16"/>
      <c r="I108" s="13"/>
      <c r="K108" s="18">
        <v>1</v>
      </c>
      <c r="L108" s="1112" t="s">
        <v>53</v>
      </c>
      <c r="M108" s="1112"/>
      <c r="N108" s="1112"/>
      <c r="O108" s="19">
        <f>E108</f>
        <v>30</v>
      </c>
      <c r="P108" s="16"/>
      <c r="Q108" s="16"/>
      <c r="R108" s="16"/>
      <c r="S108" s="13"/>
    </row>
    <row r="109" spans="1:19">
      <c r="A109" s="18"/>
      <c r="B109" s="3"/>
      <c r="C109" s="3"/>
      <c r="D109" s="3"/>
      <c r="E109" s="3"/>
      <c r="I109" s="13"/>
      <c r="K109" s="18"/>
      <c r="L109" s="3"/>
      <c r="M109" s="3"/>
      <c r="N109" s="3"/>
      <c r="O109" s="3"/>
      <c r="S109" s="13"/>
    </row>
    <row r="110" spans="1:19" ht="15" customHeight="1">
      <c r="A110" s="18">
        <v>2</v>
      </c>
      <c r="B110" s="1114" t="s">
        <v>54</v>
      </c>
      <c r="C110" s="1114"/>
      <c r="D110" s="1114"/>
      <c r="E110" s="3"/>
      <c r="I110" s="13"/>
      <c r="K110" s="18">
        <v>2</v>
      </c>
      <c r="L110" s="1114" t="s">
        <v>54</v>
      </c>
      <c r="M110" s="1114"/>
      <c r="N110" s="1114"/>
      <c r="O110" s="3"/>
      <c r="S110" s="13"/>
    </row>
    <row r="111" spans="1:19">
      <c r="A111" s="18"/>
      <c r="B111" s="1114"/>
      <c r="C111" s="1114"/>
      <c r="D111" s="1114"/>
      <c r="E111" s="20" t="s">
        <v>37</v>
      </c>
      <c r="F111" s="16"/>
      <c r="G111" s="16"/>
      <c r="H111" s="16"/>
      <c r="I111" s="13"/>
      <c r="K111" s="18"/>
      <c r="L111" s="1114"/>
      <c r="M111" s="1114"/>
      <c r="N111" s="1114"/>
      <c r="O111" s="20" t="s">
        <v>37</v>
      </c>
      <c r="P111" s="16"/>
      <c r="Q111" s="16"/>
      <c r="R111" s="16"/>
      <c r="S111" s="13"/>
    </row>
    <row r="112" spans="1:19">
      <c r="A112" s="18"/>
      <c r="B112" s="3"/>
      <c r="C112" s="3"/>
      <c r="D112" s="3"/>
      <c r="E112" s="3"/>
      <c r="I112" s="13"/>
      <c r="K112" s="18"/>
      <c r="L112" s="3"/>
      <c r="M112" s="3"/>
      <c r="N112" s="3"/>
      <c r="O112" s="3"/>
      <c r="S112" s="13"/>
    </row>
    <row r="113" spans="1:20">
      <c r="A113" s="18">
        <v>3</v>
      </c>
      <c r="B113" s="1112" t="s">
        <v>55</v>
      </c>
      <c r="C113" s="1112"/>
      <c r="D113" s="1112"/>
      <c r="E113" s="20" t="s">
        <v>37</v>
      </c>
      <c r="F113" s="16"/>
      <c r="G113" s="16"/>
      <c r="H113" s="16"/>
      <c r="I113" s="13"/>
      <c r="K113" s="18">
        <v>3</v>
      </c>
      <c r="L113" s="1112" t="s">
        <v>55</v>
      </c>
      <c r="M113" s="1112"/>
      <c r="N113" s="1112"/>
      <c r="O113" s="15" t="str">
        <f>E113</f>
        <v>N/A</v>
      </c>
      <c r="P113" s="16"/>
      <c r="Q113" s="16"/>
      <c r="R113" s="16"/>
      <c r="S113" s="13"/>
    </row>
    <row r="114" spans="1:20">
      <c r="A114" s="18"/>
      <c r="B114" s="3"/>
      <c r="C114" s="3"/>
      <c r="D114" s="3"/>
      <c r="E114" s="3"/>
      <c r="I114" s="13"/>
      <c r="K114" s="18"/>
      <c r="L114" s="3"/>
      <c r="M114" s="3"/>
      <c r="N114" s="3"/>
      <c r="O114" s="3"/>
      <c r="S114" s="13"/>
    </row>
    <row r="115" spans="1:20">
      <c r="A115" s="18">
        <v>4</v>
      </c>
      <c r="B115" s="1112" t="s">
        <v>56</v>
      </c>
      <c r="C115" s="1112"/>
      <c r="D115" s="1112"/>
      <c r="E115" s="20" t="s">
        <v>57</v>
      </c>
      <c r="F115" s="16"/>
      <c r="G115" s="16"/>
      <c r="H115" s="16"/>
      <c r="I115" s="13"/>
      <c r="K115" s="18">
        <v>4</v>
      </c>
      <c r="L115" s="1112" t="s">
        <v>56</v>
      </c>
      <c r="M115" s="1112"/>
      <c r="N115" s="1112"/>
      <c r="O115" s="20" t="s">
        <v>57</v>
      </c>
      <c r="P115" s="16"/>
      <c r="Q115" s="16"/>
      <c r="R115" s="16"/>
      <c r="S115" s="13"/>
    </row>
    <row r="116" spans="1:20">
      <c r="A116" s="18"/>
      <c r="B116" s="3"/>
      <c r="C116" s="3"/>
      <c r="D116" s="3"/>
      <c r="E116" s="3"/>
      <c r="I116" s="13"/>
      <c r="K116" s="18"/>
      <c r="L116" s="3"/>
      <c r="M116" s="3"/>
      <c r="N116" s="3"/>
      <c r="O116" s="3"/>
      <c r="S116" s="13"/>
    </row>
    <row r="117" spans="1:20">
      <c r="A117" s="18">
        <v>5</v>
      </c>
      <c r="B117" s="1112" t="s">
        <v>58</v>
      </c>
      <c r="C117" s="1112"/>
      <c r="D117" s="1112"/>
      <c r="E117" s="274">
        <f>'0422Master'!AM18</f>
        <v>61275.702859999998</v>
      </c>
      <c r="I117" s="13"/>
      <c r="K117" s="18">
        <v>5</v>
      </c>
      <c r="L117" s="1112" t="s">
        <v>58</v>
      </c>
      <c r="M117" s="1112"/>
      <c r="N117" s="1112"/>
      <c r="O117" s="274">
        <f>E117</f>
        <v>61275.702859999998</v>
      </c>
      <c r="S117" s="13"/>
    </row>
    <row r="118" spans="1:20">
      <c r="A118" s="18"/>
      <c r="B118" s="3"/>
      <c r="C118" s="3"/>
      <c r="D118" s="275" t="s">
        <v>59</v>
      </c>
      <c r="E118" s="275" t="s">
        <v>31</v>
      </c>
      <c r="F118" s="275" t="s">
        <v>33</v>
      </c>
      <c r="G118" s="275" t="s">
        <v>34</v>
      </c>
      <c r="H118" s="275" t="s">
        <v>378</v>
      </c>
      <c r="I118" s="273" t="s">
        <v>379</v>
      </c>
      <c r="K118" s="18"/>
      <c r="L118" s="3"/>
      <c r="M118" s="3"/>
      <c r="N118" s="275" t="s">
        <v>59</v>
      </c>
      <c r="O118" s="275" t="s">
        <v>31</v>
      </c>
      <c r="P118" s="275" t="s">
        <v>33</v>
      </c>
      <c r="Q118" s="275" t="s">
        <v>34</v>
      </c>
      <c r="R118" s="275" t="s">
        <v>378</v>
      </c>
      <c r="S118" s="273" t="s">
        <v>379</v>
      </c>
    </row>
    <row r="119" spans="1:20">
      <c r="A119" s="18">
        <v>6</v>
      </c>
      <c r="B119" s="25" t="s">
        <v>60</v>
      </c>
      <c r="C119" s="25"/>
      <c r="D119" s="276">
        <f>'0422Master'!AO18</f>
        <v>1800</v>
      </c>
      <c r="E119" s="276">
        <f>'0422Master'!AN18</f>
        <v>0</v>
      </c>
      <c r="F119" s="277">
        <f>'0422Master'!AP18</f>
        <v>200</v>
      </c>
      <c r="G119" s="276">
        <f>'0422Master'!AQ18</f>
        <v>0</v>
      </c>
      <c r="H119" s="277">
        <f>'0422Master'!AR18</f>
        <v>286</v>
      </c>
      <c r="I119" s="277">
        <f>D119+E119+F119+G119+H119</f>
        <v>2286</v>
      </c>
      <c r="K119" s="18">
        <v>6</v>
      </c>
      <c r="L119" s="25" t="s">
        <v>60</v>
      </c>
      <c r="M119" s="25"/>
      <c r="N119" s="276">
        <f t="shared" ref="N119:S119" si="2">D119</f>
        <v>1800</v>
      </c>
      <c r="O119" s="276">
        <f t="shared" si="2"/>
        <v>0</v>
      </c>
      <c r="P119" s="277">
        <f t="shared" si="2"/>
        <v>200</v>
      </c>
      <c r="Q119" s="276">
        <f t="shared" si="2"/>
        <v>0</v>
      </c>
      <c r="R119" s="277">
        <f t="shared" si="2"/>
        <v>286</v>
      </c>
      <c r="S119" s="277">
        <f t="shared" si="2"/>
        <v>2286</v>
      </c>
    </row>
    <row r="120" spans="1:20">
      <c r="A120" s="18"/>
      <c r="B120" s="3"/>
      <c r="C120" s="3"/>
      <c r="D120" s="3"/>
      <c r="E120" s="3"/>
      <c r="I120" s="13"/>
      <c r="K120" s="18"/>
      <c r="L120" s="3"/>
      <c r="M120" s="3"/>
      <c r="N120" s="3"/>
      <c r="O120" s="3"/>
      <c r="S120" s="13"/>
    </row>
    <row r="121" spans="1:20">
      <c r="A121" s="18">
        <v>7</v>
      </c>
      <c r="B121" s="1112" t="s">
        <v>61</v>
      </c>
      <c r="C121" s="1112"/>
      <c r="D121" s="1112"/>
      <c r="E121" s="21">
        <f>E117-I119</f>
        <v>58989.702859999998</v>
      </c>
      <c r="F121" s="16"/>
      <c r="G121" s="16"/>
      <c r="H121" s="16"/>
      <c r="I121" s="13"/>
      <c r="K121" s="18">
        <v>7</v>
      </c>
      <c r="L121" s="1112" t="s">
        <v>61</v>
      </c>
      <c r="M121" s="1112"/>
      <c r="N121" s="1112"/>
      <c r="O121" s="21">
        <f>E121</f>
        <v>58989.702859999998</v>
      </c>
      <c r="P121" s="16"/>
      <c r="Q121" s="16"/>
      <c r="R121" s="16"/>
      <c r="S121" s="13"/>
      <c r="T121">
        <v>4</v>
      </c>
    </row>
    <row r="122" spans="1:20">
      <c r="A122" s="12"/>
      <c r="I122" s="13"/>
      <c r="K122" s="12"/>
      <c r="S122" s="13"/>
    </row>
    <row r="123" spans="1:20">
      <c r="A123" s="12"/>
      <c r="I123" s="13"/>
      <c r="K123" s="12"/>
      <c r="S123" s="13"/>
    </row>
    <row r="124" spans="1:20" ht="15.75" thickBot="1">
      <c r="A124" s="12"/>
      <c r="F124" s="22"/>
      <c r="G124" s="22"/>
      <c r="H124" s="22"/>
      <c r="I124" s="23"/>
      <c r="K124" s="12"/>
      <c r="P124" s="22"/>
      <c r="Q124" s="22"/>
      <c r="R124" s="22"/>
      <c r="S124" s="23"/>
    </row>
    <row r="125" spans="1:20" ht="15.75" thickBot="1">
      <c r="A125" s="24"/>
      <c r="B125" s="22"/>
      <c r="C125" s="22"/>
      <c r="D125" s="22"/>
      <c r="E125" s="22"/>
      <c r="F125" s="1110" t="s">
        <v>62</v>
      </c>
      <c r="G125" s="1110"/>
      <c r="H125" s="1110"/>
      <c r="I125" s="1111"/>
      <c r="K125" s="24"/>
      <c r="L125" s="22"/>
      <c r="M125" s="22"/>
      <c r="N125" s="22"/>
      <c r="O125" s="22"/>
      <c r="P125" s="1110" t="s">
        <v>62</v>
      </c>
      <c r="Q125" s="1110"/>
      <c r="R125" s="1110"/>
      <c r="S125" s="1111"/>
    </row>
    <row r="138" spans="1:19" s="330" customFormat="1"/>
    <row r="139" spans="1:19" s="330" customFormat="1"/>
    <row r="140" spans="1:19" s="330" customFormat="1"/>
    <row r="141" spans="1:19" s="330" customFormat="1"/>
    <row r="142" spans="1:19" ht="15.75" thickBot="1"/>
    <row r="143" spans="1:19" ht="26.25">
      <c r="A143" s="1122" t="s">
        <v>707</v>
      </c>
      <c r="B143" s="1123"/>
      <c r="C143" s="1123"/>
      <c r="D143" s="1123"/>
      <c r="E143" s="1123"/>
      <c r="F143" s="1123"/>
      <c r="G143" s="1123"/>
      <c r="H143" s="1123"/>
      <c r="I143" s="1124"/>
      <c r="J143" s="645"/>
      <c r="K143" s="1122" t="s">
        <v>707</v>
      </c>
      <c r="L143" s="1123"/>
      <c r="M143" s="1123"/>
      <c r="N143" s="1123"/>
      <c r="O143" s="1123"/>
      <c r="P143" s="1123"/>
      <c r="Q143" s="1123"/>
      <c r="R143" s="1123"/>
      <c r="S143" s="1124"/>
    </row>
    <row r="144" spans="1:19" ht="15.75" thickBot="1">
      <c r="A144" s="1119" t="s">
        <v>708</v>
      </c>
      <c r="B144" s="1120"/>
      <c r="C144" s="1120"/>
      <c r="D144" s="1120"/>
      <c r="E144" s="1120"/>
      <c r="F144" s="1120"/>
      <c r="G144" s="1120"/>
      <c r="H144" s="1120"/>
      <c r="I144" s="1121"/>
      <c r="J144" s="646"/>
      <c r="K144" s="1119" t="s">
        <v>708</v>
      </c>
      <c r="L144" s="1120"/>
      <c r="M144" s="1120"/>
      <c r="N144" s="1120"/>
      <c r="O144" s="1120"/>
      <c r="P144" s="1120"/>
      <c r="Q144" s="1120"/>
      <c r="R144" s="1120"/>
      <c r="S144" s="1121"/>
    </row>
    <row r="145" spans="1:19">
      <c r="A145" s="647"/>
      <c r="B145" s="509"/>
      <c r="C145" s="509"/>
      <c r="D145" s="509"/>
      <c r="E145" s="509"/>
      <c r="F145" s="509"/>
      <c r="G145" s="509"/>
      <c r="H145" s="509"/>
      <c r="I145" s="648"/>
      <c r="J145" s="509"/>
      <c r="K145" s="647"/>
      <c r="L145" s="509"/>
      <c r="M145" s="509"/>
      <c r="N145" s="509"/>
      <c r="O145" s="509"/>
      <c r="P145" s="509"/>
      <c r="Q145" s="509"/>
      <c r="R145" s="509"/>
      <c r="S145" s="648"/>
    </row>
    <row r="146" spans="1:19">
      <c r="A146" s="649" t="s">
        <v>49</v>
      </c>
      <c r="B146" s="650"/>
      <c r="C146" s="650"/>
      <c r="D146" s="651" t="s">
        <v>384</v>
      </c>
      <c r="E146" s="509"/>
      <c r="F146" s="509"/>
      <c r="G146" s="509"/>
      <c r="H146" s="509"/>
      <c r="I146" s="648"/>
      <c r="J146" s="509"/>
      <c r="K146" s="649" t="s">
        <v>49</v>
      </c>
      <c r="L146" s="650"/>
      <c r="M146" s="650"/>
      <c r="N146" s="651" t="str">
        <f>D146</f>
        <v>Burgeon IT Services Pvt.Ltd.</v>
      </c>
      <c r="O146" s="509"/>
      <c r="P146" s="509"/>
      <c r="Q146" s="509"/>
      <c r="R146" s="509"/>
      <c r="S146" s="648"/>
    </row>
    <row r="147" spans="1:19">
      <c r="A147" s="649"/>
      <c r="B147" s="650" t="s">
        <v>385</v>
      </c>
      <c r="C147" s="650"/>
      <c r="D147" s="650"/>
      <c r="E147" s="509"/>
      <c r="F147" s="509"/>
      <c r="G147" s="509"/>
      <c r="H147" s="509"/>
      <c r="I147" s="648"/>
      <c r="J147" s="509"/>
      <c r="K147" s="649"/>
      <c r="L147" s="650" t="str">
        <f>B147</f>
        <v>Siri Mansion LIGB 436 Dr.A S Rao Nagar,Hyderabad</v>
      </c>
      <c r="M147" s="650"/>
      <c r="N147" s="650"/>
      <c r="O147" s="509"/>
      <c r="P147" s="509"/>
      <c r="Q147" s="509"/>
      <c r="R147" s="509"/>
      <c r="S147" s="648"/>
    </row>
    <row r="148" spans="1:19">
      <c r="A148" s="649"/>
      <c r="B148" s="650">
        <f>'0422Master'!F484</f>
        <v>0</v>
      </c>
      <c r="C148" s="650"/>
      <c r="D148" s="650"/>
      <c r="E148" s="650"/>
      <c r="F148" s="509"/>
      <c r="G148" s="509"/>
      <c r="H148" s="509"/>
      <c r="I148" s="648"/>
      <c r="J148" s="509"/>
      <c r="K148" s="649"/>
      <c r="L148" s="650">
        <f>B148</f>
        <v>0</v>
      </c>
      <c r="M148" s="650"/>
      <c r="N148" s="650"/>
      <c r="O148" s="650"/>
      <c r="P148" s="509"/>
      <c r="Q148" s="509"/>
      <c r="R148" s="509"/>
      <c r="S148" s="648"/>
    </row>
    <row r="149" spans="1:19" ht="15" customHeight="1">
      <c r="A149" s="1127" t="s">
        <v>50</v>
      </c>
      <c r="B149" s="1126"/>
      <c r="C149" s="1126"/>
      <c r="D149" s="1126"/>
      <c r="E149" s="650"/>
      <c r="F149" s="509"/>
      <c r="G149" s="509"/>
      <c r="H149" s="509"/>
      <c r="I149" s="648"/>
      <c r="J149" s="509"/>
      <c r="K149" s="1127" t="s">
        <v>50</v>
      </c>
      <c r="L149" s="1126"/>
      <c r="M149" s="1126"/>
      <c r="N149" s="1126"/>
      <c r="O149" s="650"/>
      <c r="P149" s="509"/>
      <c r="Q149" s="509"/>
      <c r="R149" s="509"/>
      <c r="S149" s="648"/>
    </row>
    <row r="150" spans="1:19">
      <c r="A150" s="1127"/>
      <c r="B150" s="1126"/>
      <c r="C150" s="1126"/>
      <c r="D150" s="1126"/>
      <c r="E150" s="652" t="str">
        <f>'0422Master'!B19</f>
        <v xml:space="preserve">Mandar Shetty </v>
      </c>
      <c r="F150" s="653"/>
      <c r="G150" s="653"/>
      <c r="H150" s="653" t="str">
        <f>'0422Master'!E19</f>
        <v>Vijay Shetty</v>
      </c>
      <c r="I150" s="648"/>
      <c r="J150" s="509"/>
      <c r="K150" s="1127"/>
      <c r="L150" s="1126"/>
      <c r="M150" s="1126"/>
      <c r="N150" s="1126"/>
      <c r="O150" s="652" t="str">
        <f>E150</f>
        <v xml:space="preserve">Mandar Shetty </v>
      </c>
      <c r="P150" s="653"/>
      <c r="Q150" s="653"/>
      <c r="R150" s="653" t="str">
        <f>H150</f>
        <v>Vijay Shetty</v>
      </c>
      <c r="S150" s="648"/>
    </row>
    <row r="151" spans="1:19">
      <c r="A151" s="649"/>
      <c r="B151" s="650"/>
      <c r="C151" s="650"/>
      <c r="D151" s="650"/>
      <c r="E151" s="650"/>
      <c r="F151" s="509"/>
      <c r="G151" s="509"/>
      <c r="H151" s="509"/>
      <c r="I151" s="648"/>
      <c r="J151" s="509"/>
      <c r="K151" s="649"/>
      <c r="L151" s="650"/>
      <c r="M151" s="650"/>
      <c r="N151" s="650"/>
      <c r="O151" s="650"/>
      <c r="P151" s="509"/>
      <c r="Q151" s="509"/>
      <c r="R151" s="509"/>
      <c r="S151" s="648"/>
    </row>
    <row r="152" spans="1:19">
      <c r="A152" s="1128" t="s">
        <v>51</v>
      </c>
      <c r="B152" s="1125"/>
      <c r="C152" s="1125"/>
      <c r="D152" s="1125"/>
      <c r="E152" s="652" t="s">
        <v>374</v>
      </c>
      <c r="F152" s="653"/>
      <c r="G152" s="653"/>
      <c r="H152" s="653"/>
      <c r="I152" s="648"/>
      <c r="J152" s="509"/>
      <c r="K152" s="1128" t="s">
        <v>51</v>
      </c>
      <c r="L152" s="1125"/>
      <c r="M152" s="1125"/>
      <c r="N152" s="1125"/>
      <c r="O152" s="652" t="str">
        <f>E152</f>
        <v>IT SUPPORTIVE SERVICES</v>
      </c>
      <c r="P152" s="653"/>
      <c r="Q152" s="653"/>
      <c r="R152" s="653"/>
      <c r="S152" s="648"/>
    </row>
    <row r="153" spans="1:19">
      <c r="A153" s="649"/>
      <c r="B153" s="650"/>
      <c r="C153" s="650"/>
      <c r="D153" s="650"/>
      <c r="E153" s="650"/>
      <c r="F153" s="509"/>
      <c r="G153" s="509"/>
      <c r="H153" s="509"/>
      <c r="I153" s="648"/>
      <c r="J153" s="509"/>
      <c r="K153" s="649"/>
      <c r="L153" s="650"/>
      <c r="M153" s="650"/>
      <c r="N153" s="650"/>
      <c r="O153" s="650"/>
      <c r="P153" s="509"/>
      <c r="Q153" s="509"/>
      <c r="R153" s="509"/>
      <c r="S153" s="648"/>
    </row>
    <row r="154" spans="1:19">
      <c r="A154" s="1128" t="s">
        <v>52</v>
      </c>
      <c r="B154" s="1125"/>
      <c r="C154" s="1125"/>
      <c r="D154" s="1125"/>
      <c r="E154" s="654">
        <f>'0422Master'!D10</f>
        <v>44652</v>
      </c>
      <c r="F154" s="653"/>
      <c r="G154" s="653"/>
      <c r="H154" s="653"/>
      <c r="I154" s="648"/>
      <c r="J154" s="509"/>
      <c r="K154" s="1128" t="s">
        <v>52</v>
      </c>
      <c r="L154" s="1125"/>
      <c r="M154" s="1125"/>
      <c r="N154" s="1125"/>
      <c r="O154" s="654">
        <f>E154</f>
        <v>44652</v>
      </c>
      <c r="P154" s="653"/>
      <c r="Q154" s="653"/>
      <c r="R154" s="653"/>
      <c r="S154" s="648"/>
    </row>
    <row r="155" spans="1:19">
      <c r="A155" s="649"/>
      <c r="B155" s="650"/>
      <c r="C155" s="650"/>
      <c r="D155" s="650"/>
      <c r="E155" s="650"/>
      <c r="F155" s="509"/>
      <c r="G155" s="509"/>
      <c r="H155" s="509"/>
      <c r="I155" s="648"/>
      <c r="J155" s="509"/>
      <c r="K155" s="649"/>
      <c r="L155" s="650"/>
      <c r="M155" s="650"/>
      <c r="N155" s="650"/>
      <c r="O155" s="650"/>
      <c r="P155" s="509"/>
      <c r="Q155" s="509"/>
      <c r="R155" s="509"/>
      <c r="S155" s="648"/>
    </row>
    <row r="156" spans="1:19">
      <c r="A156" s="655">
        <v>1</v>
      </c>
      <c r="B156" s="1125" t="s">
        <v>53</v>
      </c>
      <c r="C156" s="1125"/>
      <c r="D156" s="1125"/>
      <c r="E156" s="656">
        <f>'0422Master'!W19</f>
        <v>30</v>
      </c>
      <c r="F156" s="653"/>
      <c r="G156" s="653"/>
      <c r="H156" s="653"/>
      <c r="I156" s="648"/>
      <c r="J156" s="509"/>
      <c r="K156" s="655">
        <v>1</v>
      </c>
      <c r="L156" s="1125" t="s">
        <v>53</v>
      </c>
      <c r="M156" s="1125"/>
      <c r="N156" s="1125"/>
      <c r="O156" s="656">
        <f>E156</f>
        <v>30</v>
      </c>
      <c r="P156" s="653"/>
      <c r="Q156" s="653"/>
      <c r="R156" s="653"/>
      <c r="S156" s="648"/>
    </row>
    <row r="157" spans="1:19">
      <c r="A157" s="655"/>
      <c r="B157" s="650"/>
      <c r="C157" s="650"/>
      <c r="D157" s="650"/>
      <c r="E157" s="650"/>
      <c r="F157" s="509"/>
      <c r="G157" s="509"/>
      <c r="H157" s="509"/>
      <c r="I157" s="648"/>
      <c r="J157" s="509"/>
      <c r="K157" s="655"/>
      <c r="L157" s="650"/>
      <c r="M157" s="650"/>
      <c r="N157" s="650"/>
      <c r="O157" s="650"/>
      <c r="P157" s="509"/>
      <c r="Q157" s="509"/>
      <c r="R157" s="509"/>
      <c r="S157" s="648"/>
    </row>
    <row r="158" spans="1:19" ht="15" customHeight="1">
      <c r="A158" s="655">
        <v>2</v>
      </c>
      <c r="B158" s="1126" t="s">
        <v>54</v>
      </c>
      <c r="C158" s="1126"/>
      <c r="D158" s="1126"/>
      <c r="E158" s="650"/>
      <c r="F158" s="509"/>
      <c r="G158" s="509"/>
      <c r="H158" s="509"/>
      <c r="I158" s="648"/>
      <c r="J158" s="509"/>
      <c r="K158" s="655">
        <v>2</v>
      </c>
      <c r="L158" s="1126" t="s">
        <v>54</v>
      </c>
      <c r="M158" s="1126"/>
      <c r="N158" s="1126"/>
      <c r="O158" s="650"/>
      <c r="P158" s="509"/>
      <c r="Q158" s="509"/>
      <c r="R158" s="509"/>
      <c r="S158" s="648"/>
    </row>
    <row r="159" spans="1:19">
      <c r="A159" s="655"/>
      <c r="B159" s="1126"/>
      <c r="C159" s="1126"/>
      <c r="D159" s="1126"/>
      <c r="E159" s="657" t="s">
        <v>37</v>
      </c>
      <c r="F159" s="653"/>
      <c r="G159" s="653"/>
      <c r="H159" s="653"/>
      <c r="I159" s="648"/>
      <c r="J159" s="509"/>
      <c r="K159" s="655"/>
      <c r="L159" s="1126"/>
      <c r="M159" s="1126"/>
      <c r="N159" s="1126"/>
      <c r="O159" s="657" t="s">
        <v>37</v>
      </c>
      <c r="P159" s="653"/>
      <c r="Q159" s="653"/>
      <c r="R159" s="653"/>
      <c r="S159" s="648"/>
    </row>
    <row r="160" spans="1:19">
      <c r="A160" s="655"/>
      <c r="B160" s="650"/>
      <c r="C160" s="650"/>
      <c r="D160" s="650"/>
      <c r="E160" s="650"/>
      <c r="F160" s="509"/>
      <c r="G160" s="509"/>
      <c r="H160" s="509"/>
      <c r="I160" s="648"/>
      <c r="J160" s="509"/>
      <c r="K160" s="655"/>
      <c r="L160" s="650"/>
      <c r="M160" s="650"/>
      <c r="N160" s="650"/>
      <c r="O160" s="650"/>
      <c r="P160" s="509"/>
      <c r="Q160" s="509"/>
      <c r="R160" s="509"/>
      <c r="S160" s="648"/>
    </row>
    <row r="161" spans="1:20">
      <c r="A161" s="655">
        <v>3</v>
      </c>
      <c r="B161" s="1125" t="s">
        <v>55</v>
      </c>
      <c r="C161" s="1125"/>
      <c r="D161" s="1125"/>
      <c r="E161" s="657" t="s">
        <v>37</v>
      </c>
      <c r="F161" s="653"/>
      <c r="G161" s="653"/>
      <c r="H161" s="653"/>
      <c r="I161" s="648"/>
      <c r="J161" s="509"/>
      <c r="K161" s="655">
        <v>3</v>
      </c>
      <c r="L161" s="1125" t="s">
        <v>55</v>
      </c>
      <c r="M161" s="1125"/>
      <c r="N161" s="1125"/>
      <c r="O161" s="652" t="str">
        <f>E161</f>
        <v>N/A</v>
      </c>
      <c r="P161" s="653"/>
      <c r="Q161" s="653"/>
      <c r="R161" s="653"/>
      <c r="S161" s="648"/>
    </row>
    <row r="162" spans="1:20">
      <c r="A162" s="655"/>
      <c r="B162" s="650"/>
      <c r="C162" s="650"/>
      <c r="D162" s="650"/>
      <c r="E162" s="650"/>
      <c r="F162" s="509"/>
      <c r="G162" s="509"/>
      <c r="H162" s="509"/>
      <c r="I162" s="648"/>
      <c r="J162" s="509"/>
      <c r="K162" s="655"/>
      <c r="L162" s="650"/>
      <c r="M162" s="650"/>
      <c r="N162" s="650"/>
      <c r="O162" s="650"/>
      <c r="P162" s="509"/>
      <c r="Q162" s="509"/>
      <c r="R162" s="509"/>
      <c r="S162" s="648"/>
    </row>
    <row r="163" spans="1:20">
      <c r="A163" s="655">
        <v>4</v>
      </c>
      <c r="B163" s="1125" t="s">
        <v>56</v>
      </c>
      <c r="C163" s="1125"/>
      <c r="D163" s="1125"/>
      <c r="E163" s="657" t="s">
        <v>57</v>
      </c>
      <c r="F163" s="653"/>
      <c r="G163" s="653"/>
      <c r="H163" s="653"/>
      <c r="I163" s="648"/>
      <c r="J163" s="509"/>
      <c r="K163" s="655">
        <v>4</v>
      </c>
      <c r="L163" s="1125" t="s">
        <v>56</v>
      </c>
      <c r="M163" s="1125"/>
      <c r="N163" s="1125"/>
      <c r="O163" s="657" t="s">
        <v>57</v>
      </c>
      <c r="P163" s="653"/>
      <c r="Q163" s="653"/>
      <c r="R163" s="653"/>
      <c r="S163" s="648"/>
    </row>
    <row r="164" spans="1:20">
      <c r="A164" s="655"/>
      <c r="B164" s="650"/>
      <c r="C164" s="650"/>
      <c r="D164" s="650"/>
      <c r="E164" s="650"/>
      <c r="F164" s="509"/>
      <c r="G164" s="509"/>
      <c r="H164" s="509"/>
      <c r="I164" s="648"/>
      <c r="J164" s="509"/>
      <c r="K164" s="655"/>
      <c r="L164" s="650"/>
      <c r="M164" s="650"/>
      <c r="N164" s="650"/>
      <c r="O164" s="650"/>
      <c r="P164" s="509"/>
      <c r="Q164" s="509"/>
      <c r="R164" s="509"/>
      <c r="S164" s="648"/>
    </row>
    <row r="165" spans="1:20">
      <c r="A165" s="655">
        <v>5</v>
      </c>
      <c r="B165" s="1125" t="s">
        <v>58</v>
      </c>
      <c r="C165" s="1125"/>
      <c r="D165" s="1125"/>
      <c r="E165" s="658">
        <f>'0422Master'!AM19</f>
        <v>114275.77922</v>
      </c>
      <c r="F165" s="509"/>
      <c r="G165" s="509"/>
      <c r="H165" s="509"/>
      <c r="I165" s="648"/>
      <c r="J165" s="509"/>
      <c r="K165" s="655">
        <v>5</v>
      </c>
      <c r="L165" s="1125" t="s">
        <v>58</v>
      </c>
      <c r="M165" s="1125"/>
      <c r="N165" s="1125"/>
      <c r="O165" s="658">
        <f>E165</f>
        <v>114275.77922</v>
      </c>
      <c r="P165" s="509"/>
      <c r="Q165" s="509"/>
      <c r="R165" s="509"/>
      <c r="S165" s="648"/>
    </row>
    <row r="166" spans="1:20">
      <c r="A166" s="655"/>
      <c r="B166" s="650"/>
      <c r="C166" s="650"/>
      <c r="D166" s="659" t="s">
        <v>59</v>
      </c>
      <c r="E166" s="659" t="s">
        <v>31</v>
      </c>
      <c r="F166" s="659" t="s">
        <v>33</v>
      </c>
      <c r="G166" s="659" t="s">
        <v>34</v>
      </c>
      <c r="H166" s="659" t="s">
        <v>378</v>
      </c>
      <c r="I166" s="660" t="s">
        <v>379</v>
      </c>
      <c r="J166" s="509"/>
      <c r="K166" s="655"/>
      <c r="L166" s="650"/>
      <c r="M166" s="650"/>
      <c r="N166" s="659" t="s">
        <v>59</v>
      </c>
      <c r="O166" s="659" t="s">
        <v>31</v>
      </c>
      <c r="P166" s="659" t="s">
        <v>33</v>
      </c>
      <c r="Q166" s="659" t="s">
        <v>34</v>
      </c>
      <c r="R166" s="659" t="s">
        <v>378</v>
      </c>
      <c r="S166" s="660" t="s">
        <v>379</v>
      </c>
    </row>
    <row r="167" spans="1:20">
      <c r="A167" s="655">
        <v>6</v>
      </c>
      <c r="B167" s="661" t="s">
        <v>60</v>
      </c>
      <c r="C167" s="661"/>
      <c r="D167" s="662">
        <f>'0422Master'!AO19</f>
        <v>1800</v>
      </c>
      <c r="E167" s="662">
        <f>'0422Master'!AN495</f>
        <v>0</v>
      </c>
      <c r="F167" s="663">
        <f>'0422Master'!AP19</f>
        <v>200</v>
      </c>
      <c r="G167" s="662">
        <f>'0422Master'!AQ19</f>
        <v>0</v>
      </c>
      <c r="H167" s="663">
        <f>'0422Master'!AR19</f>
        <v>283</v>
      </c>
      <c r="I167" s="663">
        <f>'0422Master'!AS495</f>
        <v>0</v>
      </c>
      <c r="J167" s="509"/>
      <c r="K167" s="655">
        <v>6</v>
      </c>
      <c r="L167" s="661" t="s">
        <v>60</v>
      </c>
      <c r="M167" s="661"/>
      <c r="N167" s="662">
        <f t="shared" ref="N167:S167" si="3">D167</f>
        <v>1800</v>
      </c>
      <c r="O167" s="662">
        <f t="shared" si="3"/>
        <v>0</v>
      </c>
      <c r="P167" s="663">
        <f t="shared" si="3"/>
        <v>200</v>
      </c>
      <c r="Q167" s="662">
        <f t="shared" si="3"/>
        <v>0</v>
      </c>
      <c r="R167" s="663">
        <f t="shared" si="3"/>
        <v>283</v>
      </c>
      <c r="S167" s="663">
        <f t="shared" si="3"/>
        <v>0</v>
      </c>
    </row>
    <row r="168" spans="1:20">
      <c r="A168" s="655"/>
      <c r="B168" s="650"/>
      <c r="C168" s="650"/>
      <c r="D168" s="650"/>
      <c r="E168" s="650"/>
      <c r="F168" s="509"/>
      <c r="G168" s="509"/>
      <c r="H168" s="509"/>
      <c r="I168" s="648"/>
      <c r="J168" s="509"/>
      <c r="K168" s="655"/>
      <c r="L168" s="650"/>
      <c r="M168" s="650"/>
      <c r="N168" s="650"/>
      <c r="O168" s="650"/>
      <c r="P168" s="509"/>
      <c r="Q168" s="509"/>
      <c r="R168" s="509"/>
      <c r="S168" s="648"/>
    </row>
    <row r="169" spans="1:20">
      <c r="A169" s="655">
        <v>7</v>
      </c>
      <c r="B169" s="1125" t="s">
        <v>61</v>
      </c>
      <c r="C169" s="1125"/>
      <c r="D169" s="1125"/>
      <c r="E169" s="664">
        <f>E165-D167-F167-G167-H167</f>
        <v>111992.77922</v>
      </c>
      <c r="F169" s="653"/>
      <c r="G169" s="653"/>
      <c r="H169" s="653"/>
      <c r="I169" s="648"/>
      <c r="J169" s="509"/>
      <c r="K169" s="655">
        <v>7</v>
      </c>
      <c r="L169" s="1125" t="s">
        <v>61</v>
      </c>
      <c r="M169" s="1125"/>
      <c r="N169" s="1125"/>
      <c r="O169" s="664">
        <f>E169</f>
        <v>111992.77922</v>
      </c>
      <c r="P169" s="653"/>
      <c r="Q169" s="653"/>
      <c r="R169" s="653"/>
      <c r="S169" s="648"/>
      <c r="T169">
        <v>5</v>
      </c>
    </row>
    <row r="170" spans="1:20">
      <c r="A170" s="647"/>
      <c r="B170" s="509"/>
      <c r="C170" s="509"/>
      <c r="D170" s="509"/>
      <c r="E170" s="509"/>
      <c r="F170" s="509"/>
      <c r="G170" s="509"/>
      <c r="H170" s="509"/>
      <c r="I170" s="648"/>
      <c r="J170" s="509"/>
      <c r="K170" s="647"/>
      <c r="L170" s="509"/>
      <c r="M170" s="509"/>
      <c r="N170" s="509"/>
      <c r="O170" s="509"/>
      <c r="P170" s="509"/>
      <c r="Q170" s="509"/>
      <c r="R170" s="509"/>
      <c r="S170" s="648"/>
    </row>
    <row r="171" spans="1:20">
      <c r="A171" s="647"/>
      <c r="B171" s="509"/>
      <c r="C171" s="509"/>
      <c r="D171" s="509"/>
      <c r="E171" s="509"/>
      <c r="F171" s="509"/>
      <c r="G171" s="509"/>
      <c r="H171" s="509"/>
      <c r="I171" s="648"/>
      <c r="J171" s="509"/>
      <c r="K171" s="647"/>
      <c r="L171" s="509"/>
      <c r="M171" s="509"/>
      <c r="N171" s="509"/>
      <c r="O171" s="509"/>
      <c r="P171" s="509"/>
      <c r="Q171" s="509"/>
      <c r="R171" s="509"/>
      <c r="S171" s="648"/>
    </row>
    <row r="172" spans="1:20" ht="15.75" thickBot="1">
      <c r="A172" s="647"/>
      <c r="B172" s="509"/>
      <c r="C172" s="509"/>
      <c r="D172" s="509"/>
      <c r="E172" s="509"/>
      <c r="F172" s="646"/>
      <c r="G172" s="646"/>
      <c r="H172" s="646"/>
      <c r="I172" s="665"/>
      <c r="J172" s="509"/>
      <c r="K172" s="647"/>
      <c r="L172" s="509"/>
      <c r="M172" s="509"/>
      <c r="N172" s="509"/>
      <c r="O172" s="509"/>
      <c r="P172" s="646"/>
      <c r="Q172" s="646"/>
      <c r="R172" s="646"/>
      <c r="S172" s="665"/>
    </row>
    <row r="173" spans="1:20" ht="15.75" thickBot="1">
      <c r="A173" s="666"/>
      <c r="B173" s="646"/>
      <c r="C173" s="646"/>
      <c r="D173" s="646"/>
      <c r="E173" s="646"/>
      <c r="F173" s="1129" t="s">
        <v>62</v>
      </c>
      <c r="G173" s="1129"/>
      <c r="H173" s="1129"/>
      <c r="I173" s="1130"/>
      <c r="J173" s="509"/>
      <c r="K173" s="666"/>
      <c r="L173" s="646"/>
      <c r="M173" s="646"/>
      <c r="N173" s="646"/>
      <c r="O173" s="646"/>
      <c r="P173" s="1129" t="s">
        <v>62</v>
      </c>
      <c r="Q173" s="1129"/>
      <c r="R173" s="1129"/>
      <c r="S173" s="1130"/>
    </row>
    <row r="174" spans="1:20">
      <c r="A174" s="509"/>
      <c r="B174" s="509"/>
      <c r="C174" s="509"/>
      <c r="D174" s="509"/>
      <c r="E174" s="509"/>
      <c r="F174" s="509"/>
      <c r="G174" s="509"/>
      <c r="H174" s="509"/>
      <c r="I174" s="509"/>
      <c r="J174" s="509"/>
      <c r="K174" s="509"/>
      <c r="L174" s="509"/>
      <c r="M174" s="509"/>
      <c r="N174" s="509"/>
      <c r="O174" s="509"/>
      <c r="P174" s="509"/>
      <c r="Q174" s="509"/>
      <c r="R174" s="509"/>
      <c r="S174" s="509"/>
    </row>
    <row r="175" spans="1:20">
      <c r="A175" s="509"/>
      <c r="B175" s="509"/>
      <c r="C175" s="509"/>
      <c r="D175" s="509"/>
      <c r="E175" s="509"/>
      <c r="F175" s="509"/>
      <c r="G175" s="509"/>
      <c r="H175" s="509"/>
      <c r="I175" s="509"/>
      <c r="J175" s="509"/>
      <c r="K175" s="509"/>
      <c r="L175" s="509"/>
      <c r="M175" s="509"/>
      <c r="N175" s="509"/>
      <c r="O175" s="509"/>
      <c r="P175" s="509"/>
      <c r="Q175" s="509"/>
      <c r="R175" s="509"/>
      <c r="S175" s="509"/>
    </row>
    <row r="176" spans="1:20">
      <c r="A176" s="509"/>
      <c r="B176" s="509"/>
      <c r="C176" s="509"/>
      <c r="D176" s="509"/>
      <c r="E176" s="509"/>
      <c r="F176" s="509"/>
      <c r="G176" s="509"/>
      <c r="H176" s="509"/>
      <c r="I176" s="509"/>
      <c r="J176" s="509"/>
      <c r="K176" s="509"/>
      <c r="L176" s="509"/>
      <c r="M176" s="509"/>
      <c r="N176" s="509"/>
      <c r="O176" s="509"/>
      <c r="P176" s="509"/>
      <c r="Q176" s="509"/>
      <c r="R176" s="509"/>
      <c r="S176" s="509"/>
    </row>
    <row r="177" spans="1:19">
      <c r="A177" s="509"/>
      <c r="B177" s="509"/>
      <c r="C177" s="509"/>
      <c r="D177" s="509"/>
      <c r="E177" s="509"/>
      <c r="F177" s="509"/>
      <c r="G177" s="509"/>
      <c r="H177" s="509"/>
      <c r="I177" s="509"/>
      <c r="J177" s="509"/>
      <c r="K177" s="509"/>
      <c r="L177" s="509"/>
      <c r="M177" s="509"/>
      <c r="N177" s="509"/>
      <c r="O177" s="509"/>
      <c r="P177" s="509"/>
      <c r="Q177" s="509"/>
      <c r="R177" s="509"/>
      <c r="S177" s="509"/>
    </row>
    <row r="178" spans="1:19">
      <c r="A178" s="509"/>
      <c r="B178" s="509"/>
      <c r="C178" s="509"/>
      <c r="D178" s="509"/>
      <c r="E178" s="509"/>
      <c r="F178" s="509"/>
      <c r="G178" s="509"/>
      <c r="H178" s="509"/>
      <c r="I178" s="509"/>
      <c r="J178" s="509"/>
      <c r="K178" s="509"/>
      <c r="L178" s="509"/>
      <c r="M178" s="509"/>
      <c r="N178" s="509"/>
      <c r="O178" s="509"/>
      <c r="P178" s="509"/>
      <c r="Q178" s="509"/>
      <c r="R178" s="509"/>
      <c r="S178" s="509"/>
    </row>
    <row r="179" spans="1:19">
      <c r="A179" s="509"/>
      <c r="B179" s="509"/>
      <c r="C179" s="509"/>
      <c r="D179" s="509"/>
      <c r="E179" s="509"/>
      <c r="F179" s="509"/>
      <c r="G179" s="509"/>
      <c r="H179" s="509"/>
      <c r="I179" s="509"/>
      <c r="J179" s="509"/>
      <c r="K179" s="509"/>
      <c r="L179" s="509"/>
      <c r="M179" s="509"/>
      <c r="N179" s="509"/>
      <c r="O179" s="509"/>
      <c r="P179" s="509"/>
      <c r="Q179" s="509"/>
      <c r="R179" s="509"/>
      <c r="S179" s="509"/>
    </row>
    <row r="180" spans="1:19">
      <c r="A180" s="509"/>
      <c r="B180" s="509"/>
      <c r="C180" s="509"/>
      <c r="D180" s="509"/>
      <c r="E180" s="509"/>
      <c r="F180" s="509"/>
      <c r="G180" s="509"/>
      <c r="H180" s="509"/>
      <c r="I180" s="509"/>
      <c r="J180" s="509"/>
      <c r="K180" s="509"/>
      <c r="L180" s="509"/>
      <c r="M180" s="509"/>
      <c r="N180" s="509"/>
      <c r="O180" s="509"/>
      <c r="P180" s="509"/>
      <c r="Q180" s="509"/>
      <c r="R180" s="509"/>
      <c r="S180" s="509"/>
    </row>
    <row r="181" spans="1:19">
      <c r="A181" s="509"/>
      <c r="B181" s="509"/>
      <c r="C181" s="509"/>
      <c r="D181" s="509"/>
      <c r="E181" s="509"/>
      <c r="F181" s="509"/>
      <c r="G181" s="509"/>
      <c r="H181" s="509"/>
      <c r="I181" s="509"/>
      <c r="J181" s="509"/>
      <c r="K181" s="509"/>
      <c r="L181" s="509"/>
      <c r="M181" s="509"/>
      <c r="N181" s="509"/>
      <c r="O181" s="509"/>
      <c r="P181" s="509"/>
      <c r="Q181" s="509"/>
      <c r="R181" s="509"/>
      <c r="S181" s="509"/>
    </row>
    <row r="182" spans="1:19">
      <c r="A182" s="509"/>
      <c r="B182" s="509"/>
      <c r="C182" s="509"/>
      <c r="D182" s="509"/>
      <c r="E182" s="509"/>
      <c r="F182" s="509"/>
      <c r="G182" s="509"/>
      <c r="H182" s="509"/>
      <c r="I182" s="509"/>
      <c r="J182" s="509"/>
      <c r="K182" s="509"/>
      <c r="L182" s="509"/>
      <c r="M182" s="509"/>
      <c r="N182" s="509"/>
      <c r="O182" s="509"/>
      <c r="P182" s="509"/>
      <c r="Q182" s="509"/>
      <c r="R182" s="509"/>
      <c r="S182" s="509"/>
    </row>
    <row r="183" spans="1:19">
      <c r="A183" s="509"/>
      <c r="B183" s="509"/>
      <c r="C183" s="509"/>
      <c r="D183" s="509"/>
      <c r="E183" s="509"/>
      <c r="F183" s="509"/>
      <c r="G183" s="509"/>
      <c r="H183" s="509"/>
      <c r="I183" s="509"/>
      <c r="J183" s="509"/>
      <c r="K183" s="509"/>
      <c r="L183" s="509"/>
      <c r="M183" s="509"/>
      <c r="N183" s="509"/>
      <c r="O183" s="509"/>
      <c r="P183" s="509"/>
      <c r="Q183" s="509"/>
      <c r="R183" s="509"/>
      <c r="S183" s="509"/>
    </row>
    <row r="184" spans="1:19">
      <c r="A184" s="509"/>
      <c r="B184" s="509"/>
      <c r="C184" s="509"/>
      <c r="D184" s="509"/>
      <c r="E184" s="509"/>
      <c r="F184" s="509"/>
      <c r="G184" s="509"/>
      <c r="H184" s="509"/>
      <c r="I184" s="509"/>
      <c r="J184" s="509"/>
      <c r="K184" s="509"/>
      <c r="L184" s="509"/>
      <c r="M184" s="509"/>
      <c r="N184" s="509"/>
      <c r="O184" s="509"/>
      <c r="P184" s="509"/>
      <c r="Q184" s="509"/>
      <c r="R184" s="509"/>
      <c r="S184" s="509"/>
    </row>
    <row r="185" spans="1:19" ht="27" customHeight="1">
      <c r="A185" s="509"/>
      <c r="B185" s="509"/>
      <c r="C185" s="509"/>
      <c r="D185" s="509"/>
      <c r="E185" s="509"/>
      <c r="F185" s="509"/>
      <c r="G185" s="509"/>
      <c r="H185" s="509"/>
      <c r="I185" s="509"/>
      <c r="J185" s="509"/>
      <c r="K185" s="509"/>
      <c r="L185" s="509"/>
      <c r="M185" s="509"/>
      <c r="N185" s="509"/>
      <c r="O185" s="509"/>
      <c r="P185" s="509"/>
      <c r="Q185" s="509"/>
      <c r="R185" s="509"/>
      <c r="S185" s="509"/>
    </row>
    <row r="186" spans="1:19" ht="27" customHeight="1">
      <c r="A186" s="509"/>
      <c r="B186" s="509"/>
      <c r="C186" s="509"/>
      <c r="D186" s="509"/>
      <c r="E186" s="509"/>
      <c r="F186" s="509"/>
      <c r="G186" s="509"/>
      <c r="H186" s="509"/>
      <c r="I186" s="509"/>
      <c r="J186" s="509"/>
      <c r="K186" s="509"/>
      <c r="L186" s="509"/>
      <c r="M186" s="509"/>
      <c r="N186" s="509"/>
      <c r="O186" s="509"/>
      <c r="P186" s="509"/>
      <c r="Q186" s="509"/>
      <c r="R186" s="509"/>
      <c r="S186" s="509"/>
    </row>
    <row r="187" spans="1:19" ht="27" customHeight="1" thickBot="1">
      <c r="A187" s="509"/>
      <c r="B187" s="509"/>
      <c r="C187" s="509"/>
      <c r="D187" s="509"/>
      <c r="E187" s="509"/>
      <c r="F187" s="509"/>
      <c r="G187" s="509"/>
      <c r="H187" s="509"/>
      <c r="I187" s="509"/>
      <c r="J187" s="509"/>
      <c r="K187" s="509"/>
      <c r="L187" s="509"/>
      <c r="M187" s="509"/>
      <c r="N187" s="509"/>
      <c r="O187" s="509"/>
      <c r="P187" s="509"/>
      <c r="Q187" s="509"/>
      <c r="R187" s="509"/>
      <c r="S187" s="509"/>
    </row>
    <row r="188" spans="1:19" ht="26.25">
      <c r="A188" s="1122" t="s">
        <v>707</v>
      </c>
      <c r="B188" s="1123"/>
      <c r="C188" s="1123"/>
      <c r="D188" s="1123"/>
      <c r="E188" s="1123"/>
      <c r="F188" s="1123"/>
      <c r="G188" s="1123"/>
      <c r="H188" s="1123"/>
      <c r="I188" s="1124"/>
      <c r="J188" s="645"/>
      <c r="K188" s="1122" t="s">
        <v>707</v>
      </c>
      <c r="L188" s="1123"/>
      <c r="M188" s="1123"/>
      <c r="N188" s="1123"/>
      <c r="O188" s="1123"/>
      <c r="P188" s="1123"/>
      <c r="Q188" s="1123"/>
      <c r="R188" s="1123"/>
      <c r="S188" s="1124"/>
    </row>
    <row r="189" spans="1:19" ht="15.75" thickBot="1">
      <c r="A189" s="1119" t="s">
        <v>708</v>
      </c>
      <c r="B189" s="1120"/>
      <c r="C189" s="1120"/>
      <c r="D189" s="1120"/>
      <c r="E189" s="1120"/>
      <c r="F189" s="1120"/>
      <c r="G189" s="1120"/>
      <c r="H189" s="1120"/>
      <c r="I189" s="1121"/>
      <c r="J189" s="646"/>
      <c r="K189" s="1119" t="s">
        <v>708</v>
      </c>
      <c r="L189" s="1120"/>
      <c r="M189" s="1120"/>
      <c r="N189" s="1120"/>
      <c r="O189" s="1120"/>
      <c r="P189" s="1120"/>
      <c r="Q189" s="1120"/>
      <c r="R189" s="1120"/>
      <c r="S189" s="1121"/>
    </row>
    <row r="190" spans="1:19">
      <c r="A190" s="647"/>
      <c r="B190" s="509"/>
      <c r="C190" s="509"/>
      <c r="D190" s="509"/>
      <c r="E190" s="509"/>
      <c r="F190" s="509"/>
      <c r="G190" s="509"/>
      <c r="H190" s="509"/>
      <c r="I190" s="648"/>
      <c r="J190" s="509"/>
      <c r="K190" s="647"/>
      <c r="L190" s="509"/>
      <c r="M190" s="509"/>
      <c r="N190" s="509"/>
      <c r="O190" s="509"/>
      <c r="P190" s="509"/>
      <c r="Q190" s="509"/>
      <c r="R190" s="509"/>
      <c r="S190" s="648"/>
    </row>
    <row r="191" spans="1:19">
      <c r="A191" s="649" t="s">
        <v>49</v>
      </c>
      <c r="B191" s="650"/>
      <c r="C191" s="650"/>
      <c r="D191" s="651" t="s">
        <v>384</v>
      </c>
      <c r="E191" s="509"/>
      <c r="F191" s="509"/>
      <c r="G191" s="509"/>
      <c r="H191" s="509"/>
      <c r="I191" s="648"/>
      <c r="J191" s="509"/>
      <c r="K191" s="649" t="s">
        <v>49</v>
      </c>
      <c r="L191" s="650"/>
      <c r="M191" s="650"/>
      <c r="N191" s="651" t="str">
        <f>D191</f>
        <v>Burgeon IT Services Pvt.Ltd.</v>
      </c>
      <c r="O191" s="509"/>
      <c r="P191" s="509"/>
      <c r="Q191" s="509"/>
      <c r="R191" s="509"/>
      <c r="S191" s="648"/>
    </row>
    <row r="192" spans="1:19">
      <c r="A192" s="649"/>
      <c r="B192" s="650" t="s">
        <v>385</v>
      </c>
      <c r="C192" s="650"/>
      <c r="D192" s="650"/>
      <c r="E192" s="509"/>
      <c r="F192" s="509"/>
      <c r="G192" s="509"/>
      <c r="H192" s="509"/>
      <c r="I192" s="648"/>
      <c r="J192" s="509"/>
      <c r="K192" s="649"/>
      <c r="L192" s="650" t="str">
        <f>B192</f>
        <v>Siri Mansion LIGB 436 Dr.A S Rao Nagar,Hyderabad</v>
      </c>
      <c r="M192" s="650"/>
      <c r="N192" s="650"/>
      <c r="O192" s="509"/>
      <c r="P192" s="509"/>
      <c r="Q192" s="509"/>
      <c r="R192" s="509"/>
      <c r="S192" s="648"/>
    </row>
    <row r="193" spans="1:19">
      <c r="A193" s="649"/>
      <c r="B193" s="650">
        <f>'0422Master'!F529</f>
        <v>0</v>
      </c>
      <c r="C193" s="650"/>
      <c r="D193" s="650"/>
      <c r="E193" s="650"/>
      <c r="F193" s="509"/>
      <c r="G193" s="509"/>
      <c r="H193" s="509"/>
      <c r="I193" s="648"/>
      <c r="J193" s="509"/>
      <c r="K193" s="649"/>
      <c r="L193" s="650">
        <f>B193</f>
        <v>0</v>
      </c>
      <c r="M193" s="650"/>
      <c r="N193" s="650"/>
      <c r="O193" s="650"/>
      <c r="P193" s="509"/>
      <c r="Q193" s="509"/>
      <c r="R193" s="509"/>
      <c r="S193" s="648"/>
    </row>
    <row r="194" spans="1:19" ht="15" customHeight="1">
      <c r="A194" s="1127" t="s">
        <v>50</v>
      </c>
      <c r="B194" s="1126"/>
      <c r="C194" s="1126"/>
      <c r="D194" s="1126"/>
      <c r="E194" s="650"/>
      <c r="F194" s="509"/>
      <c r="G194" s="509"/>
      <c r="H194" s="509"/>
      <c r="I194" s="648"/>
      <c r="J194" s="509"/>
      <c r="K194" s="1127" t="s">
        <v>50</v>
      </c>
      <c r="L194" s="1126"/>
      <c r="M194" s="1126"/>
      <c r="N194" s="1126"/>
      <c r="O194" s="650"/>
      <c r="P194" s="509"/>
      <c r="Q194" s="509"/>
      <c r="R194" s="509"/>
      <c r="S194" s="648"/>
    </row>
    <row r="195" spans="1:19">
      <c r="A195" s="1127"/>
      <c r="B195" s="1126"/>
      <c r="C195" s="1126"/>
      <c r="D195" s="1126"/>
      <c r="E195" s="652" t="str">
        <f>'0422Master'!B20</f>
        <v xml:space="preserve">Vivek Dongre </v>
      </c>
      <c r="F195" s="653"/>
      <c r="G195" s="653"/>
      <c r="H195" s="653" t="str">
        <f>'0422Master'!E20</f>
        <v>Purushottam Dongre</v>
      </c>
      <c r="I195" s="648"/>
      <c r="J195" s="509"/>
      <c r="K195" s="1127"/>
      <c r="L195" s="1126"/>
      <c r="M195" s="1126"/>
      <c r="N195" s="1126"/>
      <c r="O195" s="652" t="str">
        <f>E195</f>
        <v xml:space="preserve">Vivek Dongre </v>
      </c>
      <c r="P195" s="653"/>
      <c r="Q195" s="653"/>
      <c r="R195" s="653" t="str">
        <f>H195</f>
        <v>Purushottam Dongre</v>
      </c>
      <c r="S195" s="648"/>
    </row>
    <row r="196" spans="1:19">
      <c r="A196" s="649"/>
      <c r="B196" s="650"/>
      <c r="C196" s="650"/>
      <c r="D196" s="650"/>
      <c r="E196" s="650"/>
      <c r="F196" s="509"/>
      <c r="G196" s="509"/>
      <c r="H196" s="509"/>
      <c r="I196" s="648"/>
      <c r="J196" s="509"/>
      <c r="K196" s="649"/>
      <c r="L196" s="650"/>
      <c r="M196" s="650"/>
      <c r="N196" s="650"/>
      <c r="O196" s="650"/>
      <c r="P196" s="509"/>
      <c r="Q196" s="509"/>
      <c r="R196" s="509"/>
      <c r="S196" s="648"/>
    </row>
    <row r="197" spans="1:19">
      <c r="A197" s="1128" t="s">
        <v>51</v>
      </c>
      <c r="B197" s="1125"/>
      <c r="C197" s="1125"/>
      <c r="D197" s="1125"/>
      <c r="E197" s="652" t="s">
        <v>374</v>
      </c>
      <c r="F197" s="653"/>
      <c r="G197" s="653"/>
      <c r="H197" s="653"/>
      <c r="I197" s="648"/>
      <c r="J197" s="509"/>
      <c r="K197" s="1128" t="s">
        <v>51</v>
      </c>
      <c r="L197" s="1125"/>
      <c r="M197" s="1125"/>
      <c r="N197" s="1125"/>
      <c r="O197" s="652" t="str">
        <f>E197</f>
        <v>IT SUPPORTIVE SERVICES</v>
      </c>
      <c r="P197" s="653"/>
      <c r="Q197" s="653"/>
      <c r="R197" s="653"/>
      <c r="S197" s="648"/>
    </row>
    <row r="198" spans="1:19">
      <c r="A198" s="649"/>
      <c r="B198" s="650"/>
      <c r="C198" s="650"/>
      <c r="D198" s="650"/>
      <c r="E198" s="650"/>
      <c r="F198" s="509"/>
      <c r="G198" s="509"/>
      <c r="H198" s="509"/>
      <c r="I198" s="648"/>
      <c r="J198" s="509"/>
      <c r="K198" s="649"/>
      <c r="L198" s="650"/>
      <c r="M198" s="650"/>
      <c r="N198" s="650"/>
      <c r="O198" s="650"/>
      <c r="P198" s="509"/>
      <c r="Q198" s="509"/>
      <c r="R198" s="509"/>
      <c r="S198" s="648"/>
    </row>
    <row r="199" spans="1:19">
      <c r="A199" s="1128" t="s">
        <v>52</v>
      </c>
      <c r="B199" s="1125"/>
      <c r="C199" s="1125"/>
      <c r="D199" s="1125"/>
      <c r="E199" s="654">
        <f>'0422Master'!D10</f>
        <v>44652</v>
      </c>
      <c r="F199" s="653"/>
      <c r="G199" s="653"/>
      <c r="H199" s="653"/>
      <c r="I199" s="648"/>
      <c r="J199" s="509"/>
      <c r="K199" s="1128" t="s">
        <v>52</v>
      </c>
      <c r="L199" s="1125"/>
      <c r="M199" s="1125"/>
      <c r="N199" s="1125"/>
      <c r="O199" s="654">
        <f>E199</f>
        <v>44652</v>
      </c>
      <c r="P199" s="653"/>
      <c r="Q199" s="653"/>
      <c r="R199" s="653"/>
      <c r="S199" s="648"/>
    </row>
    <row r="200" spans="1:19">
      <c r="A200" s="649"/>
      <c r="B200" s="650"/>
      <c r="C200" s="650"/>
      <c r="D200" s="650"/>
      <c r="E200" s="650"/>
      <c r="F200" s="509"/>
      <c r="G200" s="509"/>
      <c r="H200" s="509"/>
      <c r="I200" s="648"/>
      <c r="J200" s="509"/>
      <c r="K200" s="649"/>
      <c r="L200" s="650"/>
      <c r="M200" s="650"/>
      <c r="N200" s="650"/>
      <c r="O200" s="650"/>
      <c r="P200" s="509"/>
      <c r="Q200" s="509"/>
      <c r="R200" s="509"/>
      <c r="S200" s="648"/>
    </row>
    <row r="201" spans="1:19">
      <c r="A201" s="655">
        <v>1</v>
      </c>
      <c r="B201" s="1125" t="s">
        <v>53</v>
      </c>
      <c r="C201" s="1125"/>
      <c r="D201" s="1125"/>
      <c r="E201" s="656">
        <f>'0422Master'!W20</f>
        <v>30</v>
      </c>
      <c r="F201" s="653"/>
      <c r="G201" s="653"/>
      <c r="H201" s="653"/>
      <c r="I201" s="648"/>
      <c r="J201" s="509"/>
      <c r="K201" s="655">
        <v>1</v>
      </c>
      <c r="L201" s="1125" t="s">
        <v>53</v>
      </c>
      <c r="M201" s="1125"/>
      <c r="N201" s="1125"/>
      <c r="O201" s="656">
        <f>E201</f>
        <v>30</v>
      </c>
      <c r="P201" s="653"/>
      <c r="Q201" s="653"/>
      <c r="R201" s="653"/>
      <c r="S201" s="648"/>
    </row>
    <row r="202" spans="1:19">
      <c r="A202" s="655"/>
      <c r="B202" s="650"/>
      <c r="C202" s="650"/>
      <c r="D202" s="650"/>
      <c r="E202" s="650"/>
      <c r="F202" s="509"/>
      <c r="G202" s="509"/>
      <c r="H202" s="509"/>
      <c r="I202" s="648"/>
      <c r="J202" s="509"/>
      <c r="K202" s="655"/>
      <c r="L202" s="650"/>
      <c r="M202" s="650"/>
      <c r="N202" s="650"/>
      <c r="O202" s="650"/>
      <c r="P202" s="509"/>
      <c r="Q202" s="509"/>
      <c r="R202" s="509"/>
      <c r="S202" s="648"/>
    </row>
    <row r="203" spans="1:19" ht="15" customHeight="1">
      <c r="A203" s="655">
        <v>2</v>
      </c>
      <c r="B203" s="1126" t="s">
        <v>54</v>
      </c>
      <c r="C203" s="1126"/>
      <c r="D203" s="1126"/>
      <c r="E203" s="650"/>
      <c r="F203" s="509"/>
      <c r="G203" s="509"/>
      <c r="H203" s="509"/>
      <c r="I203" s="648"/>
      <c r="J203" s="509"/>
      <c r="K203" s="655">
        <v>2</v>
      </c>
      <c r="L203" s="1126" t="s">
        <v>54</v>
      </c>
      <c r="M203" s="1126"/>
      <c r="N203" s="1126"/>
      <c r="O203" s="650"/>
      <c r="P203" s="509"/>
      <c r="Q203" s="509"/>
      <c r="R203" s="509"/>
      <c r="S203" s="648"/>
    </row>
    <row r="204" spans="1:19">
      <c r="A204" s="655"/>
      <c r="B204" s="1126"/>
      <c r="C204" s="1126"/>
      <c r="D204" s="1126"/>
      <c r="E204" s="657" t="s">
        <v>37</v>
      </c>
      <c r="F204" s="653"/>
      <c r="G204" s="653"/>
      <c r="H204" s="653"/>
      <c r="I204" s="648"/>
      <c r="J204" s="509"/>
      <c r="K204" s="655"/>
      <c r="L204" s="1126"/>
      <c r="M204" s="1126"/>
      <c r="N204" s="1126"/>
      <c r="O204" s="657" t="s">
        <v>37</v>
      </c>
      <c r="P204" s="653"/>
      <c r="Q204" s="653"/>
      <c r="R204" s="653"/>
      <c r="S204" s="648"/>
    </row>
    <row r="205" spans="1:19">
      <c r="A205" s="655"/>
      <c r="B205" s="650"/>
      <c r="C205" s="650"/>
      <c r="D205" s="650"/>
      <c r="E205" s="650"/>
      <c r="F205" s="509"/>
      <c r="G205" s="509"/>
      <c r="H205" s="509"/>
      <c r="I205" s="648"/>
      <c r="J205" s="509"/>
      <c r="K205" s="655"/>
      <c r="L205" s="650"/>
      <c r="M205" s="650"/>
      <c r="N205" s="650"/>
      <c r="O205" s="650"/>
      <c r="P205" s="509"/>
      <c r="Q205" s="509"/>
      <c r="R205" s="509"/>
      <c r="S205" s="648"/>
    </row>
    <row r="206" spans="1:19">
      <c r="A206" s="655">
        <v>3</v>
      </c>
      <c r="B206" s="1125" t="s">
        <v>55</v>
      </c>
      <c r="C206" s="1125"/>
      <c r="D206" s="1125"/>
      <c r="E206" s="657" t="s">
        <v>37</v>
      </c>
      <c r="F206" s="653"/>
      <c r="G206" s="653"/>
      <c r="H206" s="653"/>
      <c r="I206" s="648"/>
      <c r="J206" s="509"/>
      <c r="K206" s="655">
        <v>3</v>
      </c>
      <c r="L206" s="1125" t="s">
        <v>55</v>
      </c>
      <c r="M206" s="1125"/>
      <c r="N206" s="1125"/>
      <c r="O206" s="652" t="str">
        <f>E206</f>
        <v>N/A</v>
      </c>
      <c r="P206" s="653"/>
      <c r="Q206" s="653"/>
      <c r="R206" s="653"/>
      <c r="S206" s="648"/>
    </row>
    <row r="207" spans="1:19">
      <c r="A207" s="655"/>
      <c r="B207" s="650"/>
      <c r="C207" s="650"/>
      <c r="D207" s="650"/>
      <c r="E207" s="650"/>
      <c r="F207" s="509"/>
      <c r="G207" s="509"/>
      <c r="H207" s="509"/>
      <c r="I207" s="648"/>
      <c r="J207" s="509"/>
      <c r="K207" s="655"/>
      <c r="L207" s="650"/>
      <c r="M207" s="650"/>
      <c r="N207" s="650"/>
      <c r="O207" s="650"/>
      <c r="P207" s="509"/>
      <c r="Q207" s="509"/>
      <c r="R207" s="509"/>
      <c r="S207" s="648"/>
    </row>
    <row r="208" spans="1:19">
      <c r="A208" s="655">
        <v>4</v>
      </c>
      <c r="B208" s="1125" t="s">
        <v>56</v>
      </c>
      <c r="C208" s="1125"/>
      <c r="D208" s="1125"/>
      <c r="E208" s="657" t="s">
        <v>57</v>
      </c>
      <c r="F208" s="653"/>
      <c r="G208" s="653"/>
      <c r="H208" s="653"/>
      <c r="I208" s="648"/>
      <c r="J208" s="509"/>
      <c r="K208" s="655">
        <v>4</v>
      </c>
      <c r="L208" s="1125" t="s">
        <v>56</v>
      </c>
      <c r="M208" s="1125"/>
      <c r="N208" s="1125"/>
      <c r="O208" s="657" t="s">
        <v>57</v>
      </c>
      <c r="P208" s="653"/>
      <c r="Q208" s="653"/>
      <c r="R208" s="653"/>
      <c r="S208" s="648"/>
    </row>
    <row r="209" spans="1:20">
      <c r="A209" s="655"/>
      <c r="B209" s="650"/>
      <c r="C209" s="650"/>
      <c r="D209" s="650"/>
      <c r="E209" s="650"/>
      <c r="F209" s="509"/>
      <c r="G209" s="509"/>
      <c r="H209" s="509"/>
      <c r="I209" s="648"/>
      <c r="J209" s="509"/>
      <c r="K209" s="655"/>
      <c r="L209" s="650"/>
      <c r="M209" s="650"/>
      <c r="N209" s="650"/>
      <c r="O209" s="650"/>
      <c r="P209" s="509"/>
      <c r="Q209" s="509"/>
      <c r="R209" s="509"/>
      <c r="S209" s="648"/>
    </row>
    <row r="210" spans="1:20">
      <c r="A210" s="655">
        <v>5</v>
      </c>
      <c r="B210" s="1125" t="s">
        <v>58</v>
      </c>
      <c r="C210" s="1125"/>
      <c r="D210" s="1125"/>
      <c r="E210" s="658"/>
      <c r="F210" s="667">
        <f>'0422Master'!AM20</f>
        <v>73275.862639999992</v>
      </c>
      <c r="G210" s="509"/>
      <c r="H210" s="509"/>
      <c r="I210" s="648"/>
      <c r="J210" s="509"/>
      <c r="K210" s="655">
        <v>5</v>
      </c>
      <c r="L210" s="1125" t="s">
        <v>58</v>
      </c>
      <c r="M210" s="1125"/>
      <c r="N210" s="1125"/>
      <c r="O210" s="658">
        <f>F210</f>
        <v>73275.862639999992</v>
      </c>
      <c r="P210" s="509"/>
      <c r="Q210" s="509"/>
      <c r="R210" s="509"/>
      <c r="S210" s="648"/>
    </row>
    <row r="211" spans="1:20">
      <c r="A211" s="655"/>
      <c r="B211" s="650"/>
      <c r="C211" s="650"/>
      <c r="D211" s="659" t="s">
        <v>59</v>
      </c>
      <c r="E211" s="659" t="s">
        <v>31</v>
      </c>
      <c r="F211" s="659" t="s">
        <v>33</v>
      </c>
      <c r="G211" s="659" t="s">
        <v>34</v>
      </c>
      <c r="H211" s="659" t="s">
        <v>378</v>
      </c>
      <c r="I211" s="660" t="s">
        <v>379</v>
      </c>
      <c r="J211" s="509"/>
      <c r="K211" s="655"/>
      <c r="L211" s="650"/>
      <c r="M211" s="650"/>
      <c r="N211" s="659" t="s">
        <v>59</v>
      </c>
      <c r="O211" s="659" t="s">
        <v>31</v>
      </c>
      <c r="P211" s="659" t="s">
        <v>33</v>
      </c>
      <c r="Q211" s="659" t="s">
        <v>34</v>
      </c>
      <c r="R211" s="659" t="s">
        <v>378</v>
      </c>
      <c r="S211" s="660" t="s">
        <v>379</v>
      </c>
    </row>
    <row r="212" spans="1:20">
      <c r="A212" s="655">
        <v>6</v>
      </c>
      <c r="B212" s="661" t="s">
        <v>60</v>
      </c>
      <c r="C212" s="661"/>
      <c r="D212" s="662">
        <f>'0422Master'!AO20</f>
        <v>1800</v>
      </c>
      <c r="E212" s="662">
        <f>'0422Master'!AN540</f>
        <v>0</v>
      </c>
      <c r="F212" s="663">
        <f>'0422Master'!AP20</f>
        <v>200</v>
      </c>
      <c r="G212" s="662">
        <f>'0422Master'!AQ20</f>
        <v>0</v>
      </c>
      <c r="H212" s="663">
        <f>'0422Master'!AR20</f>
        <v>252</v>
      </c>
      <c r="I212" s="663">
        <f>'0422Master'!AS540</f>
        <v>0</v>
      </c>
      <c r="J212" s="509"/>
      <c r="K212" s="655">
        <v>6</v>
      </c>
      <c r="L212" s="661" t="s">
        <v>60</v>
      </c>
      <c r="M212" s="661"/>
      <c r="N212" s="662">
        <f t="shared" ref="N212:S212" si="4">D212</f>
        <v>1800</v>
      </c>
      <c r="O212" s="662">
        <f t="shared" si="4"/>
        <v>0</v>
      </c>
      <c r="P212" s="663">
        <f t="shared" si="4"/>
        <v>200</v>
      </c>
      <c r="Q212" s="662">
        <f t="shared" si="4"/>
        <v>0</v>
      </c>
      <c r="R212" s="663">
        <f t="shared" si="4"/>
        <v>252</v>
      </c>
      <c r="S212" s="663">
        <f t="shared" si="4"/>
        <v>0</v>
      </c>
    </row>
    <row r="213" spans="1:20">
      <c r="A213" s="655"/>
      <c r="B213" s="650"/>
      <c r="C213" s="650"/>
      <c r="D213" s="650"/>
      <c r="E213" s="650"/>
      <c r="F213" s="509"/>
      <c r="G213" s="509"/>
      <c r="H213" s="509"/>
      <c r="I213" s="648"/>
      <c r="J213" s="509"/>
      <c r="K213" s="655"/>
      <c r="L213" s="650"/>
      <c r="M213" s="650"/>
      <c r="N213" s="650"/>
      <c r="O213" s="650"/>
      <c r="P213" s="509"/>
      <c r="Q213" s="509"/>
      <c r="R213" s="509"/>
      <c r="S213" s="648"/>
      <c r="T213">
        <v>6</v>
      </c>
    </row>
    <row r="214" spans="1:20">
      <c r="A214" s="655">
        <v>7</v>
      </c>
      <c r="B214" s="1125" t="s">
        <v>61</v>
      </c>
      <c r="C214" s="1125"/>
      <c r="D214" s="1125"/>
      <c r="E214" s="664"/>
      <c r="F214" s="668">
        <f>F210-D212-F212-G212-H212</f>
        <v>71023.862639999992</v>
      </c>
      <c r="G214" s="653"/>
      <c r="H214" s="653"/>
      <c r="I214" s="648"/>
      <c r="J214" s="509"/>
      <c r="K214" s="655">
        <v>7</v>
      </c>
      <c r="L214" s="1125" t="s">
        <v>61</v>
      </c>
      <c r="M214" s="1125"/>
      <c r="N214" s="1125"/>
      <c r="O214" s="664">
        <f>F214</f>
        <v>71023.862639999992</v>
      </c>
      <c r="P214" s="653"/>
      <c r="Q214" s="653"/>
      <c r="R214" s="653"/>
      <c r="S214" s="648"/>
    </row>
    <row r="215" spans="1:20">
      <c r="A215" s="647"/>
      <c r="B215" s="509"/>
      <c r="C215" s="509"/>
      <c r="D215" s="509"/>
      <c r="E215" s="509"/>
      <c r="F215" s="509"/>
      <c r="G215" s="509"/>
      <c r="H215" s="509"/>
      <c r="I215" s="648"/>
      <c r="J215" s="509"/>
      <c r="K215" s="647"/>
      <c r="L215" s="509"/>
      <c r="M215" s="509"/>
      <c r="N215" s="509"/>
      <c r="O215" s="509"/>
      <c r="P215" s="509"/>
      <c r="Q215" s="509"/>
      <c r="R215" s="509"/>
      <c r="S215" s="648"/>
    </row>
    <row r="216" spans="1:20">
      <c r="A216" s="647"/>
      <c r="B216" s="509"/>
      <c r="C216" s="509"/>
      <c r="D216" s="509"/>
      <c r="E216" s="509"/>
      <c r="F216" s="509"/>
      <c r="G216" s="509"/>
      <c r="H216" s="509"/>
      <c r="I216" s="648"/>
      <c r="J216" s="509"/>
      <c r="K216" s="647"/>
      <c r="L216" s="509"/>
      <c r="M216" s="509"/>
      <c r="N216" s="509"/>
      <c r="O216" s="509"/>
      <c r="P216" s="509"/>
      <c r="Q216" s="509"/>
      <c r="R216" s="509"/>
      <c r="S216" s="648"/>
    </row>
    <row r="217" spans="1:20" ht="15.75" thickBot="1">
      <c r="A217" s="647"/>
      <c r="B217" s="509"/>
      <c r="C217" s="509"/>
      <c r="D217" s="509"/>
      <c r="E217" s="509"/>
      <c r="F217" s="646"/>
      <c r="G217" s="646"/>
      <c r="H217" s="646"/>
      <c r="I217" s="665"/>
      <c r="J217" s="509"/>
      <c r="K217" s="647"/>
      <c r="L217" s="509"/>
      <c r="M217" s="509"/>
      <c r="N217" s="509"/>
      <c r="O217" s="509"/>
      <c r="P217" s="646"/>
      <c r="Q217" s="646"/>
      <c r="R217" s="646"/>
      <c r="S217" s="665"/>
    </row>
    <row r="218" spans="1:20" ht="15.75" thickBot="1">
      <c r="A218" s="666"/>
      <c r="B218" s="646"/>
      <c r="C218" s="646"/>
      <c r="D218" s="646"/>
      <c r="E218" s="646"/>
      <c r="F218" s="1129" t="s">
        <v>62</v>
      </c>
      <c r="G218" s="1129"/>
      <c r="H218" s="1129"/>
      <c r="I218" s="1130"/>
      <c r="J218" s="509"/>
      <c r="K218" s="666"/>
      <c r="L218" s="646"/>
      <c r="M218" s="646"/>
      <c r="N218" s="646"/>
      <c r="O218" s="646"/>
      <c r="P218" s="1129" t="s">
        <v>62</v>
      </c>
      <c r="Q218" s="1129"/>
      <c r="R218" s="1129"/>
      <c r="S218" s="1130"/>
    </row>
    <row r="228" spans="1:19" ht="30" customHeight="1"/>
    <row r="229" spans="1:19" ht="30" customHeight="1"/>
    <row r="230" spans="1:19" ht="30" customHeight="1"/>
    <row r="232" spans="1:19" ht="15.75" thickBot="1"/>
    <row r="233" spans="1:19" ht="26.25">
      <c r="A233" s="1135" t="s">
        <v>707</v>
      </c>
      <c r="B233" s="1136"/>
      <c r="C233" s="1136"/>
      <c r="D233" s="1136"/>
      <c r="E233" s="1136"/>
      <c r="F233" s="1136"/>
      <c r="G233" s="1136"/>
      <c r="H233" s="1136"/>
      <c r="I233" s="1137"/>
      <c r="J233" s="669"/>
      <c r="K233" s="1135" t="s">
        <v>707</v>
      </c>
      <c r="L233" s="1136"/>
      <c r="M233" s="1136"/>
      <c r="N233" s="1136"/>
      <c r="O233" s="1136"/>
      <c r="P233" s="1136"/>
      <c r="Q233" s="1136"/>
      <c r="R233" s="1136"/>
      <c r="S233" s="1137"/>
    </row>
    <row r="234" spans="1:19" ht="15.75" thickBot="1">
      <c r="A234" s="1138" t="s">
        <v>708</v>
      </c>
      <c r="B234" s="1139"/>
      <c r="C234" s="1139"/>
      <c r="D234" s="1139"/>
      <c r="E234" s="1139"/>
      <c r="F234" s="1139"/>
      <c r="G234" s="1139"/>
      <c r="H234" s="1139"/>
      <c r="I234" s="1140"/>
      <c r="J234" s="467"/>
      <c r="K234" s="1138" t="s">
        <v>708</v>
      </c>
      <c r="L234" s="1139"/>
      <c r="M234" s="1139"/>
      <c r="N234" s="1139"/>
      <c r="O234" s="1139"/>
      <c r="P234" s="1139"/>
      <c r="Q234" s="1139"/>
      <c r="R234" s="1139"/>
      <c r="S234" s="1140"/>
    </row>
    <row r="235" spans="1:19">
      <c r="A235" s="471"/>
      <c r="B235" s="8"/>
      <c r="C235" s="8"/>
      <c r="D235" s="8"/>
      <c r="E235" s="8"/>
      <c r="F235" s="8"/>
      <c r="G235" s="8"/>
      <c r="H235" s="8"/>
      <c r="I235" s="464"/>
      <c r="J235" s="8"/>
      <c r="K235" s="471"/>
      <c r="L235" s="8"/>
      <c r="M235" s="8"/>
      <c r="N235" s="8"/>
      <c r="O235" s="8"/>
      <c r="P235" s="8"/>
      <c r="Q235" s="8"/>
      <c r="R235" s="8"/>
      <c r="S235" s="464"/>
    </row>
    <row r="236" spans="1:19">
      <c r="A236" s="670" t="s">
        <v>49</v>
      </c>
      <c r="B236" s="348"/>
      <c r="C236" s="348"/>
      <c r="D236" s="350" t="s">
        <v>384</v>
      </c>
      <c r="E236" s="8"/>
      <c r="F236" s="8"/>
      <c r="G236" s="8"/>
      <c r="H236" s="8"/>
      <c r="I236" s="464"/>
      <c r="J236" s="8"/>
      <c r="K236" s="670" t="s">
        <v>49</v>
      </c>
      <c r="L236" s="348"/>
      <c r="M236" s="348"/>
      <c r="N236" s="350" t="str">
        <f>D236</f>
        <v>Burgeon IT Services Pvt.Ltd.</v>
      </c>
      <c r="O236" s="8"/>
      <c r="P236" s="8"/>
      <c r="Q236" s="8"/>
      <c r="R236" s="8"/>
      <c r="S236" s="464"/>
    </row>
    <row r="237" spans="1:19">
      <c r="A237" s="670"/>
      <c r="B237" s="348" t="s">
        <v>385</v>
      </c>
      <c r="C237" s="348"/>
      <c r="D237" s="348"/>
      <c r="E237" s="8"/>
      <c r="F237" s="8"/>
      <c r="G237" s="8"/>
      <c r="H237" s="8"/>
      <c r="I237" s="464"/>
      <c r="J237" s="8"/>
      <c r="K237" s="670"/>
      <c r="L237" s="348" t="str">
        <f>B237</f>
        <v>Siri Mansion LIGB 436 Dr.A S Rao Nagar,Hyderabad</v>
      </c>
      <c r="M237" s="348"/>
      <c r="N237" s="348"/>
      <c r="O237" s="8"/>
      <c r="P237" s="8"/>
      <c r="Q237" s="8"/>
      <c r="R237" s="8"/>
      <c r="S237" s="464"/>
    </row>
    <row r="238" spans="1:19">
      <c r="A238" s="670"/>
      <c r="B238" s="348">
        <f>'0422Master'!F574</f>
        <v>0</v>
      </c>
      <c r="C238" s="348"/>
      <c r="D238" s="348"/>
      <c r="E238" s="348"/>
      <c r="F238" s="8"/>
      <c r="G238" s="8"/>
      <c r="H238" s="8"/>
      <c r="I238" s="464"/>
      <c r="J238" s="8"/>
      <c r="K238" s="670"/>
      <c r="L238" s="348">
        <f>B238</f>
        <v>0</v>
      </c>
      <c r="M238" s="348"/>
      <c r="N238" s="348"/>
      <c r="O238" s="348"/>
      <c r="P238" s="8"/>
      <c r="Q238" s="8"/>
      <c r="R238" s="8"/>
      <c r="S238" s="464"/>
    </row>
    <row r="239" spans="1:19" ht="15" customHeight="1">
      <c r="A239" s="1131" t="s">
        <v>50</v>
      </c>
      <c r="B239" s="1132"/>
      <c r="C239" s="1132"/>
      <c r="D239" s="1132"/>
      <c r="E239" s="348"/>
      <c r="F239" s="8"/>
      <c r="G239" s="8"/>
      <c r="H239" s="8"/>
      <c r="I239" s="464"/>
      <c r="J239" s="8"/>
      <c r="K239" s="1131" t="s">
        <v>50</v>
      </c>
      <c r="L239" s="1132"/>
      <c r="M239" s="1132"/>
      <c r="N239" s="1132"/>
      <c r="O239" s="348"/>
      <c r="P239" s="8"/>
      <c r="Q239" s="8"/>
      <c r="R239" s="8"/>
      <c r="S239" s="464"/>
    </row>
    <row r="240" spans="1:19">
      <c r="A240" s="1131"/>
      <c r="B240" s="1132"/>
      <c r="C240" s="1132"/>
      <c r="D240" s="1132"/>
      <c r="E240" s="671" t="str">
        <f>'0422Master'!B21</f>
        <v>Amit Chawadi</v>
      </c>
      <c r="F240" s="672"/>
      <c r="G240" s="672"/>
      <c r="H240" s="672" t="str">
        <f>'0422Master'!E21</f>
        <v>Veerendra</v>
      </c>
      <c r="I240" s="464"/>
      <c r="J240" s="8"/>
      <c r="K240" s="1131"/>
      <c r="L240" s="1132"/>
      <c r="M240" s="1132"/>
      <c r="N240" s="1132"/>
      <c r="O240" s="671" t="str">
        <f>E240</f>
        <v>Amit Chawadi</v>
      </c>
      <c r="P240" s="672"/>
      <c r="Q240" s="672"/>
      <c r="R240" s="672" t="str">
        <f>H240</f>
        <v>Veerendra</v>
      </c>
      <c r="S240" s="464"/>
    </row>
    <row r="241" spans="1:19">
      <c r="A241" s="670"/>
      <c r="B241" s="348"/>
      <c r="C241" s="348"/>
      <c r="D241" s="348"/>
      <c r="E241" s="348"/>
      <c r="F241" s="8"/>
      <c r="G241" s="8"/>
      <c r="H241" s="8"/>
      <c r="I241" s="464"/>
      <c r="J241" s="8"/>
      <c r="K241" s="670"/>
      <c r="L241" s="348"/>
      <c r="M241" s="348"/>
      <c r="N241" s="348"/>
      <c r="O241" s="348"/>
      <c r="P241" s="8"/>
      <c r="Q241" s="8"/>
      <c r="R241" s="8"/>
      <c r="S241" s="464"/>
    </row>
    <row r="242" spans="1:19">
      <c r="A242" s="1133" t="s">
        <v>51</v>
      </c>
      <c r="B242" s="1134"/>
      <c r="C242" s="1134"/>
      <c r="D242" s="1134"/>
      <c r="E242" s="671" t="s">
        <v>374</v>
      </c>
      <c r="F242" s="672"/>
      <c r="G242" s="672"/>
      <c r="H242" s="672"/>
      <c r="I242" s="464"/>
      <c r="J242" s="8"/>
      <c r="K242" s="1133" t="s">
        <v>51</v>
      </c>
      <c r="L242" s="1134"/>
      <c r="M242" s="1134"/>
      <c r="N242" s="1134"/>
      <c r="O242" s="671" t="str">
        <f>E242</f>
        <v>IT SUPPORTIVE SERVICES</v>
      </c>
      <c r="P242" s="672"/>
      <c r="Q242" s="672"/>
      <c r="R242" s="672"/>
      <c r="S242" s="464"/>
    </row>
    <row r="243" spans="1:19">
      <c r="A243" s="670"/>
      <c r="B243" s="348"/>
      <c r="C243" s="348"/>
      <c r="D243" s="348"/>
      <c r="E243" s="348"/>
      <c r="F243" s="8"/>
      <c r="G243" s="8"/>
      <c r="H243" s="8"/>
      <c r="I243" s="464"/>
      <c r="J243" s="8"/>
      <c r="K243" s="670"/>
      <c r="L243" s="348"/>
      <c r="M243" s="348"/>
      <c r="N243" s="348"/>
      <c r="O243" s="348"/>
      <c r="P243" s="8"/>
      <c r="Q243" s="8"/>
      <c r="R243" s="8"/>
      <c r="S243" s="464"/>
    </row>
    <row r="244" spans="1:19">
      <c r="A244" s="1133" t="s">
        <v>52</v>
      </c>
      <c r="B244" s="1134"/>
      <c r="C244" s="1134"/>
      <c r="D244" s="1134"/>
      <c r="E244" s="673">
        <f>'0422Master'!D10</f>
        <v>44652</v>
      </c>
      <c r="F244" s="672"/>
      <c r="G244" s="672"/>
      <c r="H244" s="672"/>
      <c r="I244" s="464"/>
      <c r="J244" s="8"/>
      <c r="K244" s="1133" t="s">
        <v>52</v>
      </c>
      <c r="L244" s="1134"/>
      <c r="M244" s="1134"/>
      <c r="N244" s="1134"/>
      <c r="O244" s="673">
        <f>E244</f>
        <v>44652</v>
      </c>
      <c r="P244" s="672"/>
      <c r="Q244" s="672"/>
      <c r="R244" s="672"/>
      <c r="S244" s="464"/>
    </row>
    <row r="245" spans="1:19">
      <c r="A245" s="670"/>
      <c r="B245" s="348"/>
      <c r="C245" s="348"/>
      <c r="D245" s="348"/>
      <c r="E245" s="348"/>
      <c r="F245" s="8"/>
      <c r="G245" s="8"/>
      <c r="H245" s="8"/>
      <c r="I245" s="464"/>
      <c r="J245" s="8"/>
      <c r="K245" s="670"/>
      <c r="L245" s="348"/>
      <c r="M245" s="348"/>
      <c r="N245" s="348"/>
      <c r="O245" s="348"/>
      <c r="P245" s="8"/>
      <c r="Q245" s="8"/>
      <c r="R245" s="8"/>
      <c r="S245" s="464"/>
    </row>
    <row r="246" spans="1:19">
      <c r="A246" s="674">
        <v>1</v>
      </c>
      <c r="B246" s="1134" t="s">
        <v>53</v>
      </c>
      <c r="C246" s="1134"/>
      <c r="D246" s="1134"/>
      <c r="E246" s="675">
        <f>'0422Master'!W21</f>
        <v>30</v>
      </c>
      <c r="F246" s="672"/>
      <c r="G246" s="672"/>
      <c r="H246" s="672"/>
      <c r="I246" s="464"/>
      <c r="J246" s="8"/>
      <c r="K246" s="674">
        <v>1</v>
      </c>
      <c r="L246" s="1134" t="s">
        <v>53</v>
      </c>
      <c r="M246" s="1134"/>
      <c r="N246" s="1134"/>
      <c r="O246" s="675">
        <f>E246</f>
        <v>30</v>
      </c>
      <c r="P246" s="672"/>
      <c r="Q246" s="672"/>
      <c r="R246" s="672"/>
      <c r="S246" s="464"/>
    </row>
    <row r="247" spans="1:19">
      <c r="A247" s="674"/>
      <c r="B247" s="348"/>
      <c r="C247" s="348"/>
      <c r="D247" s="348"/>
      <c r="E247" s="348"/>
      <c r="F247" s="8"/>
      <c r="G247" s="8"/>
      <c r="H247" s="8"/>
      <c r="I247" s="464"/>
      <c r="J247" s="8"/>
      <c r="K247" s="674"/>
      <c r="L247" s="348"/>
      <c r="M247" s="348"/>
      <c r="N247" s="348"/>
      <c r="O247" s="348"/>
      <c r="P247" s="8"/>
      <c r="Q247" s="8"/>
      <c r="R247" s="8"/>
      <c r="S247" s="464"/>
    </row>
    <row r="248" spans="1:19" ht="15" customHeight="1">
      <c r="A248" s="674">
        <v>2</v>
      </c>
      <c r="B248" s="1132" t="s">
        <v>54</v>
      </c>
      <c r="C248" s="1132"/>
      <c r="D248" s="1132"/>
      <c r="E248" s="348"/>
      <c r="F248" s="8"/>
      <c r="G248" s="8"/>
      <c r="H248" s="8"/>
      <c r="I248" s="464"/>
      <c r="J248" s="8"/>
      <c r="K248" s="674">
        <v>2</v>
      </c>
      <c r="L248" s="1132" t="s">
        <v>54</v>
      </c>
      <c r="M248" s="1132"/>
      <c r="N248" s="1132"/>
      <c r="O248" s="348"/>
      <c r="P248" s="8"/>
      <c r="Q248" s="8"/>
      <c r="R248" s="8"/>
      <c r="S248" s="464"/>
    </row>
    <row r="249" spans="1:19">
      <c r="A249" s="674"/>
      <c r="B249" s="1132"/>
      <c r="C249" s="1132"/>
      <c r="D249" s="1132"/>
      <c r="E249" s="676" t="s">
        <v>37</v>
      </c>
      <c r="F249" s="672"/>
      <c r="G249" s="672"/>
      <c r="H249" s="672"/>
      <c r="I249" s="464"/>
      <c r="J249" s="8"/>
      <c r="K249" s="674"/>
      <c r="L249" s="1132"/>
      <c r="M249" s="1132"/>
      <c r="N249" s="1132"/>
      <c r="O249" s="676" t="s">
        <v>37</v>
      </c>
      <c r="P249" s="672"/>
      <c r="Q249" s="672"/>
      <c r="R249" s="672"/>
      <c r="S249" s="464"/>
    </row>
    <row r="250" spans="1:19">
      <c r="A250" s="674"/>
      <c r="B250" s="348"/>
      <c r="C250" s="348"/>
      <c r="D250" s="348"/>
      <c r="E250" s="348"/>
      <c r="F250" s="8"/>
      <c r="G250" s="8"/>
      <c r="H250" s="8"/>
      <c r="I250" s="464"/>
      <c r="J250" s="8"/>
      <c r="K250" s="674"/>
      <c r="L250" s="348"/>
      <c r="M250" s="348"/>
      <c r="N250" s="348"/>
      <c r="O250" s="348"/>
      <c r="P250" s="8"/>
      <c r="Q250" s="8"/>
      <c r="R250" s="8"/>
      <c r="S250" s="464"/>
    </row>
    <row r="251" spans="1:19">
      <c r="A251" s="674">
        <v>3</v>
      </c>
      <c r="B251" s="1134" t="s">
        <v>55</v>
      </c>
      <c r="C251" s="1134"/>
      <c r="D251" s="1134"/>
      <c r="E251" s="676" t="s">
        <v>37</v>
      </c>
      <c r="F251" s="672"/>
      <c r="G251" s="672"/>
      <c r="H251" s="672"/>
      <c r="I251" s="464"/>
      <c r="J251" s="8"/>
      <c r="K251" s="674">
        <v>3</v>
      </c>
      <c r="L251" s="1134" t="s">
        <v>55</v>
      </c>
      <c r="M251" s="1134"/>
      <c r="N251" s="1134"/>
      <c r="O251" s="671" t="str">
        <f>E251</f>
        <v>N/A</v>
      </c>
      <c r="P251" s="672"/>
      <c r="Q251" s="672"/>
      <c r="R251" s="672"/>
      <c r="S251" s="464"/>
    </row>
    <row r="252" spans="1:19">
      <c r="A252" s="674"/>
      <c r="B252" s="348"/>
      <c r="C252" s="348"/>
      <c r="D252" s="348"/>
      <c r="E252" s="348"/>
      <c r="F252" s="8"/>
      <c r="G252" s="8"/>
      <c r="H252" s="8"/>
      <c r="I252" s="464"/>
      <c r="J252" s="8"/>
      <c r="K252" s="674"/>
      <c r="L252" s="348"/>
      <c r="M252" s="348"/>
      <c r="N252" s="348"/>
      <c r="O252" s="348"/>
      <c r="P252" s="8"/>
      <c r="Q252" s="8"/>
      <c r="R252" s="8"/>
      <c r="S252" s="464"/>
    </row>
    <row r="253" spans="1:19">
      <c r="A253" s="674">
        <v>4</v>
      </c>
      <c r="B253" s="1134" t="s">
        <v>56</v>
      </c>
      <c r="C253" s="1134"/>
      <c r="D253" s="1134"/>
      <c r="E253" s="676" t="s">
        <v>57</v>
      </c>
      <c r="F253" s="672"/>
      <c r="G253" s="672"/>
      <c r="H253" s="672"/>
      <c r="I253" s="464"/>
      <c r="J253" s="8"/>
      <c r="K253" s="674">
        <v>4</v>
      </c>
      <c r="L253" s="1134" t="s">
        <v>56</v>
      </c>
      <c r="M253" s="1134"/>
      <c r="N253" s="1134"/>
      <c r="O253" s="676" t="s">
        <v>57</v>
      </c>
      <c r="P253" s="672"/>
      <c r="Q253" s="672"/>
      <c r="R253" s="672"/>
      <c r="S253" s="464"/>
    </row>
    <row r="254" spans="1:19">
      <c r="A254" s="674"/>
      <c r="B254" s="348"/>
      <c r="C254" s="348"/>
      <c r="D254" s="348"/>
      <c r="E254" s="348"/>
      <c r="F254" s="8"/>
      <c r="G254" s="8"/>
      <c r="H254" s="8"/>
      <c r="I254" s="464"/>
      <c r="J254" s="8"/>
      <c r="K254" s="674"/>
      <c r="L254" s="348"/>
      <c r="M254" s="348"/>
      <c r="N254" s="348"/>
      <c r="O254" s="348"/>
      <c r="P254" s="8"/>
      <c r="Q254" s="8"/>
      <c r="R254" s="8"/>
      <c r="S254" s="464"/>
    </row>
    <row r="255" spans="1:19">
      <c r="A255" s="674">
        <v>5</v>
      </c>
      <c r="B255" s="1134" t="s">
        <v>58</v>
      </c>
      <c r="C255" s="1134"/>
      <c r="D255" s="1134"/>
      <c r="E255" s="677">
        <f>'0422Master'!AM21</f>
        <v>88276.332079999993</v>
      </c>
      <c r="F255" s="8"/>
      <c r="G255" s="8"/>
      <c r="H255" s="8"/>
      <c r="I255" s="464"/>
      <c r="J255" s="8"/>
      <c r="K255" s="674">
        <v>5</v>
      </c>
      <c r="L255" s="1134" t="s">
        <v>58</v>
      </c>
      <c r="M255" s="1134"/>
      <c r="N255" s="1134"/>
      <c r="O255" s="677">
        <f>E255</f>
        <v>88276.332079999993</v>
      </c>
      <c r="P255" s="8"/>
      <c r="Q255" s="8"/>
      <c r="R255" s="8"/>
      <c r="S255" s="464"/>
    </row>
    <row r="256" spans="1:19">
      <c r="A256" s="674"/>
      <c r="B256" s="348"/>
      <c r="C256" s="348"/>
      <c r="D256" s="678" t="s">
        <v>59</v>
      </c>
      <c r="E256" s="678" t="s">
        <v>31</v>
      </c>
      <c r="F256" s="678" t="s">
        <v>33</v>
      </c>
      <c r="G256" s="678" t="s">
        <v>34</v>
      </c>
      <c r="H256" s="678" t="s">
        <v>378</v>
      </c>
      <c r="I256" s="679" t="s">
        <v>379</v>
      </c>
      <c r="J256" s="8"/>
      <c r="K256" s="674"/>
      <c r="L256" s="348"/>
      <c r="M256" s="348"/>
      <c r="N256" s="678" t="s">
        <v>59</v>
      </c>
      <c r="O256" s="678" t="s">
        <v>31</v>
      </c>
      <c r="P256" s="678" t="s">
        <v>33</v>
      </c>
      <c r="Q256" s="678" t="s">
        <v>34</v>
      </c>
      <c r="R256" s="678" t="s">
        <v>378</v>
      </c>
      <c r="S256" s="679" t="s">
        <v>379</v>
      </c>
    </row>
    <row r="257" spans="1:20">
      <c r="A257" s="674">
        <v>6</v>
      </c>
      <c r="B257" s="680" t="s">
        <v>60</v>
      </c>
      <c r="C257" s="680"/>
      <c r="D257" s="681">
        <f>'0422Master'!AO21</f>
        <v>1800</v>
      </c>
      <c r="E257" s="681">
        <f>'0422Master'!AN585</f>
        <v>0</v>
      </c>
      <c r="F257" s="682">
        <f>'0422Master'!AP21</f>
        <v>200</v>
      </c>
      <c r="G257" s="681">
        <f>'0422Master'!AQ21</f>
        <v>0</v>
      </c>
      <c r="H257" s="682">
        <f>'0422Master'!AR21</f>
        <v>283</v>
      </c>
      <c r="I257" s="682">
        <f>'0422Master'!AS585</f>
        <v>0</v>
      </c>
      <c r="J257" s="8"/>
      <c r="K257" s="674">
        <v>6</v>
      </c>
      <c r="L257" s="680" t="s">
        <v>60</v>
      </c>
      <c r="M257" s="680"/>
      <c r="N257" s="681">
        <f t="shared" ref="N257:S257" si="5">D257</f>
        <v>1800</v>
      </c>
      <c r="O257" s="681">
        <f t="shared" si="5"/>
        <v>0</v>
      </c>
      <c r="P257" s="682">
        <f t="shared" si="5"/>
        <v>200</v>
      </c>
      <c r="Q257" s="681">
        <f t="shared" si="5"/>
        <v>0</v>
      </c>
      <c r="R257" s="682">
        <f t="shared" si="5"/>
        <v>283</v>
      </c>
      <c r="S257" s="682">
        <f t="shared" si="5"/>
        <v>0</v>
      </c>
      <c r="T257">
        <v>8</v>
      </c>
    </row>
    <row r="258" spans="1:20">
      <c r="A258" s="674"/>
      <c r="B258" s="348"/>
      <c r="C258" s="348"/>
      <c r="D258" s="348"/>
      <c r="E258" s="348"/>
      <c r="F258" s="8"/>
      <c r="G258" s="8"/>
      <c r="H258" s="8"/>
      <c r="I258" s="464"/>
      <c r="J258" s="8"/>
      <c r="K258" s="674"/>
      <c r="L258" s="348"/>
      <c r="M258" s="348"/>
      <c r="N258" s="348"/>
      <c r="O258" s="348"/>
      <c r="P258" s="8"/>
      <c r="Q258" s="8"/>
      <c r="R258" s="8"/>
      <c r="S258" s="464"/>
    </row>
    <row r="259" spans="1:20">
      <c r="A259" s="674">
        <v>7</v>
      </c>
      <c r="B259" s="1134" t="s">
        <v>61</v>
      </c>
      <c r="C259" s="1134"/>
      <c r="D259" s="1134"/>
      <c r="E259" s="683">
        <f>E255-D257-F257-G257-H257</f>
        <v>85993.332079999993</v>
      </c>
      <c r="F259" s="672"/>
      <c r="G259" s="672"/>
      <c r="H259" s="672"/>
      <c r="I259" s="464"/>
      <c r="J259" s="8"/>
      <c r="K259" s="674">
        <v>7</v>
      </c>
      <c r="L259" s="1134" t="s">
        <v>61</v>
      </c>
      <c r="M259" s="1134"/>
      <c r="N259" s="1134"/>
      <c r="O259" s="683">
        <f>E259</f>
        <v>85993.332079999993</v>
      </c>
      <c r="P259" s="672"/>
      <c r="Q259" s="672"/>
      <c r="R259" s="672"/>
      <c r="S259" s="464"/>
    </row>
    <row r="260" spans="1:20">
      <c r="A260" s="471"/>
      <c r="B260" s="8"/>
      <c r="C260" s="8"/>
      <c r="D260" s="8"/>
      <c r="E260" s="8"/>
      <c r="F260" s="8"/>
      <c r="G260" s="8"/>
      <c r="H260" s="8"/>
      <c r="I260" s="464"/>
      <c r="J260" s="8"/>
      <c r="K260" s="471"/>
      <c r="L260" s="8"/>
      <c r="M260" s="8"/>
      <c r="N260" s="8"/>
      <c r="O260" s="8"/>
      <c r="P260" s="8"/>
      <c r="Q260" s="8"/>
      <c r="R260" s="8"/>
      <c r="S260" s="464"/>
    </row>
    <row r="261" spans="1:20">
      <c r="A261" s="471"/>
      <c r="B261" s="8"/>
      <c r="C261" s="8"/>
      <c r="D261" s="8"/>
      <c r="E261" s="8"/>
      <c r="F261" s="8"/>
      <c r="G261" s="8"/>
      <c r="H261" s="8"/>
      <c r="I261" s="464"/>
      <c r="J261" s="8"/>
      <c r="K261" s="471"/>
      <c r="L261" s="8"/>
      <c r="M261" s="8"/>
      <c r="N261" s="8"/>
      <c r="O261" s="8"/>
      <c r="P261" s="8"/>
      <c r="Q261" s="8"/>
      <c r="R261" s="8"/>
      <c r="S261" s="464"/>
    </row>
    <row r="262" spans="1:20" ht="15.75" thickBot="1">
      <c r="A262" s="471"/>
      <c r="B262" s="8"/>
      <c r="C262" s="8"/>
      <c r="D262" s="8"/>
      <c r="E262" s="8"/>
      <c r="F262" s="467"/>
      <c r="G262" s="467"/>
      <c r="H262" s="467"/>
      <c r="I262" s="468"/>
      <c r="J262" s="8"/>
      <c r="K262" s="471"/>
      <c r="L262" s="8"/>
      <c r="M262" s="8"/>
      <c r="N262" s="8"/>
      <c r="O262" s="8"/>
      <c r="P262" s="467"/>
      <c r="Q262" s="467"/>
      <c r="R262" s="467"/>
      <c r="S262" s="468"/>
    </row>
    <row r="263" spans="1:20" ht="15.75" thickBot="1">
      <c r="A263" s="481"/>
      <c r="B263" s="467"/>
      <c r="C263" s="467"/>
      <c r="D263" s="467"/>
      <c r="E263" s="467"/>
      <c r="F263" s="1141" t="s">
        <v>62</v>
      </c>
      <c r="G263" s="1141"/>
      <c r="H263" s="1141"/>
      <c r="I263" s="1142"/>
      <c r="J263" s="8"/>
      <c r="K263" s="481"/>
      <c r="L263" s="467"/>
      <c r="M263" s="467"/>
      <c r="N263" s="467"/>
      <c r="O263" s="467"/>
      <c r="P263" s="1141" t="s">
        <v>62</v>
      </c>
      <c r="Q263" s="1141"/>
      <c r="R263" s="1141"/>
      <c r="S263" s="1142"/>
    </row>
    <row r="264" spans="1:20" s="8" customFormat="1"/>
    <row r="265" spans="1:20" s="8" customFormat="1"/>
    <row r="266" spans="1:20" s="8" customFormat="1"/>
    <row r="267" spans="1:20" s="8" customFormat="1"/>
    <row r="268" spans="1:20" s="8" customFormat="1"/>
    <row r="269" spans="1:20" s="8" customFormat="1" ht="39" customHeight="1"/>
    <row r="270" spans="1:20" s="8" customFormat="1" ht="23.25" customHeight="1"/>
    <row r="271" spans="1:20" s="8" customFormat="1" ht="23.25" customHeight="1"/>
    <row r="272" spans="1:20" s="8" customFormat="1" ht="23.25" customHeight="1"/>
    <row r="273" spans="1:19" s="8" customFormat="1"/>
    <row r="274" spans="1:19" s="8" customFormat="1"/>
    <row r="275" spans="1:19" s="8" customFormat="1"/>
    <row r="276" spans="1:19" s="8" customFormat="1"/>
    <row r="277" spans="1:19" s="8" customFormat="1" ht="15.75" thickBot="1"/>
    <row r="278" spans="1:19" ht="26.25">
      <c r="A278" s="1116" t="s">
        <v>707</v>
      </c>
      <c r="B278" s="1117"/>
      <c r="C278" s="1117"/>
      <c r="D278" s="1117"/>
      <c r="E278" s="1117"/>
      <c r="F278" s="1117"/>
      <c r="G278" s="1117"/>
      <c r="H278" s="1117"/>
      <c r="I278" s="1118"/>
      <c r="J278" s="74"/>
      <c r="K278" s="1116" t="s">
        <v>707</v>
      </c>
      <c r="L278" s="1117"/>
      <c r="M278" s="1117"/>
      <c r="N278" s="1117"/>
      <c r="O278" s="1117"/>
      <c r="P278" s="1117"/>
      <c r="Q278" s="1117"/>
      <c r="R278" s="1117"/>
      <c r="S278" s="1118"/>
    </row>
    <row r="279" spans="1:19" ht="15.75" thickBot="1">
      <c r="A279" s="1119" t="s">
        <v>708</v>
      </c>
      <c r="B279" s="1120"/>
      <c r="C279" s="1120"/>
      <c r="D279" s="1120"/>
      <c r="E279" s="1120"/>
      <c r="F279" s="1120"/>
      <c r="G279" s="1120"/>
      <c r="H279" s="1120"/>
      <c r="I279" s="1121"/>
      <c r="J279" s="22"/>
      <c r="K279" s="1119" t="s">
        <v>708</v>
      </c>
      <c r="L279" s="1120"/>
      <c r="M279" s="1120"/>
      <c r="N279" s="1120"/>
      <c r="O279" s="1120"/>
      <c r="P279" s="1120"/>
      <c r="Q279" s="1120"/>
      <c r="R279" s="1120"/>
      <c r="S279" s="1121"/>
    </row>
    <row r="280" spans="1:19">
      <c r="A280" s="12"/>
      <c r="I280" s="13"/>
      <c r="K280" s="12"/>
      <c r="S280" s="13"/>
    </row>
    <row r="281" spans="1:19">
      <c r="A281" s="14" t="s">
        <v>49</v>
      </c>
      <c r="B281" s="3"/>
      <c r="C281" s="3"/>
      <c r="D281" s="6" t="s">
        <v>384</v>
      </c>
      <c r="E281" s="330"/>
      <c r="F281" s="330"/>
      <c r="I281" s="13"/>
      <c r="K281" s="14" t="s">
        <v>49</v>
      </c>
      <c r="L281" s="3"/>
      <c r="M281" s="3"/>
      <c r="N281" s="6" t="str">
        <f>D281</f>
        <v>Burgeon IT Services Pvt.Ltd.</v>
      </c>
      <c r="S281" s="13"/>
    </row>
    <row r="282" spans="1:19">
      <c r="A282" s="14"/>
      <c r="B282" s="3" t="s">
        <v>385</v>
      </c>
      <c r="C282" s="3"/>
      <c r="D282" s="3"/>
      <c r="E282" s="330"/>
      <c r="F282" s="330"/>
      <c r="I282" s="13"/>
      <c r="K282" s="14"/>
      <c r="L282" s="3" t="str">
        <f>B282</f>
        <v>Siri Mansion LIGB 436 Dr.A S Rao Nagar,Hyderabad</v>
      </c>
      <c r="M282" s="3"/>
      <c r="N282" s="3"/>
      <c r="S282" s="13"/>
    </row>
    <row r="283" spans="1:19">
      <c r="A283" s="14"/>
      <c r="B283" s="3">
        <f>'0422Master'!F619</f>
        <v>0</v>
      </c>
      <c r="C283" s="3"/>
      <c r="D283" s="3"/>
      <c r="E283" s="3"/>
      <c r="I283" s="13"/>
      <c r="K283" s="14"/>
      <c r="L283" s="3">
        <f>B283</f>
        <v>0</v>
      </c>
      <c r="M283" s="3"/>
      <c r="N283" s="3"/>
      <c r="O283" s="3"/>
      <c r="S283" s="13"/>
    </row>
    <row r="284" spans="1:19" ht="15" customHeight="1">
      <c r="A284" s="1113" t="s">
        <v>50</v>
      </c>
      <c r="B284" s="1114"/>
      <c r="C284" s="1114"/>
      <c r="D284" s="1114"/>
      <c r="E284" s="3"/>
      <c r="I284" s="13"/>
      <c r="K284" s="1113" t="s">
        <v>50</v>
      </c>
      <c r="L284" s="1114"/>
      <c r="M284" s="1114"/>
      <c r="N284" s="1114"/>
      <c r="O284" s="3"/>
      <c r="S284" s="13"/>
    </row>
    <row r="285" spans="1:19">
      <c r="A285" s="1113"/>
      <c r="B285" s="1114"/>
      <c r="C285" s="1114"/>
      <c r="D285" s="1114"/>
      <c r="E285" s="15" t="str">
        <f>'0422Master'!B22</f>
        <v>Ashwini Nanaware</v>
      </c>
      <c r="F285" s="16"/>
      <c r="G285" s="16"/>
      <c r="H285" s="16" t="str">
        <f>'0422Master'!E22</f>
        <v>Suresh Sadashiv Male</v>
      </c>
      <c r="I285" s="13"/>
      <c r="K285" s="1113"/>
      <c r="L285" s="1114"/>
      <c r="M285" s="1114"/>
      <c r="N285" s="1114"/>
      <c r="O285" s="15" t="str">
        <f>E285</f>
        <v>Ashwini Nanaware</v>
      </c>
      <c r="P285" s="16"/>
      <c r="Q285" s="16"/>
      <c r="R285" s="16" t="str">
        <f>H285</f>
        <v>Suresh Sadashiv Male</v>
      </c>
      <c r="S285" s="13"/>
    </row>
    <row r="286" spans="1:19">
      <c r="A286" s="14"/>
      <c r="B286" s="3"/>
      <c r="C286" s="3"/>
      <c r="D286" s="3"/>
      <c r="E286" s="3"/>
      <c r="I286" s="13"/>
      <c r="K286" s="14"/>
      <c r="L286" s="3"/>
      <c r="M286" s="3"/>
      <c r="N286" s="3"/>
      <c r="O286" s="3"/>
      <c r="S286" s="13"/>
    </row>
    <row r="287" spans="1:19">
      <c r="A287" s="1115" t="s">
        <v>51</v>
      </c>
      <c r="B287" s="1112"/>
      <c r="C287" s="1112"/>
      <c r="D287" s="1112"/>
      <c r="E287" s="15" t="s">
        <v>374</v>
      </c>
      <c r="F287" s="16"/>
      <c r="G287" s="16"/>
      <c r="H287" s="16"/>
      <c r="I287" s="13"/>
      <c r="K287" s="1115" t="s">
        <v>51</v>
      </c>
      <c r="L287" s="1112"/>
      <c r="M287" s="1112"/>
      <c r="N287" s="1112"/>
      <c r="O287" s="15" t="str">
        <f>E287</f>
        <v>IT SUPPORTIVE SERVICES</v>
      </c>
      <c r="P287" s="16"/>
      <c r="Q287" s="16"/>
      <c r="R287" s="16"/>
      <c r="S287" s="13"/>
    </row>
    <row r="288" spans="1:19">
      <c r="A288" s="14"/>
      <c r="B288" s="3"/>
      <c r="C288" s="3"/>
      <c r="D288" s="3"/>
      <c r="E288" s="3"/>
      <c r="I288" s="13"/>
      <c r="K288" s="14"/>
      <c r="L288" s="3"/>
      <c r="M288" s="3"/>
      <c r="N288" s="3"/>
      <c r="O288" s="3"/>
      <c r="S288" s="13"/>
    </row>
    <row r="289" spans="1:20">
      <c r="A289" s="1115" t="s">
        <v>52</v>
      </c>
      <c r="B289" s="1112"/>
      <c r="C289" s="1112"/>
      <c r="D289" s="1112"/>
      <c r="E289" s="17">
        <f>'0422Master'!D10</f>
        <v>44652</v>
      </c>
      <c r="F289" s="16"/>
      <c r="G289" s="16"/>
      <c r="H289" s="16"/>
      <c r="I289" s="13"/>
      <c r="K289" s="1115" t="s">
        <v>52</v>
      </c>
      <c r="L289" s="1112"/>
      <c r="M289" s="1112"/>
      <c r="N289" s="1112"/>
      <c r="O289" s="17">
        <f>E289</f>
        <v>44652</v>
      </c>
      <c r="P289" s="16"/>
      <c r="Q289" s="16"/>
      <c r="R289" s="16"/>
      <c r="S289" s="13"/>
    </row>
    <row r="290" spans="1:20">
      <c r="A290" s="14"/>
      <c r="B290" s="3"/>
      <c r="C290" s="3"/>
      <c r="D290" s="3"/>
      <c r="E290" s="3"/>
      <c r="I290" s="13"/>
      <c r="K290" s="14"/>
      <c r="L290" s="3"/>
      <c r="M290" s="3"/>
      <c r="N290" s="3"/>
      <c r="O290" s="3"/>
      <c r="S290" s="13"/>
    </row>
    <row r="291" spans="1:20">
      <c r="A291" s="18">
        <v>1</v>
      </c>
      <c r="B291" s="1112" t="s">
        <v>53</v>
      </c>
      <c r="C291" s="1112"/>
      <c r="D291" s="1112"/>
      <c r="E291" s="19">
        <f>'0422Master'!W22</f>
        <v>30</v>
      </c>
      <c r="F291" s="16"/>
      <c r="G291" s="16"/>
      <c r="H291" s="16"/>
      <c r="I291" s="13"/>
      <c r="K291" s="18">
        <v>1</v>
      </c>
      <c r="L291" s="1112" t="s">
        <v>53</v>
      </c>
      <c r="M291" s="1112"/>
      <c r="N291" s="1112"/>
      <c r="O291" s="19">
        <f>E291</f>
        <v>30</v>
      </c>
      <c r="P291" s="16"/>
      <c r="Q291" s="16"/>
      <c r="R291" s="16"/>
      <c r="S291" s="13"/>
    </row>
    <row r="292" spans="1:20">
      <c r="A292" s="18"/>
      <c r="B292" s="3"/>
      <c r="C292" s="3"/>
      <c r="D292" s="3"/>
      <c r="E292" s="3"/>
      <c r="I292" s="13"/>
      <c r="K292" s="18"/>
      <c r="L292" s="3"/>
      <c r="M292" s="3"/>
      <c r="N292" s="3"/>
      <c r="O292" s="3"/>
      <c r="S292" s="13"/>
    </row>
    <row r="293" spans="1:20" ht="15" customHeight="1">
      <c r="A293" s="18">
        <v>2</v>
      </c>
      <c r="B293" s="1114" t="s">
        <v>54</v>
      </c>
      <c r="C293" s="1114"/>
      <c r="D293" s="1114"/>
      <c r="E293" s="3"/>
      <c r="I293" s="13"/>
      <c r="K293" s="18">
        <v>2</v>
      </c>
      <c r="L293" s="1114" t="s">
        <v>54</v>
      </c>
      <c r="M293" s="1114"/>
      <c r="N293" s="1114"/>
      <c r="O293" s="3"/>
      <c r="S293" s="13"/>
    </row>
    <row r="294" spans="1:20">
      <c r="A294" s="18"/>
      <c r="B294" s="1114"/>
      <c r="C294" s="1114"/>
      <c r="D294" s="1114"/>
      <c r="E294" s="20" t="s">
        <v>37</v>
      </c>
      <c r="F294" s="16"/>
      <c r="G294" s="16"/>
      <c r="H294" s="16"/>
      <c r="I294" s="13"/>
      <c r="K294" s="18"/>
      <c r="L294" s="1114"/>
      <c r="M294" s="1114"/>
      <c r="N294" s="1114"/>
      <c r="O294" s="20" t="s">
        <v>37</v>
      </c>
      <c r="P294" s="16"/>
      <c r="Q294" s="16"/>
      <c r="R294" s="16"/>
      <c r="S294" s="13"/>
    </row>
    <row r="295" spans="1:20">
      <c r="A295" s="18"/>
      <c r="B295" s="3"/>
      <c r="C295" s="3"/>
      <c r="D295" s="3"/>
      <c r="E295" s="3"/>
      <c r="I295" s="13"/>
      <c r="K295" s="18"/>
      <c r="L295" s="3"/>
      <c r="M295" s="3"/>
      <c r="N295" s="3"/>
      <c r="O295" s="3"/>
      <c r="S295" s="13"/>
    </row>
    <row r="296" spans="1:20">
      <c r="A296" s="18">
        <v>3</v>
      </c>
      <c r="B296" s="1112" t="s">
        <v>55</v>
      </c>
      <c r="C296" s="1112"/>
      <c r="D296" s="1112"/>
      <c r="E296" s="20" t="s">
        <v>37</v>
      </c>
      <c r="F296" s="16"/>
      <c r="G296" s="16"/>
      <c r="H296" s="16"/>
      <c r="I296" s="13"/>
      <c r="K296" s="18">
        <v>3</v>
      </c>
      <c r="L296" s="1112" t="s">
        <v>55</v>
      </c>
      <c r="M296" s="1112"/>
      <c r="N296" s="1112"/>
      <c r="O296" s="15" t="str">
        <f>E296</f>
        <v>N/A</v>
      </c>
      <c r="P296" s="16"/>
      <c r="Q296" s="16"/>
      <c r="R296" s="16"/>
      <c r="S296" s="13"/>
    </row>
    <row r="297" spans="1:20">
      <c r="A297" s="18"/>
      <c r="B297" s="3"/>
      <c r="C297" s="3"/>
      <c r="D297" s="3"/>
      <c r="E297" s="3"/>
      <c r="I297" s="13"/>
      <c r="K297" s="18"/>
      <c r="L297" s="3"/>
      <c r="M297" s="3"/>
      <c r="N297" s="3"/>
      <c r="O297" s="3"/>
      <c r="S297" s="13"/>
    </row>
    <row r="298" spans="1:20">
      <c r="A298" s="18">
        <v>4</v>
      </c>
      <c r="B298" s="1112" t="s">
        <v>56</v>
      </c>
      <c r="C298" s="1112"/>
      <c r="D298" s="1112"/>
      <c r="E298" s="20" t="s">
        <v>57</v>
      </c>
      <c r="F298" s="16"/>
      <c r="G298" s="16"/>
      <c r="H298" s="16"/>
      <c r="I298" s="13"/>
      <c r="K298" s="18">
        <v>4</v>
      </c>
      <c r="L298" s="1112" t="s">
        <v>56</v>
      </c>
      <c r="M298" s="1112"/>
      <c r="N298" s="1112"/>
      <c r="O298" s="20" t="s">
        <v>57</v>
      </c>
      <c r="P298" s="16"/>
      <c r="Q298" s="16"/>
      <c r="R298" s="16"/>
      <c r="S298" s="13"/>
    </row>
    <row r="299" spans="1:20">
      <c r="A299" s="18"/>
      <c r="B299" s="3"/>
      <c r="C299" s="3"/>
      <c r="D299" s="3"/>
      <c r="E299" s="3"/>
      <c r="I299" s="13"/>
      <c r="K299" s="18"/>
      <c r="L299" s="3"/>
      <c r="M299" s="3"/>
      <c r="N299" s="3"/>
      <c r="O299" s="3"/>
      <c r="S299" s="13"/>
    </row>
    <row r="300" spans="1:20">
      <c r="A300" s="18">
        <v>5</v>
      </c>
      <c r="B300" s="1112" t="s">
        <v>58</v>
      </c>
      <c r="C300" s="1112"/>
      <c r="D300" s="1112"/>
      <c r="E300" s="274">
        <f>'0422Master'!AM22</f>
        <v>60275.599639999993</v>
      </c>
      <c r="I300" s="13"/>
      <c r="K300" s="18">
        <v>5</v>
      </c>
      <c r="L300" s="1112" t="s">
        <v>58</v>
      </c>
      <c r="M300" s="1112"/>
      <c r="N300" s="1112"/>
      <c r="O300" s="274">
        <f>E300</f>
        <v>60275.599639999993</v>
      </c>
      <c r="S300" s="13"/>
    </row>
    <row r="301" spans="1:20">
      <c r="A301" s="18"/>
      <c r="B301" s="3"/>
      <c r="C301" s="3"/>
      <c r="D301" s="275" t="s">
        <v>59</v>
      </c>
      <c r="E301" s="275" t="s">
        <v>31</v>
      </c>
      <c r="F301" s="275" t="s">
        <v>33</v>
      </c>
      <c r="G301" s="275" t="s">
        <v>34</v>
      </c>
      <c r="H301" s="275" t="s">
        <v>378</v>
      </c>
      <c r="I301" s="273" t="s">
        <v>379</v>
      </c>
      <c r="K301" s="18"/>
      <c r="L301" s="3"/>
      <c r="M301" s="3"/>
      <c r="N301" s="275" t="s">
        <v>59</v>
      </c>
      <c r="O301" s="275" t="s">
        <v>31</v>
      </c>
      <c r="P301" s="275" t="s">
        <v>33</v>
      </c>
      <c r="Q301" s="275" t="s">
        <v>34</v>
      </c>
      <c r="R301" s="275" t="s">
        <v>378</v>
      </c>
      <c r="S301" s="273" t="s">
        <v>379</v>
      </c>
    </row>
    <row r="302" spans="1:20">
      <c r="A302" s="18">
        <v>6</v>
      </c>
      <c r="B302" s="25" t="s">
        <v>60</v>
      </c>
      <c r="C302" s="25"/>
      <c r="D302" s="276">
        <f>'0422Master'!AO22</f>
        <v>1800</v>
      </c>
      <c r="E302" s="276">
        <f>'0422Master'!AN630</f>
        <v>0</v>
      </c>
      <c r="F302" s="277">
        <f>'0422Master'!AP22</f>
        <v>200</v>
      </c>
      <c r="G302" s="276">
        <f>'0422Master'!AQ22</f>
        <v>0</v>
      </c>
      <c r="H302" s="277">
        <f>'0422Master'!AR22</f>
        <v>283</v>
      </c>
      <c r="I302" s="277">
        <f>'0422Master'!AR22</f>
        <v>283</v>
      </c>
      <c r="K302" s="18">
        <v>6</v>
      </c>
      <c r="L302" s="25" t="s">
        <v>60</v>
      </c>
      <c r="M302" s="25"/>
      <c r="N302" s="276">
        <f t="shared" ref="N302:S302" si="6">D302</f>
        <v>1800</v>
      </c>
      <c r="O302" s="276">
        <f t="shared" si="6"/>
        <v>0</v>
      </c>
      <c r="P302" s="277">
        <f t="shared" si="6"/>
        <v>200</v>
      </c>
      <c r="Q302" s="276">
        <f t="shared" si="6"/>
        <v>0</v>
      </c>
      <c r="R302" s="277">
        <f t="shared" si="6"/>
        <v>283</v>
      </c>
      <c r="S302" s="277">
        <f t="shared" si="6"/>
        <v>283</v>
      </c>
      <c r="T302">
        <v>7</v>
      </c>
    </row>
    <row r="303" spans="1:20">
      <c r="A303" s="18"/>
      <c r="B303" s="3"/>
      <c r="C303" s="3"/>
      <c r="D303" s="3"/>
      <c r="E303" s="3"/>
      <c r="I303" s="13"/>
      <c r="K303" s="18"/>
      <c r="L303" s="3"/>
      <c r="M303" s="3"/>
      <c r="N303" s="3"/>
      <c r="O303" s="3"/>
      <c r="S303" s="13"/>
    </row>
    <row r="304" spans="1:20">
      <c r="A304" s="18">
        <v>7</v>
      </c>
      <c r="B304" s="1112" t="s">
        <v>61</v>
      </c>
      <c r="C304" s="1112"/>
      <c r="D304" s="1112"/>
      <c r="E304" s="21">
        <f>E300-D302-F302-G302-H302</f>
        <v>57992.599639999993</v>
      </c>
      <c r="F304" s="16"/>
      <c r="G304" s="16"/>
      <c r="H304" s="16"/>
      <c r="I304" s="13"/>
      <c r="K304" s="18">
        <v>7</v>
      </c>
      <c r="L304" s="1112" t="s">
        <v>61</v>
      </c>
      <c r="M304" s="1112"/>
      <c r="N304" s="1112"/>
      <c r="O304" s="21">
        <f>E304</f>
        <v>57992.599639999993</v>
      </c>
      <c r="P304" s="16"/>
      <c r="Q304" s="16"/>
      <c r="R304" s="16"/>
      <c r="S304" s="13"/>
    </row>
    <row r="305" spans="1:19">
      <c r="A305" s="12"/>
      <c r="I305" s="13"/>
      <c r="K305" s="12"/>
      <c r="S305" s="13"/>
    </row>
    <row r="306" spans="1:19">
      <c r="A306" s="12"/>
      <c r="I306" s="13"/>
      <c r="K306" s="12"/>
      <c r="S306" s="13"/>
    </row>
    <row r="307" spans="1:19" ht="15.75" thickBot="1">
      <c r="A307" s="12"/>
      <c r="F307" s="22"/>
      <c r="G307" s="22"/>
      <c r="H307" s="22"/>
      <c r="I307" s="23"/>
      <c r="K307" s="12"/>
      <c r="P307" s="22"/>
      <c r="Q307" s="22"/>
      <c r="R307" s="22"/>
      <c r="S307" s="23"/>
    </row>
    <row r="308" spans="1:19" ht="15.75" thickBot="1">
      <c r="A308" s="24"/>
      <c r="B308" s="22"/>
      <c r="C308" s="22"/>
      <c r="D308" s="22"/>
      <c r="E308" s="22"/>
      <c r="F308" s="1110" t="s">
        <v>62</v>
      </c>
      <c r="G308" s="1110"/>
      <c r="H308" s="1110"/>
      <c r="I308" s="1111"/>
      <c r="K308" s="24"/>
      <c r="L308" s="22"/>
      <c r="M308" s="22"/>
      <c r="N308" s="22"/>
      <c r="O308" s="22"/>
      <c r="P308" s="1110" t="s">
        <v>62</v>
      </c>
      <c r="Q308" s="1110"/>
      <c r="R308" s="1110"/>
      <c r="S308" s="1111"/>
    </row>
    <row r="319" spans="1:19" ht="24.75" customHeight="1"/>
    <row r="320" spans="1:19" ht="24.75" customHeight="1"/>
    <row r="321" spans="1:19" ht="24.75" customHeight="1"/>
    <row r="322" spans="1:19" ht="30" customHeight="1" thickBot="1"/>
    <row r="323" spans="1:19" ht="26.25">
      <c r="A323" s="1116" t="s">
        <v>707</v>
      </c>
      <c r="B323" s="1117"/>
      <c r="C323" s="1117"/>
      <c r="D323" s="1117"/>
      <c r="E323" s="1117"/>
      <c r="F323" s="1117"/>
      <c r="G323" s="1117"/>
      <c r="H323" s="1117"/>
      <c r="I323" s="1118"/>
      <c r="J323" s="74"/>
      <c r="K323" s="1116" t="s">
        <v>707</v>
      </c>
      <c r="L323" s="1117"/>
      <c r="M323" s="1117"/>
      <c r="N323" s="1117"/>
      <c r="O323" s="1117"/>
      <c r="P323" s="1117"/>
      <c r="Q323" s="1117"/>
      <c r="R323" s="1117"/>
      <c r="S323" s="1118"/>
    </row>
    <row r="324" spans="1:19" ht="15.75" thickBot="1">
      <c r="A324" s="1119" t="s">
        <v>708</v>
      </c>
      <c r="B324" s="1120"/>
      <c r="C324" s="1120"/>
      <c r="D324" s="1120"/>
      <c r="E324" s="1120"/>
      <c r="F324" s="1120"/>
      <c r="G324" s="1120"/>
      <c r="H324" s="1120"/>
      <c r="I324" s="1121"/>
      <c r="J324" s="22"/>
      <c r="K324" s="1119" t="s">
        <v>708</v>
      </c>
      <c r="L324" s="1120"/>
      <c r="M324" s="1120"/>
      <c r="N324" s="1120"/>
      <c r="O324" s="1120"/>
      <c r="P324" s="1120"/>
      <c r="Q324" s="1120"/>
      <c r="R324" s="1120"/>
      <c r="S324" s="1121"/>
    </row>
    <row r="325" spans="1:19">
      <c r="A325" s="12"/>
      <c r="I325" s="13"/>
      <c r="K325" s="12"/>
      <c r="S325" s="13"/>
    </row>
    <row r="326" spans="1:19">
      <c r="A326" s="14" t="s">
        <v>49</v>
      </c>
      <c r="B326" s="3"/>
      <c r="C326" s="3"/>
      <c r="D326" s="6" t="s">
        <v>384</v>
      </c>
      <c r="E326" s="330"/>
      <c r="F326" s="330"/>
      <c r="I326" s="13"/>
      <c r="K326" s="14" t="s">
        <v>49</v>
      </c>
      <c r="L326" s="3"/>
      <c r="M326" s="3"/>
      <c r="N326" s="6" t="str">
        <f>D326</f>
        <v>Burgeon IT Services Pvt.Ltd.</v>
      </c>
      <c r="S326" s="13"/>
    </row>
    <row r="327" spans="1:19">
      <c r="A327" s="14"/>
      <c r="B327" s="3" t="s">
        <v>385</v>
      </c>
      <c r="C327" s="3"/>
      <c r="D327" s="3"/>
      <c r="E327" s="330"/>
      <c r="F327" s="330"/>
      <c r="I327" s="13"/>
      <c r="K327" s="14"/>
      <c r="L327" s="3" t="str">
        <f>B327</f>
        <v>Siri Mansion LIGB 436 Dr.A S Rao Nagar,Hyderabad</v>
      </c>
      <c r="M327" s="3"/>
      <c r="N327" s="3"/>
      <c r="S327" s="13"/>
    </row>
    <row r="328" spans="1:19">
      <c r="A328" s="14"/>
      <c r="B328" s="3">
        <f>'0422Master'!F664</f>
        <v>0</v>
      </c>
      <c r="C328" s="3"/>
      <c r="D328" s="3"/>
      <c r="E328" s="3"/>
      <c r="I328" s="13"/>
      <c r="K328" s="14"/>
      <c r="L328" s="3">
        <f>B328</f>
        <v>0</v>
      </c>
      <c r="M328" s="3"/>
      <c r="N328" s="3"/>
      <c r="O328" s="3"/>
      <c r="S328" s="13"/>
    </row>
    <row r="329" spans="1:19" ht="15" customHeight="1">
      <c r="A329" s="1113" t="s">
        <v>50</v>
      </c>
      <c r="B329" s="1114"/>
      <c r="C329" s="1114"/>
      <c r="D329" s="1114"/>
      <c r="E329" s="3"/>
      <c r="I329" s="13"/>
      <c r="K329" s="1113" t="s">
        <v>50</v>
      </c>
      <c r="L329" s="1114"/>
      <c r="M329" s="1114"/>
      <c r="N329" s="1114"/>
      <c r="O329" s="3"/>
      <c r="S329" s="13"/>
    </row>
    <row r="330" spans="1:19">
      <c r="A330" s="1113"/>
      <c r="B330" s="1114"/>
      <c r="C330" s="1114"/>
      <c r="D330" s="1114"/>
      <c r="E330" s="15" t="str">
        <f>'0422Master'!B23</f>
        <v>Kaushal Sushil Sharma</v>
      </c>
      <c r="F330" s="16"/>
      <c r="G330" s="16"/>
      <c r="H330" s="16" t="str">
        <f>'0422Master'!E22</f>
        <v>Suresh Sadashiv Male</v>
      </c>
      <c r="I330" s="13"/>
      <c r="K330" s="1113"/>
      <c r="L330" s="1114"/>
      <c r="M330" s="1114"/>
      <c r="N330" s="1114"/>
      <c r="O330" s="15" t="str">
        <f>E330</f>
        <v>Kaushal Sushil Sharma</v>
      </c>
      <c r="P330" s="16"/>
      <c r="Q330" s="16"/>
      <c r="R330" s="16" t="str">
        <f>H330</f>
        <v>Suresh Sadashiv Male</v>
      </c>
      <c r="S330" s="13"/>
    </row>
    <row r="331" spans="1:19">
      <c r="A331" s="14"/>
      <c r="B331" s="3"/>
      <c r="C331" s="3"/>
      <c r="D331" s="3"/>
      <c r="E331" s="3"/>
      <c r="I331" s="13"/>
      <c r="K331" s="14"/>
      <c r="L331" s="3"/>
      <c r="M331" s="3"/>
      <c r="N331" s="3"/>
      <c r="O331" s="3"/>
      <c r="S331" s="13"/>
    </row>
    <row r="332" spans="1:19">
      <c r="A332" s="1115" t="s">
        <v>51</v>
      </c>
      <c r="B332" s="1112"/>
      <c r="C332" s="1112"/>
      <c r="D332" s="1112"/>
      <c r="E332" s="15" t="s">
        <v>374</v>
      </c>
      <c r="F332" s="16"/>
      <c r="G332" s="16"/>
      <c r="H332" s="16"/>
      <c r="I332" s="13"/>
      <c r="K332" s="1115" t="s">
        <v>51</v>
      </c>
      <c r="L332" s="1112"/>
      <c r="M332" s="1112"/>
      <c r="N332" s="1112"/>
      <c r="O332" s="15" t="str">
        <f>E332</f>
        <v>IT SUPPORTIVE SERVICES</v>
      </c>
      <c r="P332" s="16"/>
      <c r="Q332" s="16"/>
      <c r="R332" s="16"/>
      <c r="S332" s="13"/>
    </row>
    <row r="333" spans="1:19">
      <c r="A333" s="14"/>
      <c r="B333" s="3"/>
      <c r="C333" s="3"/>
      <c r="D333" s="3"/>
      <c r="E333" s="3"/>
      <c r="I333" s="13"/>
      <c r="K333" s="14"/>
      <c r="L333" s="3"/>
      <c r="M333" s="3"/>
      <c r="N333" s="3"/>
      <c r="O333" s="3"/>
      <c r="S333" s="13"/>
    </row>
    <row r="334" spans="1:19">
      <c r="A334" s="1115" t="s">
        <v>52</v>
      </c>
      <c r="B334" s="1112"/>
      <c r="C334" s="1112"/>
      <c r="D334" s="1112"/>
      <c r="E334" s="17">
        <f>'0422Master'!D10</f>
        <v>44652</v>
      </c>
      <c r="F334" s="16"/>
      <c r="G334" s="16"/>
      <c r="H334" s="16"/>
      <c r="I334" s="13"/>
      <c r="K334" s="1115" t="s">
        <v>52</v>
      </c>
      <c r="L334" s="1112"/>
      <c r="M334" s="1112"/>
      <c r="N334" s="1112"/>
      <c r="O334" s="17">
        <f>E334</f>
        <v>44652</v>
      </c>
      <c r="P334" s="16"/>
      <c r="Q334" s="16"/>
      <c r="R334" s="16"/>
      <c r="S334" s="13"/>
    </row>
    <row r="335" spans="1:19">
      <c r="A335" s="14"/>
      <c r="B335" s="3"/>
      <c r="C335" s="3"/>
      <c r="D335" s="3"/>
      <c r="E335" s="3"/>
      <c r="I335" s="13"/>
      <c r="K335" s="14"/>
      <c r="L335" s="3"/>
      <c r="M335" s="3"/>
      <c r="N335" s="3"/>
      <c r="O335" s="3"/>
      <c r="S335" s="13"/>
    </row>
    <row r="336" spans="1:19">
      <c r="A336" s="18">
        <v>1</v>
      </c>
      <c r="B336" s="1112" t="s">
        <v>53</v>
      </c>
      <c r="C336" s="1112"/>
      <c r="D336" s="1112"/>
      <c r="E336" s="19">
        <f>'0422Master'!W23</f>
        <v>30</v>
      </c>
      <c r="F336" s="16"/>
      <c r="G336" s="16"/>
      <c r="H336" s="16"/>
      <c r="I336" s="13"/>
      <c r="K336" s="18">
        <v>1</v>
      </c>
      <c r="L336" s="1112" t="s">
        <v>53</v>
      </c>
      <c r="M336" s="1112"/>
      <c r="N336" s="1112"/>
      <c r="O336" s="19">
        <f>E336</f>
        <v>30</v>
      </c>
      <c r="P336" s="16"/>
      <c r="Q336" s="16"/>
      <c r="R336" s="16"/>
      <c r="S336" s="13"/>
    </row>
    <row r="337" spans="1:20">
      <c r="A337" s="18"/>
      <c r="B337" s="3"/>
      <c r="C337" s="3"/>
      <c r="D337" s="3"/>
      <c r="E337" s="3"/>
      <c r="I337" s="13"/>
      <c r="K337" s="18"/>
      <c r="L337" s="3"/>
      <c r="M337" s="3"/>
      <c r="N337" s="3"/>
      <c r="O337" s="3"/>
      <c r="S337" s="13"/>
    </row>
    <row r="338" spans="1:20" ht="15" customHeight="1">
      <c r="A338" s="18">
        <v>2</v>
      </c>
      <c r="B338" s="1114" t="s">
        <v>54</v>
      </c>
      <c r="C338" s="1114"/>
      <c r="D338" s="1114"/>
      <c r="E338" s="3"/>
      <c r="I338" s="13"/>
      <c r="K338" s="18">
        <v>2</v>
      </c>
      <c r="L338" s="1114" t="s">
        <v>54</v>
      </c>
      <c r="M338" s="1114"/>
      <c r="N338" s="1114"/>
      <c r="O338" s="3"/>
      <c r="S338" s="13"/>
    </row>
    <row r="339" spans="1:20">
      <c r="A339" s="18"/>
      <c r="B339" s="1114"/>
      <c r="C339" s="1114"/>
      <c r="D339" s="1114"/>
      <c r="E339" s="20" t="s">
        <v>37</v>
      </c>
      <c r="F339" s="16"/>
      <c r="G339" s="16"/>
      <c r="H339" s="16"/>
      <c r="I339" s="13"/>
      <c r="K339" s="18"/>
      <c r="L339" s="1114"/>
      <c r="M339" s="1114"/>
      <c r="N339" s="1114"/>
      <c r="O339" s="20" t="s">
        <v>37</v>
      </c>
      <c r="P339" s="16"/>
      <c r="Q339" s="16"/>
      <c r="R339" s="16"/>
      <c r="S339" s="13"/>
    </row>
    <row r="340" spans="1:20">
      <c r="A340" s="18"/>
      <c r="B340" s="3"/>
      <c r="C340" s="3"/>
      <c r="D340" s="3"/>
      <c r="E340" s="3"/>
      <c r="I340" s="13"/>
      <c r="K340" s="18"/>
      <c r="L340" s="3"/>
      <c r="M340" s="3"/>
      <c r="N340" s="3"/>
      <c r="O340" s="3"/>
      <c r="S340" s="13"/>
    </row>
    <row r="341" spans="1:20">
      <c r="A341" s="18">
        <v>3</v>
      </c>
      <c r="B341" s="1112" t="s">
        <v>55</v>
      </c>
      <c r="C341" s="1112"/>
      <c r="D341" s="1112"/>
      <c r="E341" s="20" t="s">
        <v>37</v>
      </c>
      <c r="F341" s="16"/>
      <c r="G341" s="16"/>
      <c r="H341" s="16"/>
      <c r="I341" s="13"/>
      <c r="K341" s="18">
        <v>3</v>
      </c>
      <c r="L341" s="1112" t="s">
        <v>55</v>
      </c>
      <c r="M341" s="1112"/>
      <c r="N341" s="1112"/>
      <c r="O341" s="15" t="str">
        <f>E341</f>
        <v>N/A</v>
      </c>
      <c r="P341" s="16"/>
      <c r="Q341" s="16"/>
      <c r="R341" s="16"/>
      <c r="S341" s="13"/>
    </row>
    <row r="342" spans="1:20">
      <c r="A342" s="18"/>
      <c r="B342" s="3"/>
      <c r="C342" s="3"/>
      <c r="D342" s="3"/>
      <c r="E342" s="3"/>
      <c r="I342" s="13"/>
      <c r="K342" s="18"/>
      <c r="L342" s="3"/>
      <c r="M342" s="3"/>
      <c r="N342" s="3"/>
      <c r="O342" s="3"/>
      <c r="S342" s="13"/>
    </row>
    <row r="343" spans="1:20">
      <c r="A343" s="18">
        <v>4</v>
      </c>
      <c r="B343" s="1112" t="s">
        <v>56</v>
      </c>
      <c r="C343" s="1112"/>
      <c r="D343" s="1112"/>
      <c r="E343" s="20" t="s">
        <v>57</v>
      </c>
      <c r="F343" s="16"/>
      <c r="G343" s="16"/>
      <c r="H343" s="16"/>
      <c r="I343" s="13"/>
      <c r="K343" s="18">
        <v>4</v>
      </c>
      <c r="L343" s="1112" t="s">
        <v>56</v>
      </c>
      <c r="M343" s="1112"/>
      <c r="N343" s="1112"/>
      <c r="O343" s="20" t="s">
        <v>57</v>
      </c>
      <c r="P343" s="16"/>
      <c r="Q343" s="16"/>
      <c r="R343" s="16"/>
      <c r="S343" s="13"/>
    </row>
    <row r="344" spans="1:20">
      <c r="A344" s="18"/>
      <c r="B344" s="3"/>
      <c r="C344" s="3"/>
      <c r="D344" s="3"/>
      <c r="E344" s="3"/>
      <c r="I344" s="13"/>
      <c r="K344" s="18"/>
      <c r="L344" s="3"/>
      <c r="M344" s="3"/>
      <c r="N344" s="3"/>
      <c r="O344" s="3"/>
      <c r="S344" s="13"/>
    </row>
    <row r="345" spans="1:20">
      <c r="A345" s="18">
        <v>5</v>
      </c>
      <c r="B345" s="1112" t="s">
        <v>58</v>
      </c>
      <c r="C345" s="1112"/>
      <c r="D345" s="1112"/>
      <c r="E345" s="274">
        <f>'0422Master'!AM23</f>
        <v>68276.425400000007</v>
      </c>
      <c r="I345" s="13"/>
      <c r="K345" s="18">
        <v>5</v>
      </c>
      <c r="L345" s="1112" t="s">
        <v>58</v>
      </c>
      <c r="M345" s="1112"/>
      <c r="N345" s="1112"/>
      <c r="O345" s="274">
        <f>E345</f>
        <v>68276.425400000007</v>
      </c>
      <c r="S345" s="13"/>
    </row>
    <row r="346" spans="1:20">
      <c r="A346" s="18"/>
      <c r="B346" s="3"/>
      <c r="C346" s="3"/>
      <c r="D346" s="275" t="s">
        <v>59</v>
      </c>
      <c r="E346" s="275" t="s">
        <v>31</v>
      </c>
      <c r="F346" s="275" t="s">
        <v>33</v>
      </c>
      <c r="G346" s="275" t="s">
        <v>34</v>
      </c>
      <c r="H346" s="275" t="s">
        <v>378</v>
      </c>
      <c r="I346" s="273" t="s">
        <v>379</v>
      </c>
      <c r="K346" s="18"/>
      <c r="L346" s="3"/>
      <c r="M346" s="3"/>
      <c r="N346" s="275" t="s">
        <v>59</v>
      </c>
      <c r="O346" s="275" t="s">
        <v>31</v>
      </c>
      <c r="P346" s="275" t="s">
        <v>33</v>
      </c>
      <c r="Q346" s="275" t="s">
        <v>34</v>
      </c>
      <c r="R346" s="275" t="s">
        <v>378</v>
      </c>
      <c r="S346" s="273" t="s">
        <v>379</v>
      </c>
    </row>
    <row r="347" spans="1:20">
      <c r="A347" s="18">
        <v>6</v>
      </c>
      <c r="B347" s="25" t="s">
        <v>60</v>
      </c>
      <c r="C347" s="25"/>
      <c r="D347" s="276">
        <f>'0422Master'!AO23</f>
        <v>1800</v>
      </c>
      <c r="E347" s="276">
        <f>'0422Master'!AN675</f>
        <v>0</v>
      </c>
      <c r="F347" s="277">
        <f>'0422Master'!AP23</f>
        <v>200</v>
      </c>
      <c r="G347" s="276">
        <f>'0422Master'!AQ23</f>
        <v>0</v>
      </c>
      <c r="H347" s="277">
        <f>'0422Master'!AR23</f>
        <v>283</v>
      </c>
      <c r="I347" s="277">
        <f>SUM(D347:H347)</f>
        <v>2283</v>
      </c>
      <c r="J347" s="223"/>
      <c r="K347" s="18">
        <v>6</v>
      </c>
      <c r="L347" s="25" t="s">
        <v>60</v>
      </c>
      <c r="M347" s="25"/>
      <c r="N347" s="276">
        <f t="shared" ref="N347:S347" si="7">D347</f>
        <v>1800</v>
      </c>
      <c r="O347" s="276">
        <f t="shared" si="7"/>
        <v>0</v>
      </c>
      <c r="P347" s="277">
        <f t="shared" si="7"/>
        <v>200</v>
      </c>
      <c r="Q347" s="276">
        <f t="shared" si="7"/>
        <v>0</v>
      </c>
      <c r="R347" s="277">
        <f t="shared" si="7"/>
        <v>283</v>
      </c>
      <c r="S347" s="277">
        <f t="shared" si="7"/>
        <v>2283</v>
      </c>
    </row>
    <row r="348" spans="1:20">
      <c r="A348" s="18"/>
      <c r="B348" s="3"/>
      <c r="C348" s="3"/>
      <c r="D348" s="3"/>
      <c r="E348" s="3"/>
      <c r="I348" s="13"/>
      <c r="K348" s="18"/>
      <c r="L348" s="3"/>
      <c r="M348" s="3"/>
      <c r="N348" s="3"/>
      <c r="O348" s="3"/>
      <c r="S348" s="13"/>
    </row>
    <row r="349" spans="1:20">
      <c r="A349" s="18">
        <v>7</v>
      </c>
      <c r="B349" s="1112" t="s">
        <v>61</v>
      </c>
      <c r="C349" s="1112"/>
      <c r="D349" s="1112"/>
      <c r="E349" s="21">
        <f>E345-I347</f>
        <v>65993.425400000007</v>
      </c>
      <c r="F349" s="16"/>
      <c r="G349" s="16"/>
      <c r="H349" s="16"/>
      <c r="I349" s="13"/>
      <c r="K349" s="18">
        <v>7</v>
      </c>
      <c r="L349" s="1112" t="s">
        <v>61</v>
      </c>
      <c r="M349" s="1112"/>
      <c r="N349" s="1112"/>
      <c r="O349" s="21">
        <f>E349</f>
        <v>65993.425400000007</v>
      </c>
      <c r="P349" s="16"/>
      <c r="Q349" s="16"/>
      <c r="R349" s="16"/>
      <c r="S349" s="13"/>
      <c r="T349">
        <v>9</v>
      </c>
    </row>
    <row r="350" spans="1:20">
      <c r="A350" s="12"/>
      <c r="I350" s="13"/>
      <c r="K350" s="12"/>
      <c r="S350" s="13"/>
    </row>
    <row r="351" spans="1:20">
      <c r="A351" s="12"/>
      <c r="I351" s="13"/>
      <c r="K351" s="12"/>
      <c r="S351" s="13"/>
    </row>
    <row r="352" spans="1:20" ht="15.75" thickBot="1">
      <c r="A352" s="12"/>
      <c r="F352" s="22"/>
      <c r="G352" s="22"/>
      <c r="H352" s="22"/>
      <c r="I352" s="23"/>
      <c r="K352" s="12"/>
      <c r="P352" s="22"/>
      <c r="Q352" s="22"/>
      <c r="R352" s="22"/>
      <c r="S352" s="23"/>
    </row>
    <row r="353" spans="1:19" ht="15.75" thickBot="1">
      <c r="A353" s="24"/>
      <c r="B353" s="22"/>
      <c r="C353" s="22"/>
      <c r="D353" s="22"/>
      <c r="E353" s="22"/>
      <c r="F353" s="1110" t="s">
        <v>62</v>
      </c>
      <c r="G353" s="1110"/>
      <c r="H353" s="1110"/>
      <c r="I353" s="1111"/>
      <c r="K353" s="24"/>
      <c r="L353" s="22"/>
      <c r="M353" s="22"/>
      <c r="N353" s="22"/>
      <c r="O353" s="22"/>
      <c r="P353" s="1110" t="s">
        <v>62</v>
      </c>
      <c r="Q353" s="1110"/>
      <c r="R353" s="1110"/>
      <c r="S353" s="1111"/>
    </row>
    <row r="354" spans="1:19">
      <c r="A354" s="330"/>
      <c r="B354" s="330"/>
      <c r="C354" s="330"/>
      <c r="D354" s="330"/>
      <c r="E354" s="330"/>
      <c r="F354" s="330"/>
      <c r="G354" s="330"/>
      <c r="H354" s="330"/>
      <c r="I354" s="330"/>
      <c r="J354" s="330"/>
      <c r="K354" s="330"/>
      <c r="L354" s="330"/>
      <c r="M354" s="330"/>
      <c r="N354" s="330"/>
      <c r="O354" s="330"/>
      <c r="P354" s="330"/>
      <c r="Q354" s="330"/>
      <c r="R354" s="330"/>
      <c r="S354" s="330"/>
    </row>
    <row r="355" spans="1:19">
      <c r="A355" s="330"/>
      <c r="B355" s="330"/>
      <c r="C355" s="330"/>
      <c r="D355" s="330"/>
      <c r="E355" s="330"/>
      <c r="F355" s="330"/>
      <c r="G355" s="330"/>
      <c r="H355" s="330"/>
      <c r="I355" s="330"/>
      <c r="J355" s="330"/>
      <c r="K355" s="330"/>
      <c r="L355" s="330"/>
      <c r="M355" s="330"/>
      <c r="N355" s="330"/>
      <c r="O355" s="330"/>
      <c r="P355" s="330"/>
      <c r="Q355" s="330"/>
      <c r="R355" s="330"/>
      <c r="S355" s="330"/>
    </row>
    <row r="356" spans="1:19">
      <c r="A356" s="330"/>
      <c r="B356" s="330"/>
      <c r="C356" s="330"/>
      <c r="D356" s="330"/>
      <c r="E356" s="330"/>
      <c r="F356" s="330"/>
      <c r="G356" s="330"/>
      <c r="H356" s="330"/>
      <c r="I356" s="330"/>
      <c r="J356" s="330"/>
      <c r="K356" s="330"/>
      <c r="L356" s="330"/>
      <c r="M356" s="330"/>
      <c r="N356" s="330"/>
      <c r="O356" s="330"/>
      <c r="P356" s="330"/>
      <c r="Q356" s="330"/>
      <c r="R356" s="330"/>
      <c r="S356" s="330"/>
    </row>
    <row r="357" spans="1:19">
      <c r="A357" s="330"/>
      <c r="B357" s="330"/>
      <c r="C357" s="330"/>
      <c r="D357" s="330"/>
      <c r="E357" s="330"/>
      <c r="F357" s="330"/>
      <c r="G357" s="330"/>
      <c r="H357" s="330"/>
      <c r="I357" s="330"/>
      <c r="J357" s="330"/>
      <c r="K357" s="330"/>
      <c r="L357" s="330"/>
      <c r="M357" s="330"/>
      <c r="N357" s="330"/>
      <c r="O357" s="330"/>
      <c r="P357" s="330"/>
      <c r="Q357" s="330"/>
      <c r="R357" s="330"/>
      <c r="S357" s="330"/>
    </row>
    <row r="358" spans="1:19">
      <c r="A358" s="330"/>
      <c r="B358" s="330"/>
      <c r="C358" s="330"/>
      <c r="D358" s="330"/>
      <c r="E358" s="330"/>
      <c r="F358" s="330"/>
      <c r="G358" s="330"/>
      <c r="H358" s="330"/>
      <c r="I358" s="330"/>
      <c r="J358" s="330"/>
      <c r="K358" s="330"/>
      <c r="L358" s="330"/>
      <c r="M358" s="330"/>
      <c r="N358" s="330"/>
      <c r="O358" s="330"/>
      <c r="P358" s="330"/>
      <c r="Q358" s="330"/>
      <c r="R358" s="330"/>
      <c r="S358" s="330"/>
    </row>
    <row r="359" spans="1:19">
      <c r="A359" s="330"/>
      <c r="B359" s="330"/>
      <c r="C359" s="330"/>
      <c r="D359" s="330"/>
      <c r="E359" s="330"/>
      <c r="F359" s="330"/>
      <c r="G359" s="330"/>
      <c r="H359" s="330"/>
      <c r="I359" s="330"/>
      <c r="J359" s="330"/>
      <c r="K359" s="330"/>
      <c r="L359" s="330"/>
      <c r="M359" s="330"/>
      <c r="N359" s="330"/>
      <c r="O359" s="330"/>
      <c r="P359" s="330"/>
      <c r="Q359" s="330"/>
      <c r="R359" s="330"/>
      <c r="S359" s="330"/>
    </row>
    <row r="360" spans="1:19">
      <c r="A360" s="330"/>
      <c r="B360" s="330"/>
      <c r="C360" s="330"/>
      <c r="D360" s="330"/>
      <c r="E360" s="330"/>
      <c r="F360" s="330"/>
      <c r="G360" s="330"/>
      <c r="H360" s="330"/>
      <c r="I360" s="330"/>
      <c r="J360" s="330"/>
      <c r="K360" s="330"/>
      <c r="L360" s="330"/>
      <c r="M360" s="330"/>
      <c r="N360" s="330"/>
      <c r="O360" s="330"/>
      <c r="P360" s="330"/>
      <c r="Q360" s="330"/>
      <c r="R360" s="330"/>
      <c r="S360" s="330"/>
    </row>
    <row r="361" spans="1:19">
      <c r="A361" s="330"/>
      <c r="B361" s="330"/>
      <c r="C361" s="330"/>
      <c r="D361" s="330"/>
      <c r="E361" s="330"/>
      <c r="F361" s="330"/>
      <c r="G361" s="330"/>
      <c r="H361" s="330"/>
      <c r="I361" s="330"/>
      <c r="J361" s="330"/>
      <c r="K361" s="330"/>
      <c r="L361" s="330"/>
      <c r="M361" s="330"/>
      <c r="N361" s="330"/>
      <c r="O361" s="330"/>
      <c r="P361" s="330"/>
      <c r="Q361" s="330"/>
      <c r="R361" s="330"/>
      <c r="S361" s="330"/>
    </row>
    <row r="362" spans="1:19" ht="25.5" customHeight="1">
      <c r="A362" s="330"/>
      <c r="B362" s="330"/>
      <c r="C362" s="330"/>
      <c r="D362" s="330"/>
      <c r="E362" s="330"/>
      <c r="F362" s="330"/>
      <c r="G362" s="330"/>
      <c r="H362" s="330"/>
      <c r="I362" s="330"/>
      <c r="J362" s="330"/>
      <c r="K362" s="330"/>
      <c r="L362" s="330"/>
      <c r="M362" s="330"/>
      <c r="N362" s="330"/>
      <c r="O362" s="330"/>
      <c r="P362" s="330"/>
      <c r="Q362" s="330"/>
      <c r="R362" s="330"/>
      <c r="S362" s="330"/>
    </row>
    <row r="363" spans="1:19" ht="25.5" customHeight="1">
      <c r="A363" s="330"/>
      <c r="B363" s="330"/>
      <c r="C363" s="330"/>
      <c r="D363" s="330"/>
      <c r="E363" s="330"/>
      <c r="F363" s="330"/>
      <c r="G363" s="330"/>
      <c r="H363" s="330"/>
      <c r="I363" s="330"/>
      <c r="J363" s="330"/>
      <c r="K363" s="330"/>
      <c r="L363" s="330"/>
      <c r="M363" s="330"/>
      <c r="N363" s="330"/>
      <c r="O363" s="330"/>
      <c r="P363" s="330"/>
      <c r="Q363" s="330"/>
      <c r="R363" s="330"/>
      <c r="S363" s="330"/>
    </row>
    <row r="364" spans="1:19" ht="25.5" customHeight="1">
      <c r="A364" s="330"/>
      <c r="B364" s="330"/>
      <c r="C364" s="330"/>
      <c r="D364" s="330"/>
      <c r="E364" s="330"/>
      <c r="F364" s="330"/>
      <c r="G364" s="330"/>
      <c r="H364" s="330"/>
      <c r="I364" s="330"/>
      <c r="J364" s="330"/>
      <c r="K364" s="330"/>
      <c r="L364" s="330"/>
      <c r="M364" s="330"/>
      <c r="N364" s="330"/>
      <c r="O364" s="330"/>
      <c r="P364" s="330"/>
      <c r="Q364" s="330"/>
      <c r="R364" s="330"/>
      <c r="S364" s="330"/>
    </row>
    <row r="365" spans="1:19" ht="25.5" customHeight="1">
      <c r="A365" s="330"/>
      <c r="B365" s="330"/>
      <c r="C365" s="330"/>
      <c r="D365" s="330"/>
      <c r="E365" s="330"/>
      <c r="F365" s="330"/>
      <c r="G365" s="330"/>
      <c r="H365" s="330"/>
      <c r="I365" s="330"/>
      <c r="J365" s="330"/>
      <c r="K365" s="330"/>
      <c r="L365" s="330"/>
      <c r="M365" s="330"/>
      <c r="N365" s="330"/>
      <c r="O365" s="330"/>
      <c r="P365" s="330"/>
      <c r="Q365" s="330"/>
      <c r="R365" s="330"/>
      <c r="S365" s="330"/>
    </row>
    <row r="366" spans="1:19" ht="17.25" customHeight="1">
      <c r="A366" s="330"/>
      <c r="B366" s="330"/>
      <c r="C366" s="330"/>
      <c r="D366" s="330"/>
      <c r="E366" s="330"/>
      <c r="F366" s="330"/>
      <c r="G366" s="330"/>
      <c r="H366" s="330"/>
      <c r="I366" s="330"/>
      <c r="J366" s="330"/>
      <c r="K366" s="330"/>
      <c r="L366" s="330"/>
      <c r="M366" s="330"/>
      <c r="N366" s="330"/>
      <c r="O366" s="330"/>
      <c r="P366" s="330"/>
      <c r="Q366" s="330"/>
      <c r="R366" s="330"/>
      <c r="S366" s="330"/>
    </row>
    <row r="367" spans="1:19" ht="17.25" customHeight="1" thickBot="1">
      <c r="A367" s="330"/>
      <c r="B367" s="330"/>
      <c r="C367" s="330"/>
      <c r="D367" s="330"/>
      <c r="E367" s="330"/>
      <c r="F367" s="330"/>
      <c r="G367" s="330"/>
      <c r="H367" s="330"/>
      <c r="I367" s="330"/>
      <c r="J367" s="330"/>
      <c r="K367" s="330"/>
      <c r="L367" s="330"/>
      <c r="M367" s="330"/>
      <c r="N367" s="330"/>
      <c r="O367" s="330"/>
      <c r="P367" s="330"/>
      <c r="Q367" s="330"/>
      <c r="R367" s="330"/>
      <c r="S367" s="330"/>
    </row>
    <row r="368" spans="1:19" ht="26.25">
      <c r="A368" s="1116" t="s">
        <v>707</v>
      </c>
      <c r="B368" s="1117"/>
      <c r="C368" s="1117"/>
      <c r="D368" s="1117"/>
      <c r="E368" s="1117"/>
      <c r="F368" s="1117"/>
      <c r="G368" s="1117"/>
      <c r="H368" s="1117"/>
      <c r="I368" s="1118"/>
      <c r="J368" s="74"/>
      <c r="K368" s="1116" t="s">
        <v>707</v>
      </c>
      <c r="L368" s="1117"/>
      <c r="M368" s="1117"/>
      <c r="N368" s="1117"/>
      <c r="O368" s="1117"/>
      <c r="P368" s="1117"/>
      <c r="Q368" s="1117"/>
      <c r="R368" s="1117"/>
      <c r="S368" s="1118"/>
    </row>
    <row r="369" spans="1:19" ht="15.75" thickBot="1">
      <c r="A369" s="1119" t="s">
        <v>708</v>
      </c>
      <c r="B369" s="1120"/>
      <c r="C369" s="1120"/>
      <c r="D369" s="1120"/>
      <c r="E369" s="1120"/>
      <c r="F369" s="1120"/>
      <c r="G369" s="1120"/>
      <c r="H369" s="1120"/>
      <c r="I369" s="1121"/>
      <c r="J369" s="22"/>
      <c r="K369" s="1119" t="s">
        <v>708</v>
      </c>
      <c r="L369" s="1120"/>
      <c r="M369" s="1120"/>
      <c r="N369" s="1120"/>
      <c r="O369" s="1120"/>
      <c r="P369" s="1120"/>
      <c r="Q369" s="1120"/>
      <c r="R369" s="1120"/>
      <c r="S369" s="1121"/>
    </row>
    <row r="370" spans="1:19">
      <c r="A370" s="12"/>
      <c r="B370" s="330"/>
      <c r="C370" s="330"/>
      <c r="D370" s="330"/>
      <c r="E370" s="330"/>
      <c r="F370" s="330"/>
      <c r="G370" s="330"/>
      <c r="H370" s="330"/>
      <c r="I370" s="13"/>
      <c r="J370" s="330"/>
      <c r="K370" s="12"/>
      <c r="L370" s="330"/>
      <c r="M370" s="330"/>
      <c r="N370" s="330"/>
      <c r="O370" s="330"/>
      <c r="P370" s="330"/>
      <c r="Q370" s="330"/>
      <c r="R370" s="330"/>
      <c r="S370" s="13"/>
    </row>
    <row r="371" spans="1:19">
      <c r="A371" s="14" t="s">
        <v>49</v>
      </c>
      <c r="B371" s="3"/>
      <c r="C371" s="3"/>
      <c r="D371" s="6" t="s">
        <v>384</v>
      </c>
      <c r="E371" s="330"/>
      <c r="F371" s="330"/>
      <c r="G371" s="330"/>
      <c r="H371" s="330"/>
      <c r="I371" s="13"/>
      <c r="J371" s="330"/>
      <c r="K371" s="14" t="s">
        <v>49</v>
      </c>
      <c r="L371" s="3"/>
      <c r="M371" s="3"/>
      <c r="N371" s="6" t="str">
        <f>D371</f>
        <v>Burgeon IT Services Pvt.Ltd.</v>
      </c>
      <c r="O371" s="330"/>
      <c r="P371" s="330"/>
      <c r="Q371" s="330"/>
      <c r="R371" s="330"/>
      <c r="S371" s="13"/>
    </row>
    <row r="372" spans="1:19">
      <c r="A372" s="14"/>
      <c r="B372" s="3" t="s">
        <v>385</v>
      </c>
      <c r="C372" s="3"/>
      <c r="D372" s="3"/>
      <c r="E372" s="330"/>
      <c r="F372" s="330"/>
      <c r="G372" s="330"/>
      <c r="H372" s="330"/>
      <c r="I372" s="13"/>
      <c r="J372" s="330"/>
      <c r="K372" s="14"/>
      <c r="L372" s="3" t="str">
        <f>B372</f>
        <v>Siri Mansion LIGB 436 Dr.A S Rao Nagar,Hyderabad</v>
      </c>
      <c r="M372" s="3"/>
      <c r="N372" s="3"/>
      <c r="O372" s="330"/>
      <c r="P372" s="330"/>
      <c r="Q372" s="330"/>
      <c r="R372" s="330"/>
      <c r="S372" s="13"/>
    </row>
    <row r="373" spans="1:19">
      <c r="A373" s="14"/>
      <c r="B373" s="3">
        <f>'0422Master'!F709</f>
        <v>0</v>
      </c>
      <c r="C373" s="3"/>
      <c r="D373" s="3"/>
      <c r="E373" s="3"/>
      <c r="F373" s="330"/>
      <c r="G373" s="330"/>
      <c r="H373" s="330"/>
      <c r="I373" s="13"/>
      <c r="J373" s="330"/>
      <c r="K373" s="14"/>
      <c r="L373" s="3">
        <f>B373</f>
        <v>0</v>
      </c>
      <c r="M373" s="3"/>
      <c r="N373" s="3"/>
      <c r="O373" s="3"/>
      <c r="P373" s="330"/>
      <c r="Q373" s="330"/>
      <c r="R373" s="330"/>
      <c r="S373" s="13"/>
    </row>
    <row r="374" spans="1:19">
      <c r="A374" s="1113" t="s">
        <v>50</v>
      </c>
      <c r="B374" s="1114"/>
      <c r="C374" s="1114"/>
      <c r="D374" s="1114"/>
      <c r="E374" s="3"/>
      <c r="F374" s="330"/>
      <c r="G374" s="330"/>
      <c r="H374" s="330"/>
      <c r="I374" s="13"/>
      <c r="J374" s="330"/>
      <c r="K374" s="1113" t="s">
        <v>50</v>
      </c>
      <c r="L374" s="1114"/>
      <c r="M374" s="1114"/>
      <c r="N374" s="1114"/>
      <c r="O374" s="3"/>
      <c r="P374" s="330"/>
      <c r="Q374" s="330"/>
      <c r="R374" s="330"/>
      <c r="S374" s="13"/>
    </row>
    <row r="375" spans="1:19">
      <c r="A375" s="1113"/>
      <c r="B375" s="1114"/>
      <c r="C375" s="1114"/>
      <c r="D375" s="1114"/>
      <c r="E375" s="15" t="str">
        <f>'0422Master'!B24</f>
        <v>Arvind Akhare</v>
      </c>
      <c r="F375" s="16"/>
      <c r="G375" s="16" t="str">
        <f>'0422Master'!E24</f>
        <v>Vasanth Rao Ramkishan Akhare</v>
      </c>
      <c r="I375" s="13"/>
      <c r="J375" s="330"/>
      <c r="K375" s="1113"/>
      <c r="L375" s="1114"/>
      <c r="M375" s="1114"/>
      <c r="N375" s="1114"/>
      <c r="O375" s="15" t="str">
        <f>E375</f>
        <v>Arvind Akhare</v>
      </c>
      <c r="P375" s="16"/>
      <c r="Q375" s="16" t="str">
        <f>G375</f>
        <v>Vasanth Rao Ramkishan Akhare</v>
      </c>
      <c r="S375" s="13"/>
    </row>
    <row r="376" spans="1:19">
      <c r="A376" s="14"/>
      <c r="B376" s="3"/>
      <c r="C376" s="3"/>
      <c r="D376" s="3"/>
      <c r="E376" s="3"/>
      <c r="F376" s="330"/>
      <c r="G376" s="330"/>
      <c r="H376" s="330"/>
      <c r="I376" s="13"/>
      <c r="J376" s="330"/>
      <c r="K376" s="14"/>
      <c r="L376" s="3"/>
      <c r="M376" s="3"/>
      <c r="N376" s="3"/>
      <c r="O376" s="3"/>
      <c r="P376" s="330"/>
      <c r="Q376" s="330"/>
      <c r="R376" s="330"/>
      <c r="S376" s="13"/>
    </row>
    <row r="377" spans="1:19">
      <c r="A377" s="1115" t="s">
        <v>51</v>
      </c>
      <c r="B377" s="1112"/>
      <c r="C377" s="1112"/>
      <c r="D377" s="1112"/>
      <c r="E377" s="15" t="s">
        <v>374</v>
      </c>
      <c r="F377" s="16"/>
      <c r="G377" s="16"/>
      <c r="H377" s="16"/>
      <c r="I377" s="13"/>
      <c r="J377" s="330"/>
      <c r="K377" s="1115" t="s">
        <v>51</v>
      </c>
      <c r="L377" s="1112"/>
      <c r="M377" s="1112"/>
      <c r="N377" s="1112"/>
      <c r="O377" s="15" t="str">
        <f>E377</f>
        <v>IT SUPPORTIVE SERVICES</v>
      </c>
      <c r="P377" s="16"/>
      <c r="Q377" s="16"/>
      <c r="R377" s="16"/>
      <c r="S377" s="13"/>
    </row>
    <row r="378" spans="1:19">
      <c r="A378" s="14"/>
      <c r="B378" s="3"/>
      <c r="C378" s="3"/>
      <c r="D378" s="3"/>
      <c r="E378" s="3"/>
      <c r="F378" s="330"/>
      <c r="G378" s="330"/>
      <c r="H378" s="330"/>
      <c r="I378" s="13"/>
      <c r="J378" s="330"/>
      <c r="K378" s="14"/>
      <c r="L378" s="3"/>
      <c r="M378" s="3"/>
      <c r="N378" s="3"/>
      <c r="O378" s="3"/>
      <c r="P378" s="330"/>
      <c r="Q378" s="330"/>
      <c r="R378" s="330"/>
      <c r="S378" s="13"/>
    </row>
    <row r="379" spans="1:19">
      <c r="A379" s="1115" t="s">
        <v>52</v>
      </c>
      <c r="B379" s="1112"/>
      <c r="C379" s="1112"/>
      <c r="D379" s="1112"/>
      <c r="E379" s="17">
        <f>'0422Master'!D10</f>
        <v>44652</v>
      </c>
      <c r="F379" s="16"/>
      <c r="G379" s="16"/>
      <c r="H379" s="16"/>
      <c r="I379" s="13"/>
      <c r="J379" s="330"/>
      <c r="K379" s="1115" t="s">
        <v>52</v>
      </c>
      <c r="L379" s="1112"/>
      <c r="M379" s="1112"/>
      <c r="N379" s="1112"/>
      <c r="O379" s="17">
        <f>E379</f>
        <v>44652</v>
      </c>
      <c r="P379" s="16"/>
      <c r="Q379" s="16"/>
      <c r="R379" s="16"/>
      <c r="S379" s="13"/>
    </row>
    <row r="380" spans="1:19">
      <c r="A380" s="14"/>
      <c r="B380" s="3"/>
      <c r="C380" s="3"/>
      <c r="D380" s="3"/>
      <c r="E380" s="3"/>
      <c r="F380" s="330"/>
      <c r="G380" s="330"/>
      <c r="H380" s="330"/>
      <c r="I380" s="13"/>
      <c r="J380" s="330"/>
      <c r="K380" s="14"/>
      <c r="L380" s="3"/>
      <c r="M380" s="3"/>
      <c r="N380" s="3"/>
      <c r="O380" s="3"/>
      <c r="P380" s="330"/>
      <c r="Q380" s="330"/>
      <c r="R380" s="330"/>
      <c r="S380" s="13"/>
    </row>
    <row r="381" spans="1:19">
      <c r="A381" s="18">
        <v>1</v>
      </c>
      <c r="B381" s="1112" t="s">
        <v>53</v>
      </c>
      <c r="C381" s="1112"/>
      <c r="D381" s="1112"/>
      <c r="E381" s="19">
        <f>'0422Master'!W24</f>
        <v>28</v>
      </c>
      <c r="F381" s="16"/>
      <c r="G381" s="16"/>
      <c r="H381" s="16"/>
      <c r="I381" s="13"/>
      <c r="J381" s="330"/>
      <c r="K381" s="18">
        <v>1</v>
      </c>
      <c r="L381" s="1112" t="s">
        <v>53</v>
      </c>
      <c r="M381" s="1112"/>
      <c r="N381" s="1112"/>
      <c r="O381" s="19">
        <f>E381</f>
        <v>28</v>
      </c>
      <c r="P381" s="16"/>
      <c r="Q381" s="16"/>
      <c r="R381" s="16"/>
      <c r="S381" s="13"/>
    </row>
    <row r="382" spans="1:19">
      <c r="A382" s="18"/>
      <c r="B382" s="3"/>
      <c r="C382" s="3"/>
      <c r="D382" s="3"/>
      <c r="E382" s="3"/>
      <c r="F382" s="330"/>
      <c r="G382" s="330"/>
      <c r="H382" s="330"/>
      <c r="I382" s="13"/>
      <c r="J382" s="330"/>
      <c r="K382" s="18"/>
      <c r="L382" s="3"/>
      <c r="M382" s="3"/>
      <c r="N382" s="3"/>
      <c r="O382" s="3"/>
      <c r="P382" s="330"/>
      <c r="Q382" s="330"/>
      <c r="R382" s="330"/>
      <c r="S382" s="13"/>
    </row>
    <row r="383" spans="1:19">
      <c r="A383" s="18">
        <v>2</v>
      </c>
      <c r="B383" s="1114" t="s">
        <v>54</v>
      </c>
      <c r="C383" s="1114"/>
      <c r="D383" s="1114"/>
      <c r="E383" s="3"/>
      <c r="F383" s="330"/>
      <c r="G383" s="330"/>
      <c r="H383" s="330"/>
      <c r="I383" s="13"/>
      <c r="J383" s="330"/>
      <c r="K383" s="18">
        <v>2</v>
      </c>
      <c r="L383" s="1114" t="s">
        <v>54</v>
      </c>
      <c r="M383" s="1114"/>
      <c r="N383" s="1114"/>
      <c r="O383" s="3"/>
      <c r="P383" s="330"/>
      <c r="Q383" s="330"/>
      <c r="R383" s="330"/>
      <c r="S383" s="13"/>
    </row>
    <row r="384" spans="1:19">
      <c r="A384" s="18"/>
      <c r="B384" s="1114"/>
      <c r="C384" s="1114"/>
      <c r="D384" s="1114"/>
      <c r="E384" s="20" t="s">
        <v>37</v>
      </c>
      <c r="F384" s="16"/>
      <c r="G384" s="16"/>
      <c r="H384" s="16"/>
      <c r="I384" s="13"/>
      <c r="J384" s="330"/>
      <c r="K384" s="18"/>
      <c r="L384" s="1114"/>
      <c r="M384" s="1114"/>
      <c r="N384" s="1114"/>
      <c r="O384" s="20" t="s">
        <v>37</v>
      </c>
      <c r="P384" s="16"/>
      <c r="Q384" s="16"/>
      <c r="R384" s="16"/>
      <c r="S384" s="13"/>
    </row>
    <row r="385" spans="1:20">
      <c r="A385" s="18"/>
      <c r="B385" s="3"/>
      <c r="C385" s="3"/>
      <c r="D385" s="3"/>
      <c r="E385" s="3"/>
      <c r="F385" s="330"/>
      <c r="G385" s="330"/>
      <c r="H385" s="330"/>
      <c r="I385" s="13"/>
      <c r="J385" s="330"/>
      <c r="K385" s="18"/>
      <c r="L385" s="3"/>
      <c r="M385" s="3"/>
      <c r="N385" s="3"/>
      <c r="O385" s="3"/>
      <c r="P385" s="330"/>
      <c r="Q385" s="330"/>
      <c r="R385" s="330"/>
      <c r="S385" s="13"/>
    </row>
    <row r="386" spans="1:20">
      <c r="A386" s="18">
        <v>3</v>
      </c>
      <c r="B386" s="1112" t="s">
        <v>55</v>
      </c>
      <c r="C386" s="1112"/>
      <c r="D386" s="1112"/>
      <c r="E386" s="20" t="s">
        <v>37</v>
      </c>
      <c r="F386" s="16"/>
      <c r="G386" s="16"/>
      <c r="H386" s="16"/>
      <c r="I386" s="13"/>
      <c r="J386" s="330"/>
      <c r="K386" s="18">
        <v>3</v>
      </c>
      <c r="L386" s="1112" t="s">
        <v>55</v>
      </c>
      <c r="M386" s="1112"/>
      <c r="N386" s="1112"/>
      <c r="O386" s="15" t="str">
        <f>E386</f>
        <v>N/A</v>
      </c>
      <c r="P386" s="16"/>
      <c r="Q386" s="16"/>
      <c r="R386" s="16"/>
      <c r="S386" s="13"/>
    </row>
    <row r="387" spans="1:20">
      <c r="A387" s="18"/>
      <c r="B387" s="3"/>
      <c r="C387" s="3"/>
      <c r="D387" s="3"/>
      <c r="E387" s="3"/>
      <c r="F387" s="330"/>
      <c r="G387" s="330"/>
      <c r="H387" s="330"/>
      <c r="I387" s="13"/>
      <c r="J387" s="330"/>
      <c r="K387" s="18"/>
      <c r="L387" s="3"/>
      <c r="M387" s="3"/>
      <c r="N387" s="3"/>
      <c r="O387" s="3"/>
      <c r="P387" s="330"/>
      <c r="Q387" s="330"/>
      <c r="R387" s="330"/>
      <c r="S387" s="13"/>
    </row>
    <row r="388" spans="1:20">
      <c r="A388" s="18">
        <v>4</v>
      </c>
      <c r="B388" s="1112" t="s">
        <v>56</v>
      </c>
      <c r="C388" s="1112"/>
      <c r="D388" s="1112"/>
      <c r="E388" s="20" t="s">
        <v>57</v>
      </c>
      <c r="F388" s="16"/>
      <c r="G388" s="16"/>
      <c r="H388" s="16"/>
      <c r="I388" s="13"/>
      <c r="J388" s="330"/>
      <c r="K388" s="18">
        <v>4</v>
      </c>
      <c r="L388" s="1112" t="s">
        <v>56</v>
      </c>
      <c r="M388" s="1112"/>
      <c r="N388" s="1112"/>
      <c r="O388" s="20" t="s">
        <v>57</v>
      </c>
      <c r="P388" s="16"/>
      <c r="Q388" s="16"/>
      <c r="R388" s="16"/>
      <c r="S388" s="13"/>
    </row>
    <row r="389" spans="1:20">
      <c r="A389" s="18"/>
      <c r="B389" s="3"/>
      <c r="C389" s="3"/>
      <c r="D389" s="3"/>
      <c r="E389" s="3"/>
      <c r="F389" s="330"/>
      <c r="G389" s="330"/>
      <c r="H389" s="330"/>
      <c r="I389" s="13"/>
      <c r="J389" s="330"/>
      <c r="K389" s="18"/>
      <c r="L389" s="3"/>
      <c r="M389" s="3"/>
      <c r="N389" s="3"/>
      <c r="O389" s="3"/>
      <c r="P389" s="330"/>
      <c r="Q389" s="330"/>
      <c r="R389" s="330"/>
      <c r="S389" s="13"/>
    </row>
    <row r="390" spans="1:20">
      <c r="A390" s="18">
        <v>5</v>
      </c>
      <c r="B390" s="1112" t="s">
        <v>58</v>
      </c>
      <c r="C390" s="1112"/>
      <c r="D390" s="1112"/>
      <c r="E390" s="274">
        <f>'0422Master'!AM24</f>
        <v>87168.558631999986</v>
      </c>
      <c r="F390" s="330"/>
      <c r="G390" s="330"/>
      <c r="H390" s="330"/>
      <c r="I390" s="13"/>
      <c r="J390" s="330"/>
      <c r="K390" s="18">
        <v>5</v>
      </c>
      <c r="L390" s="1112" t="s">
        <v>58</v>
      </c>
      <c r="M390" s="1112"/>
      <c r="N390" s="1112"/>
      <c r="O390" s="274">
        <f>E390</f>
        <v>87168.558631999986</v>
      </c>
      <c r="P390" s="330"/>
      <c r="Q390" s="330"/>
      <c r="R390" s="330"/>
      <c r="S390" s="13"/>
    </row>
    <row r="391" spans="1:20">
      <c r="A391" s="18"/>
      <c r="B391" s="3"/>
      <c r="C391" s="3"/>
      <c r="D391" s="275" t="s">
        <v>59</v>
      </c>
      <c r="E391" s="275" t="s">
        <v>31</v>
      </c>
      <c r="F391" s="275" t="s">
        <v>33</v>
      </c>
      <c r="G391" s="275" t="s">
        <v>34</v>
      </c>
      <c r="H391" s="275" t="s">
        <v>378</v>
      </c>
      <c r="I391" s="273" t="s">
        <v>379</v>
      </c>
      <c r="J391" s="330"/>
      <c r="K391" s="18"/>
      <c r="L391" s="3"/>
      <c r="M391" s="3"/>
      <c r="N391" s="275" t="s">
        <v>59</v>
      </c>
      <c r="O391" s="275" t="s">
        <v>31</v>
      </c>
      <c r="P391" s="275" t="s">
        <v>33</v>
      </c>
      <c r="Q391" s="275" t="s">
        <v>34</v>
      </c>
      <c r="R391" s="275" t="s">
        <v>378</v>
      </c>
      <c r="S391" s="273" t="s">
        <v>379</v>
      </c>
    </row>
    <row r="392" spans="1:20">
      <c r="A392" s="18">
        <v>6</v>
      </c>
      <c r="B392" s="565" t="s">
        <v>60</v>
      </c>
      <c r="C392" s="565"/>
      <c r="D392" s="276">
        <f>'0422Master'!AO24</f>
        <v>1800</v>
      </c>
      <c r="E392" s="276">
        <f>'0422Master'!AN720</f>
        <v>0</v>
      </c>
      <c r="F392" s="277">
        <f>'0422Master'!AP24</f>
        <v>200</v>
      </c>
      <c r="G392" s="276">
        <f>'0422Master'!AQ24</f>
        <v>0</v>
      </c>
      <c r="H392" s="277">
        <f>'0422Master'!AR24</f>
        <v>283</v>
      </c>
      <c r="I392" s="277">
        <f>SUM(D392:H392)</f>
        <v>2283</v>
      </c>
      <c r="J392" s="330"/>
      <c r="K392" s="18">
        <v>6</v>
      </c>
      <c r="L392" s="565" t="s">
        <v>60</v>
      </c>
      <c r="M392" s="565"/>
      <c r="N392" s="276">
        <f t="shared" ref="N392" si="8">D392</f>
        <v>1800</v>
      </c>
      <c r="O392" s="276">
        <f t="shared" ref="O392" si="9">E392</f>
        <v>0</v>
      </c>
      <c r="P392" s="277">
        <f t="shared" ref="P392" si="10">F392</f>
        <v>200</v>
      </c>
      <c r="Q392" s="276">
        <f t="shared" ref="Q392" si="11">G392</f>
        <v>0</v>
      </c>
      <c r="R392" s="277">
        <f t="shared" ref="R392" si="12">H392</f>
        <v>283</v>
      </c>
      <c r="S392" s="277">
        <f t="shared" ref="S392" si="13">I392</f>
        <v>2283</v>
      </c>
    </row>
    <row r="393" spans="1:20">
      <c r="A393" s="18"/>
      <c r="B393" s="3"/>
      <c r="C393" s="3"/>
      <c r="D393" s="3"/>
      <c r="E393" s="3"/>
      <c r="F393" s="330"/>
      <c r="G393" s="330"/>
      <c r="H393" s="330"/>
      <c r="I393" s="13"/>
      <c r="J393" s="330"/>
      <c r="K393" s="18"/>
      <c r="L393" s="3"/>
      <c r="M393" s="3"/>
      <c r="N393" s="3"/>
      <c r="O393" s="3"/>
      <c r="P393" s="330"/>
      <c r="Q393" s="330"/>
      <c r="R393" s="330"/>
      <c r="S393" s="13"/>
      <c r="T393">
        <v>10</v>
      </c>
    </row>
    <row r="394" spans="1:20">
      <c r="A394" s="18">
        <v>7</v>
      </c>
      <c r="B394" s="1112" t="s">
        <v>61</v>
      </c>
      <c r="C394" s="1112"/>
      <c r="D394" s="1112"/>
      <c r="E394" s="21">
        <f>E390-I392</f>
        <v>84885.558631999986</v>
      </c>
      <c r="F394" s="16"/>
      <c r="G394" s="16"/>
      <c r="H394" s="16"/>
      <c r="I394" s="13"/>
      <c r="J394" s="330"/>
      <c r="K394" s="18">
        <v>7</v>
      </c>
      <c r="L394" s="1112" t="s">
        <v>61</v>
      </c>
      <c r="M394" s="1112"/>
      <c r="N394" s="1112"/>
      <c r="O394" s="21">
        <f>E394</f>
        <v>84885.558631999986</v>
      </c>
      <c r="P394" s="16"/>
      <c r="Q394" s="16"/>
      <c r="R394" s="16"/>
      <c r="S394" s="13"/>
    </row>
    <row r="395" spans="1:20">
      <c r="A395" s="12"/>
      <c r="B395" s="330"/>
      <c r="C395" s="330"/>
      <c r="D395" s="330"/>
      <c r="E395" s="330"/>
      <c r="F395" s="330"/>
      <c r="G395" s="330"/>
      <c r="H395" s="330"/>
      <c r="I395" s="13"/>
      <c r="J395" s="330"/>
      <c r="K395" s="12"/>
      <c r="L395" s="330"/>
      <c r="M395" s="330"/>
      <c r="N395" s="330"/>
      <c r="O395" s="330"/>
      <c r="P395" s="330"/>
      <c r="Q395" s="330"/>
      <c r="R395" s="330"/>
      <c r="S395" s="13"/>
    </row>
    <row r="396" spans="1:20">
      <c r="A396" s="12"/>
      <c r="B396" s="330"/>
      <c r="C396" s="330"/>
      <c r="D396" s="330"/>
      <c r="E396" s="330"/>
      <c r="F396" s="330"/>
      <c r="G396" s="330"/>
      <c r="H396" s="330"/>
      <c r="I396" s="13"/>
      <c r="J396" s="330"/>
      <c r="K396" s="12"/>
      <c r="L396" s="330"/>
      <c r="M396" s="330"/>
      <c r="N396" s="330"/>
      <c r="O396" s="330"/>
      <c r="P396" s="330"/>
      <c r="Q396" s="330"/>
      <c r="R396" s="330"/>
      <c r="S396" s="13"/>
    </row>
    <row r="397" spans="1:20" ht="15.75" thickBot="1">
      <c r="A397" s="12"/>
      <c r="B397" s="330"/>
      <c r="C397" s="330"/>
      <c r="D397" s="330"/>
      <c r="E397" s="330"/>
      <c r="F397" s="22"/>
      <c r="G397" s="22"/>
      <c r="H397" s="22"/>
      <c r="I397" s="23"/>
      <c r="J397" s="330"/>
      <c r="K397" s="12"/>
      <c r="L397" s="330"/>
      <c r="M397" s="330"/>
      <c r="N397" s="330"/>
      <c r="O397" s="330"/>
      <c r="P397" s="22"/>
      <c r="Q397" s="22"/>
      <c r="R397" s="22"/>
      <c r="S397" s="23"/>
    </row>
    <row r="398" spans="1:20" ht="15.75" thickBot="1">
      <c r="A398" s="24"/>
      <c r="B398" s="22"/>
      <c r="C398" s="22"/>
      <c r="D398" s="22"/>
      <c r="E398" s="22"/>
      <c r="F398" s="1110" t="s">
        <v>62</v>
      </c>
      <c r="G398" s="1110"/>
      <c r="H398" s="1110"/>
      <c r="I398" s="1111"/>
      <c r="J398" s="330"/>
      <c r="K398" s="24"/>
      <c r="L398" s="22"/>
      <c r="M398" s="22"/>
      <c r="N398" s="22"/>
      <c r="O398" s="22"/>
      <c r="P398" s="1110" t="s">
        <v>62</v>
      </c>
      <c r="Q398" s="1110"/>
      <c r="R398" s="1110"/>
      <c r="S398" s="1111"/>
    </row>
    <row r="399" spans="1:20">
      <c r="A399" s="330"/>
      <c r="B399" s="330"/>
      <c r="C399" s="330"/>
      <c r="D399" s="330"/>
      <c r="E399" s="330"/>
      <c r="F399" s="330"/>
      <c r="G399" s="330"/>
      <c r="H399" s="330"/>
      <c r="I399" s="330"/>
      <c r="J399" s="330"/>
      <c r="K399" s="330"/>
      <c r="L399" s="330"/>
      <c r="M399" s="330"/>
      <c r="N399" s="330"/>
      <c r="O399" s="330"/>
      <c r="P399" s="330"/>
      <c r="Q399" s="330"/>
      <c r="R399" s="330"/>
      <c r="S399" s="330"/>
    </row>
    <row r="400" spans="1:20">
      <c r="A400" s="330"/>
      <c r="B400" s="330"/>
      <c r="C400" s="330"/>
      <c r="D400" s="330"/>
      <c r="E400" s="330"/>
      <c r="F400" s="330"/>
      <c r="G400" s="330"/>
      <c r="H400" s="330"/>
      <c r="I400" s="330"/>
      <c r="J400" s="330"/>
      <c r="K400" s="330"/>
      <c r="L400" s="330"/>
      <c r="M400" s="330"/>
      <c r="N400" s="330"/>
      <c r="O400" s="330"/>
      <c r="P400" s="330"/>
      <c r="Q400" s="330"/>
      <c r="R400" s="330"/>
      <c r="S400" s="330"/>
    </row>
    <row r="401" spans="1:19">
      <c r="A401" s="330"/>
      <c r="B401" s="330"/>
      <c r="C401" s="330"/>
      <c r="D401" s="330"/>
      <c r="E401" s="330"/>
      <c r="F401" s="330"/>
      <c r="G401" s="330"/>
      <c r="H401" s="330"/>
      <c r="I401" s="330"/>
      <c r="J401" s="330"/>
      <c r="K401" s="330"/>
      <c r="L401" s="330"/>
      <c r="M401" s="330"/>
      <c r="N401" s="330"/>
      <c r="O401" s="330"/>
      <c r="P401" s="330"/>
      <c r="Q401" s="330"/>
      <c r="R401" s="330"/>
      <c r="S401" s="330"/>
    </row>
    <row r="402" spans="1:19">
      <c r="A402" s="330"/>
      <c r="B402" s="330"/>
      <c r="C402" s="330"/>
      <c r="D402" s="330"/>
      <c r="E402" s="330"/>
      <c r="F402" s="330"/>
      <c r="G402" s="330"/>
      <c r="H402" s="330"/>
      <c r="I402" s="330"/>
      <c r="J402" s="330"/>
      <c r="K402" s="330"/>
      <c r="L402" s="330"/>
      <c r="M402" s="330"/>
      <c r="N402" s="330"/>
      <c r="O402" s="330"/>
      <c r="P402" s="330"/>
      <c r="Q402" s="330"/>
      <c r="R402" s="330"/>
      <c r="S402" s="330"/>
    </row>
    <row r="403" spans="1:19">
      <c r="A403" s="330"/>
      <c r="B403" s="330"/>
      <c r="C403" s="330"/>
      <c r="D403" s="330"/>
      <c r="E403" s="330"/>
      <c r="F403" s="330"/>
      <c r="G403" s="330"/>
      <c r="H403" s="330"/>
      <c r="I403" s="330"/>
      <c r="J403" s="330"/>
      <c r="K403" s="330"/>
      <c r="L403" s="330"/>
      <c r="M403" s="330"/>
      <c r="N403" s="330"/>
      <c r="O403" s="330"/>
      <c r="P403" s="330"/>
      <c r="Q403" s="330"/>
      <c r="R403" s="330"/>
      <c r="S403" s="330"/>
    </row>
    <row r="404" spans="1:19" ht="27" customHeight="1">
      <c r="A404" s="330"/>
      <c r="B404" s="330"/>
      <c r="C404" s="330"/>
      <c r="D404" s="330"/>
      <c r="E404" s="330"/>
      <c r="F404" s="330"/>
      <c r="G404" s="330"/>
      <c r="H404" s="330"/>
      <c r="I404" s="330"/>
      <c r="J404" s="330"/>
      <c r="K404" s="330"/>
      <c r="L404" s="330"/>
      <c r="M404" s="330"/>
      <c r="N404" s="330"/>
      <c r="O404" s="330"/>
      <c r="P404" s="330"/>
      <c r="Q404" s="330"/>
      <c r="R404" s="330"/>
      <c r="S404" s="330"/>
    </row>
    <row r="405" spans="1:19" ht="27" customHeight="1">
      <c r="A405" s="330"/>
      <c r="B405" s="330"/>
      <c r="C405" s="330"/>
      <c r="D405" s="330"/>
      <c r="E405" s="330"/>
      <c r="F405" s="330"/>
      <c r="G405" s="330"/>
      <c r="H405" s="330"/>
      <c r="I405" s="330"/>
      <c r="J405" s="330"/>
      <c r="K405" s="330"/>
      <c r="L405" s="330"/>
      <c r="M405" s="330"/>
      <c r="N405" s="330"/>
      <c r="O405" s="330"/>
      <c r="P405" s="330"/>
      <c r="Q405" s="330"/>
      <c r="R405" s="330"/>
      <c r="S405" s="330"/>
    </row>
    <row r="406" spans="1:19" ht="27" customHeight="1">
      <c r="A406" s="330"/>
      <c r="B406" s="330"/>
      <c r="C406" s="330"/>
      <c r="D406" s="330"/>
      <c r="E406" s="330"/>
      <c r="F406" s="330"/>
      <c r="G406" s="330"/>
      <c r="H406" s="330"/>
      <c r="I406" s="330"/>
      <c r="J406" s="330"/>
      <c r="K406" s="330"/>
      <c r="L406" s="330"/>
      <c r="M406" s="330"/>
      <c r="N406" s="330"/>
      <c r="O406" s="330"/>
      <c r="P406" s="330"/>
      <c r="Q406" s="330"/>
      <c r="R406" s="330"/>
      <c r="S406" s="330"/>
    </row>
    <row r="407" spans="1:19" ht="27" customHeight="1">
      <c r="A407" s="330"/>
      <c r="B407" s="330"/>
      <c r="C407" s="330"/>
      <c r="D407" s="330"/>
      <c r="E407" s="330"/>
      <c r="F407" s="330"/>
      <c r="G407" s="330"/>
      <c r="H407" s="330"/>
      <c r="I407" s="330"/>
      <c r="J407" s="330"/>
      <c r="K407" s="330"/>
      <c r="L407" s="330"/>
      <c r="M407" s="330"/>
      <c r="N407" s="330"/>
      <c r="O407" s="330"/>
      <c r="P407" s="330"/>
      <c r="Q407" s="330"/>
      <c r="R407" s="330"/>
      <c r="S407" s="330"/>
    </row>
    <row r="408" spans="1:19">
      <c r="A408" s="330"/>
      <c r="B408" s="330"/>
      <c r="C408" s="330"/>
      <c r="D408" s="330"/>
      <c r="E408" s="330"/>
      <c r="F408" s="330"/>
      <c r="G408" s="330"/>
      <c r="H408" s="330"/>
      <c r="I408" s="330"/>
      <c r="J408" s="330"/>
      <c r="K408" s="330"/>
      <c r="L408" s="330"/>
      <c r="M408" s="330"/>
      <c r="N408" s="330"/>
      <c r="O408" s="330"/>
      <c r="P408" s="330"/>
      <c r="Q408" s="330"/>
      <c r="R408" s="330"/>
      <c r="S408" s="330"/>
    </row>
    <row r="409" spans="1:19">
      <c r="A409" s="330"/>
      <c r="B409" s="330"/>
      <c r="C409" s="330"/>
      <c r="D409" s="330"/>
      <c r="E409" s="330"/>
      <c r="F409" s="330"/>
      <c r="G409" s="330"/>
      <c r="H409" s="330"/>
      <c r="I409" s="330"/>
      <c r="J409" s="330"/>
      <c r="K409" s="330"/>
      <c r="L409" s="330"/>
      <c r="M409" s="330"/>
      <c r="N409" s="330"/>
      <c r="O409" s="330"/>
      <c r="P409" s="330"/>
      <c r="Q409" s="330"/>
      <c r="R409" s="330"/>
      <c r="S409" s="330"/>
    </row>
    <row r="410" spans="1:19">
      <c r="A410" s="330"/>
      <c r="B410" s="330"/>
      <c r="C410" s="330"/>
      <c r="D410" s="330"/>
      <c r="E410" s="330"/>
      <c r="F410" s="330"/>
      <c r="G410" s="330"/>
      <c r="H410" s="330"/>
      <c r="I410" s="330"/>
      <c r="J410" s="330"/>
      <c r="K410" s="330"/>
      <c r="L410" s="330"/>
      <c r="M410" s="330"/>
      <c r="N410" s="330"/>
      <c r="O410" s="330"/>
      <c r="P410" s="330"/>
      <c r="Q410" s="330"/>
      <c r="R410" s="330"/>
      <c r="S410" s="330"/>
    </row>
    <row r="411" spans="1:19">
      <c r="A411" s="330"/>
      <c r="B411" s="330"/>
      <c r="C411" s="330"/>
      <c r="D411" s="330"/>
      <c r="E411" s="330"/>
      <c r="F411" s="330"/>
      <c r="G411" s="330"/>
      <c r="H411" s="330"/>
      <c r="I411" s="330"/>
      <c r="J411" s="330"/>
      <c r="K411" s="330"/>
      <c r="L411" s="330"/>
      <c r="M411" s="330"/>
      <c r="N411" s="330"/>
      <c r="O411" s="330"/>
      <c r="P411" s="330"/>
      <c r="Q411" s="330"/>
      <c r="R411" s="330"/>
      <c r="S411" s="330"/>
    </row>
    <row r="412" spans="1:19" ht="15.75" thickBot="1">
      <c r="A412" s="330"/>
      <c r="B412" s="330"/>
      <c r="C412" s="330"/>
      <c r="D412" s="330"/>
      <c r="E412" s="330"/>
      <c r="F412" s="330"/>
      <c r="G412" s="330"/>
      <c r="H412" s="330"/>
      <c r="I412" s="330"/>
      <c r="J412" s="330"/>
      <c r="K412" s="330"/>
      <c r="L412" s="330"/>
      <c r="M412" s="330"/>
      <c r="N412" s="330"/>
      <c r="O412" s="330"/>
      <c r="P412" s="330"/>
      <c r="Q412" s="330"/>
      <c r="R412" s="330"/>
      <c r="S412" s="330"/>
    </row>
    <row r="413" spans="1:19" ht="26.25">
      <c r="A413" s="1116" t="s">
        <v>707</v>
      </c>
      <c r="B413" s="1117"/>
      <c r="C413" s="1117"/>
      <c r="D413" s="1117"/>
      <c r="E413" s="1117"/>
      <c r="F413" s="1117"/>
      <c r="G413" s="1117"/>
      <c r="H413" s="1117"/>
      <c r="I413" s="1118"/>
      <c r="J413" s="74"/>
      <c r="K413" s="1116" t="s">
        <v>707</v>
      </c>
      <c r="L413" s="1117"/>
      <c r="M413" s="1117"/>
      <c r="N413" s="1117"/>
      <c r="O413" s="1117"/>
      <c r="P413" s="1117"/>
      <c r="Q413" s="1117"/>
      <c r="R413" s="1117"/>
      <c r="S413" s="1118"/>
    </row>
    <row r="414" spans="1:19" ht="15.75" thickBot="1">
      <c r="A414" s="1119" t="s">
        <v>708</v>
      </c>
      <c r="B414" s="1120"/>
      <c r="C414" s="1120"/>
      <c r="D414" s="1120"/>
      <c r="E414" s="1120"/>
      <c r="F414" s="1120"/>
      <c r="G414" s="1120"/>
      <c r="H414" s="1120"/>
      <c r="I414" s="1121"/>
      <c r="J414" s="22"/>
      <c r="K414" s="1119" t="s">
        <v>708</v>
      </c>
      <c r="L414" s="1120"/>
      <c r="M414" s="1120"/>
      <c r="N414" s="1120"/>
      <c r="O414" s="1120"/>
      <c r="P414" s="1120"/>
      <c r="Q414" s="1120"/>
      <c r="R414" s="1120"/>
      <c r="S414" s="1121"/>
    </row>
    <row r="415" spans="1:19">
      <c r="A415" s="12"/>
      <c r="B415" s="330"/>
      <c r="C415" s="330"/>
      <c r="D415" s="330"/>
      <c r="E415" s="330"/>
      <c r="F415" s="330"/>
      <c r="G415" s="330"/>
      <c r="H415" s="330"/>
      <c r="I415" s="13"/>
      <c r="J415" s="330"/>
      <c r="K415" s="12"/>
      <c r="L415" s="330"/>
      <c r="M415" s="330"/>
      <c r="N415" s="330"/>
      <c r="O415" s="330"/>
      <c r="P415" s="330"/>
      <c r="Q415" s="330"/>
      <c r="R415" s="330"/>
      <c r="S415" s="13"/>
    </row>
    <row r="416" spans="1:19">
      <c r="A416" s="14" t="s">
        <v>49</v>
      </c>
      <c r="B416" s="3"/>
      <c r="C416" s="3"/>
      <c r="D416" s="6" t="s">
        <v>384</v>
      </c>
      <c r="E416" s="330"/>
      <c r="F416" s="330"/>
      <c r="G416" s="330"/>
      <c r="H416" s="330"/>
      <c r="I416" s="13"/>
      <c r="J416" s="330"/>
      <c r="K416" s="14" t="s">
        <v>49</v>
      </c>
      <c r="L416" s="3"/>
      <c r="M416" s="3"/>
      <c r="N416" s="6" t="str">
        <f>D416</f>
        <v>Burgeon IT Services Pvt.Ltd.</v>
      </c>
      <c r="O416" s="330"/>
      <c r="P416" s="330"/>
      <c r="Q416" s="330"/>
      <c r="R416" s="330"/>
      <c r="S416" s="13"/>
    </row>
    <row r="417" spans="1:19">
      <c r="A417" s="14"/>
      <c r="B417" s="3" t="s">
        <v>385</v>
      </c>
      <c r="C417" s="3"/>
      <c r="D417" s="3"/>
      <c r="E417" s="330"/>
      <c r="F417" s="330"/>
      <c r="G417" s="330"/>
      <c r="H417" s="330"/>
      <c r="I417" s="13"/>
      <c r="J417" s="330"/>
      <c r="K417" s="14"/>
      <c r="L417" s="3" t="str">
        <f>B417</f>
        <v>Siri Mansion LIGB 436 Dr.A S Rao Nagar,Hyderabad</v>
      </c>
      <c r="M417" s="3"/>
      <c r="N417" s="3"/>
      <c r="O417" s="330"/>
      <c r="P417" s="330"/>
      <c r="Q417" s="330"/>
      <c r="R417" s="330"/>
      <c r="S417" s="13"/>
    </row>
    <row r="418" spans="1:19">
      <c r="A418" s="14"/>
      <c r="B418" s="3">
        <f>'0422Master'!F754</f>
        <v>0</v>
      </c>
      <c r="C418" s="3"/>
      <c r="D418" s="3"/>
      <c r="E418" s="3"/>
      <c r="F418" s="330"/>
      <c r="G418" s="330"/>
      <c r="H418" s="330"/>
      <c r="I418" s="13"/>
      <c r="J418" s="330"/>
      <c r="K418" s="14"/>
      <c r="L418" s="3">
        <f>B418</f>
        <v>0</v>
      </c>
      <c r="M418" s="3"/>
      <c r="N418" s="3"/>
      <c r="O418" s="3"/>
      <c r="P418" s="330"/>
      <c r="Q418" s="330"/>
      <c r="R418" s="330"/>
      <c r="S418" s="13"/>
    </row>
    <row r="419" spans="1:19">
      <c r="A419" s="1113" t="s">
        <v>50</v>
      </c>
      <c r="B419" s="1114"/>
      <c r="C419" s="1114"/>
      <c r="D419" s="1114"/>
      <c r="E419" s="3"/>
      <c r="F419" s="330"/>
      <c r="G419" s="330"/>
      <c r="H419" s="330"/>
      <c r="I419" s="13"/>
      <c r="J419" s="330"/>
      <c r="K419" s="1113" t="s">
        <v>50</v>
      </c>
      <c r="L419" s="1114"/>
      <c r="M419" s="1114"/>
      <c r="N419" s="1114"/>
      <c r="O419" s="3"/>
      <c r="P419" s="330"/>
      <c r="Q419" s="330"/>
      <c r="R419" s="330"/>
      <c r="S419" s="13"/>
    </row>
    <row r="420" spans="1:19">
      <c r="A420" s="1113"/>
      <c r="B420" s="1114"/>
      <c r="C420" s="1114"/>
      <c r="D420" s="1114"/>
      <c r="E420" s="15" t="str">
        <f>'0422Master'!B25</f>
        <v>Pallavi Rishikesh Naik</v>
      </c>
      <c r="F420" s="16"/>
      <c r="G420" s="16"/>
      <c r="H420" s="16" t="str">
        <f>'0422Master'!E25</f>
        <v>Rishikesh Naik</v>
      </c>
      <c r="I420" s="13"/>
      <c r="J420" s="330"/>
      <c r="K420" s="1113"/>
      <c r="L420" s="1114"/>
      <c r="M420" s="1114"/>
      <c r="N420" s="1114"/>
      <c r="O420" s="15" t="str">
        <f>E420</f>
        <v>Pallavi Rishikesh Naik</v>
      </c>
      <c r="P420" s="16"/>
      <c r="Q420" s="16"/>
      <c r="R420" s="16" t="str">
        <f>H420</f>
        <v>Rishikesh Naik</v>
      </c>
      <c r="S420" s="13"/>
    </row>
    <row r="421" spans="1:19">
      <c r="A421" s="14"/>
      <c r="B421" s="3"/>
      <c r="C421" s="3"/>
      <c r="D421" s="3"/>
      <c r="E421" s="3"/>
      <c r="F421" s="330"/>
      <c r="G421" s="330"/>
      <c r="H421" s="330"/>
      <c r="I421" s="13"/>
      <c r="J421" s="330"/>
      <c r="K421" s="14"/>
      <c r="L421" s="3"/>
      <c r="M421" s="3"/>
      <c r="N421" s="3"/>
      <c r="O421" s="3"/>
      <c r="P421" s="330"/>
      <c r="Q421" s="330"/>
      <c r="R421" s="330"/>
      <c r="S421" s="13"/>
    </row>
    <row r="422" spans="1:19">
      <c r="A422" s="1115" t="s">
        <v>51</v>
      </c>
      <c r="B422" s="1112"/>
      <c r="C422" s="1112"/>
      <c r="D422" s="1112"/>
      <c r="E422" s="15" t="s">
        <v>374</v>
      </c>
      <c r="F422" s="16"/>
      <c r="G422" s="16"/>
      <c r="H422" s="16"/>
      <c r="I422" s="13"/>
      <c r="J422" s="330"/>
      <c r="K422" s="1115" t="s">
        <v>51</v>
      </c>
      <c r="L422" s="1112"/>
      <c r="M422" s="1112"/>
      <c r="N422" s="1112"/>
      <c r="O422" s="15" t="str">
        <f>E422</f>
        <v>IT SUPPORTIVE SERVICES</v>
      </c>
      <c r="P422" s="16"/>
      <c r="Q422" s="16"/>
      <c r="R422" s="16"/>
      <c r="S422" s="13"/>
    </row>
    <row r="423" spans="1:19">
      <c r="A423" s="14"/>
      <c r="B423" s="3"/>
      <c r="C423" s="3"/>
      <c r="D423" s="3"/>
      <c r="E423" s="3"/>
      <c r="F423" s="330"/>
      <c r="G423" s="330"/>
      <c r="H423" s="330"/>
      <c r="I423" s="13"/>
      <c r="J423" s="330"/>
      <c r="K423" s="14"/>
      <c r="L423" s="3"/>
      <c r="M423" s="3"/>
      <c r="N423" s="3"/>
      <c r="O423" s="3"/>
      <c r="P423" s="330"/>
      <c r="Q423" s="330"/>
      <c r="R423" s="330"/>
      <c r="S423" s="13"/>
    </row>
    <row r="424" spans="1:19">
      <c r="A424" s="1115" t="s">
        <v>52</v>
      </c>
      <c r="B424" s="1112"/>
      <c r="C424" s="1112"/>
      <c r="D424" s="1112"/>
      <c r="E424" s="17">
        <f>'0422Master'!D10</f>
        <v>44652</v>
      </c>
      <c r="F424" s="16"/>
      <c r="G424" s="16"/>
      <c r="H424" s="16"/>
      <c r="I424" s="13"/>
      <c r="J424" s="330"/>
      <c r="K424" s="1115" t="s">
        <v>52</v>
      </c>
      <c r="L424" s="1112"/>
      <c r="M424" s="1112"/>
      <c r="N424" s="1112"/>
      <c r="O424" s="17">
        <f>E424</f>
        <v>44652</v>
      </c>
      <c r="P424" s="16"/>
      <c r="Q424" s="16"/>
      <c r="R424" s="16"/>
      <c r="S424" s="13"/>
    </row>
    <row r="425" spans="1:19">
      <c r="A425" s="14"/>
      <c r="B425" s="3"/>
      <c r="C425" s="3"/>
      <c r="D425" s="3"/>
      <c r="E425" s="3"/>
      <c r="F425" s="330"/>
      <c r="G425" s="330"/>
      <c r="H425" s="330"/>
      <c r="I425" s="13"/>
      <c r="J425" s="330"/>
      <c r="K425" s="14"/>
      <c r="L425" s="3"/>
      <c r="M425" s="3"/>
      <c r="N425" s="3"/>
      <c r="O425" s="3"/>
      <c r="P425" s="330"/>
      <c r="Q425" s="330"/>
      <c r="R425" s="330"/>
      <c r="S425" s="13"/>
    </row>
    <row r="426" spans="1:19">
      <c r="A426" s="18">
        <v>1</v>
      </c>
      <c r="B426" s="1112" t="s">
        <v>53</v>
      </c>
      <c r="C426" s="1112"/>
      <c r="D426" s="1112"/>
      <c r="E426" s="19">
        <f>'0422Master'!W25</f>
        <v>30</v>
      </c>
      <c r="F426" s="16"/>
      <c r="G426" s="16"/>
      <c r="H426" s="16"/>
      <c r="I426" s="13"/>
      <c r="J426" s="330"/>
      <c r="K426" s="18">
        <v>1</v>
      </c>
      <c r="L426" s="1112" t="s">
        <v>53</v>
      </c>
      <c r="M426" s="1112"/>
      <c r="N426" s="1112"/>
      <c r="O426" s="19">
        <f>E426</f>
        <v>30</v>
      </c>
      <c r="P426" s="16"/>
      <c r="Q426" s="16"/>
      <c r="R426" s="16"/>
      <c r="S426" s="13"/>
    </row>
    <row r="427" spans="1:19">
      <c r="A427" s="18"/>
      <c r="B427" s="3"/>
      <c r="C427" s="3"/>
      <c r="D427" s="3"/>
      <c r="E427" s="3"/>
      <c r="F427" s="330"/>
      <c r="G427" s="330"/>
      <c r="H427" s="330"/>
      <c r="I427" s="13"/>
      <c r="J427" s="330"/>
      <c r="K427" s="18"/>
      <c r="L427" s="3"/>
      <c r="M427" s="3"/>
      <c r="N427" s="3"/>
      <c r="O427" s="3"/>
      <c r="P427" s="330"/>
      <c r="Q427" s="330"/>
      <c r="R427" s="330"/>
      <c r="S427" s="13"/>
    </row>
    <row r="428" spans="1:19">
      <c r="A428" s="18">
        <v>2</v>
      </c>
      <c r="B428" s="1114" t="s">
        <v>54</v>
      </c>
      <c r="C428" s="1114"/>
      <c r="D428" s="1114"/>
      <c r="E428" s="3"/>
      <c r="F428" s="330"/>
      <c r="G428" s="330"/>
      <c r="H428" s="330"/>
      <c r="I428" s="13"/>
      <c r="J428" s="330"/>
      <c r="K428" s="18">
        <v>2</v>
      </c>
      <c r="L428" s="1114" t="s">
        <v>54</v>
      </c>
      <c r="M428" s="1114"/>
      <c r="N428" s="1114"/>
      <c r="O428" s="3"/>
      <c r="P428" s="330"/>
      <c r="Q428" s="330"/>
      <c r="R428" s="330"/>
      <c r="S428" s="13"/>
    </row>
    <row r="429" spans="1:19">
      <c r="A429" s="18"/>
      <c r="B429" s="1114"/>
      <c r="C429" s="1114"/>
      <c r="D429" s="1114"/>
      <c r="E429" s="20" t="s">
        <v>37</v>
      </c>
      <c r="F429" s="16"/>
      <c r="G429" s="16"/>
      <c r="H429" s="16"/>
      <c r="I429" s="13"/>
      <c r="J429" s="330"/>
      <c r="K429" s="18"/>
      <c r="L429" s="1114"/>
      <c r="M429" s="1114"/>
      <c r="N429" s="1114"/>
      <c r="O429" s="20" t="s">
        <v>37</v>
      </c>
      <c r="P429" s="16"/>
      <c r="Q429" s="16"/>
      <c r="R429" s="16"/>
      <c r="S429" s="13"/>
    </row>
    <row r="430" spans="1:19">
      <c r="A430" s="18"/>
      <c r="B430" s="3"/>
      <c r="C430" s="3"/>
      <c r="D430" s="3"/>
      <c r="E430" s="3"/>
      <c r="F430" s="330"/>
      <c r="G430" s="330"/>
      <c r="H430" s="330"/>
      <c r="I430" s="13"/>
      <c r="J430" s="330"/>
      <c r="K430" s="18"/>
      <c r="L430" s="3"/>
      <c r="M430" s="3"/>
      <c r="N430" s="3"/>
      <c r="O430" s="3"/>
      <c r="P430" s="330"/>
      <c r="Q430" s="330"/>
      <c r="R430" s="330"/>
      <c r="S430" s="13"/>
    </row>
    <row r="431" spans="1:19">
      <c r="A431" s="18">
        <v>3</v>
      </c>
      <c r="B431" s="1112" t="s">
        <v>55</v>
      </c>
      <c r="C431" s="1112"/>
      <c r="D431" s="1112"/>
      <c r="E431" s="20" t="s">
        <v>37</v>
      </c>
      <c r="F431" s="16"/>
      <c r="G431" s="16"/>
      <c r="H431" s="16"/>
      <c r="I431" s="13"/>
      <c r="J431" s="330"/>
      <c r="K431" s="18">
        <v>3</v>
      </c>
      <c r="L431" s="1112" t="s">
        <v>55</v>
      </c>
      <c r="M431" s="1112"/>
      <c r="N431" s="1112"/>
      <c r="O431" s="15" t="str">
        <f>E431</f>
        <v>N/A</v>
      </c>
      <c r="P431" s="16"/>
      <c r="Q431" s="16"/>
      <c r="R431" s="16"/>
      <c r="S431" s="13"/>
    </row>
    <row r="432" spans="1:19">
      <c r="A432" s="18"/>
      <c r="B432" s="3"/>
      <c r="C432" s="3"/>
      <c r="D432" s="3"/>
      <c r="E432" s="3"/>
      <c r="F432" s="330"/>
      <c r="G432" s="330"/>
      <c r="H432" s="330"/>
      <c r="I432" s="13"/>
      <c r="J432" s="330"/>
      <c r="K432" s="18"/>
      <c r="L432" s="3"/>
      <c r="M432" s="3"/>
      <c r="N432" s="3"/>
      <c r="O432" s="3"/>
      <c r="P432" s="330"/>
      <c r="Q432" s="330"/>
      <c r="R432" s="330"/>
      <c r="S432" s="13"/>
    </row>
    <row r="433" spans="1:20">
      <c r="A433" s="18">
        <v>4</v>
      </c>
      <c r="B433" s="1112" t="s">
        <v>56</v>
      </c>
      <c r="C433" s="1112"/>
      <c r="D433" s="1112"/>
      <c r="E433" s="20" t="s">
        <v>57</v>
      </c>
      <c r="F433" s="16"/>
      <c r="G433" s="16"/>
      <c r="H433" s="16"/>
      <c r="I433" s="13"/>
      <c r="J433" s="330"/>
      <c r="K433" s="18">
        <v>4</v>
      </c>
      <c r="L433" s="1112" t="s">
        <v>56</v>
      </c>
      <c r="M433" s="1112"/>
      <c r="N433" s="1112"/>
      <c r="O433" s="20" t="s">
        <v>57</v>
      </c>
      <c r="P433" s="16"/>
      <c r="Q433" s="16"/>
      <c r="R433" s="16"/>
      <c r="S433" s="13"/>
    </row>
    <row r="434" spans="1:20">
      <c r="A434" s="18"/>
      <c r="B434" s="3"/>
      <c r="C434" s="3"/>
      <c r="D434" s="3"/>
      <c r="E434" s="3"/>
      <c r="F434" s="330"/>
      <c r="G434" s="330"/>
      <c r="H434" s="330"/>
      <c r="I434" s="13"/>
      <c r="J434" s="330"/>
      <c r="K434" s="18"/>
      <c r="L434" s="3"/>
      <c r="M434" s="3"/>
      <c r="N434" s="3"/>
      <c r="O434" s="3"/>
      <c r="P434" s="330"/>
      <c r="Q434" s="330"/>
      <c r="R434" s="330"/>
      <c r="S434" s="13"/>
    </row>
    <row r="435" spans="1:20">
      <c r="A435" s="18">
        <v>5</v>
      </c>
      <c r="B435" s="1112" t="s">
        <v>58</v>
      </c>
      <c r="C435" s="1112"/>
      <c r="D435" s="1112"/>
      <c r="E435" s="274">
        <f>'0422Master'!AM25</f>
        <v>78276.37874</v>
      </c>
      <c r="F435" s="330"/>
      <c r="G435" s="330"/>
      <c r="H435" s="330"/>
      <c r="I435" s="13"/>
      <c r="J435" s="330"/>
      <c r="K435" s="18">
        <v>5</v>
      </c>
      <c r="L435" s="1112" t="s">
        <v>58</v>
      </c>
      <c r="M435" s="1112"/>
      <c r="N435" s="1112"/>
      <c r="O435" s="274">
        <f>E435</f>
        <v>78276.37874</v>
      </c>
      <c r="P435" s="330"/>
      <c r="Q435" s="330"/>
      <c r="R435" s="330"/>
      <c r="S435" s="13"/>
    </row>
    <row r="436" spans="1:20">
      <c r="A436" s="18"/>
      <c r="B436" s="3"/>
      <c r="C436" s="3"/>
      <c r="D436" s="275" t="s">
        <v>59</v>
      </c>
      <c r="E436" s="275" t="s">
        <v>31</v>
      </c>
      <c r="F436" s="275" t="s">
        <v>33</v>
      </c>
      <c r="G436" s="275" t="s">
        <v>34</v>
      </c>
      <c r="H436" s="275" t="s">
        <v>378</v>
      </c>
      <c r="I436" s="273" t="s">
        <v>379</v>
      </c>
      <c r="J436" s="330"/>
      <c r="K436" s="18"/>
      <c r="L436" s="3"/>
      <c r="M436" s="3"/>
      <c r="N436" s="275" t="s">
        <v>59</v>
      </c>
      <c r="O436" s="275" t="s">
        <v>31</v>
      </c>
      <c r="P436" s="275" t="s">
        <v>33</v>
      </c>
      <c r="Q436" s="275" t="s">
        <v>34</v>
      </c>
      <c r="R436" s="275" t="s">
        <v>378</v>
      </c>
      <c r="S436" s="273" t="s">
        <v>379</v>
      </c>
    </row>
    <row r="437" spans="1:20">
      <c r="A437" s="18">
        <v>6</v>
      </c>
      <c r="B437" s="565" t="s">
        <v>60</v>
      </c>
      <c r="C437" s="565"/>
      <c r="D437" s="276">
        <f>'0422Master'!AO25</f>
        <v>1800</v>
      </c>
      <c r="E437" s="276">
        <f>'0422Master'!AN765</f>
        <v>0</v>
      </c>
      <c r="F437" s="277">
        <f>'0422Master'!AP25</f>
        <v>200</v>
      </c>
      <c r="G437" s="276">
        <f>'0422Master'!AQ25</f>
        <v>0</v>
      </c>
      <c r="H437" s="277">
        <f>'0422Master'!AR25</f>
        <v>283</v>
      </c>
      <c r="I437" s="277">
        <f>SUM(D437:H437)</f>
        <v>2283</v>
      </c>
      <c r="J437" s="330"/>
      <c r="K437" s="18">
        <v>6</v>
      </c>
      <c r="L437" s="565" t="s">
        <v>60</v>
      </c>
      <c r="M437" s="565"/>
      <c r="N437" s="276">
        <f t="shared" ref="N437" si="14">D437</f>
        <v>1800</v>
      </c>
      <c r="O437" s="276">
        <f t="shared" ref="O437" si="15">E437</f>
        <v>0</v>
      </c>
      <c r="P437" s="277">
        <f t="shared" ref="P437" si="16">F437</f>
        <v>200</v>
      </c>
      <c r="Q437" s="276">
        <f t="shared" ref="Q437" si="17">G437</f>
        <v>0</v>
      </c>
      <c r="R437" s="277">
        <f t="shared" ref="R437" si="18">H437</f>
        <v>283</v>
      </c>
      <c r="S437" s="277">
        <f t="shared" ref="S437" si="19">I437</f>
        <v>2283</v>
      </c>
    </row>
    <row r="438" spans="1:20">
      <c r="A438" s="18"/>
      <c r="B438" s="3"/>
      <c r="C438" s="3"/>
      <c r="D438" s="3"/>
      <c r="E438" s="3"/>
      <c r="F438" s="330"/>
      <c r="G438" s="330"/>
      <c r="H438" s="330"/>
      <c r="I438" s="13"/>
      <c r="J438" s="330"/>
      <c r="K438" s="18"/>
      <c r="L438" s="3"/>
      <c r="M438" s="3"/>
      <c r="N438" s="3"/>
      <c r="O438" s="3"/>
      <c r="P438" s="330"/>
      <c r="Q438" s="330"/>
      <c r="R438" s="330"/>
      <c r="S438" s="13"/>
    </row>
    <row r="439" spans="1:20">
      <c r="A439" s="18">
        <v>7</v>
      </c>
      <c r="B439" s="1112" t="s">
        <v>61</v>
      </c>
      <c r="C439" s="1112"/>
      <c r="D439" s="1112"/>
      <c r="E439" s="21">
        <f>E435-I437</f>
        <v>75993.37874</v>
      </c>
      <c r="F439" s="16"/>
      <c r="G439" s="16"/>
      <c r="H439" s="16"/>
      <c r="I439" s="13"/>
      <c r="J439" s="330"/>
      <c r="K439" s="18">
        <v>7</v>
      </c>
      <c r="L439" s="1112" t="s">
        <v>61</v>
      </c>
      <c r="M439" s="1112"/>
      <c r="N439" s="1112"/>
      <c r="O439" s="21">
        <f>E439</f>
        <v>75993.37874</v>
      </c>
      <c r="P439" s="16"/>
      <c r="Q439" s="16"/>
      <c r="R439" s="16"/>
      <c r="S439" s="13"/>
      <c r="T439">
        <v>11</v>
      </c>
    </row>
    <row r="440" spans="1:20">
      <c r="A440" s="12"/>
      <c r="B440" s="330"/>
      <c r="C440" s="330"/>
      <c r="D440" s="330"/>
      <c r="E440" s="330"/>
      <c r="F440" s="330"/>
      <c r="G440" s="330"/>
      <c r="H440" s="330"/>
      <c r="I440" s="13"/>
      <c r="J440" s="330"/>
      <c r="K440" s="12"/>
      <c r="L440" s="330"/>
      <c r="M440" s="330"/>
      <c r="N440" s="330"/>
      <c r="O440" s="330"/>
      <c r="P440" s="330"/>
      <c r="Q440" s="330"/>
      <c r="R440" s="330"/>
      <c r="S440" s="13"/>
    </row>
    <row r="441" spans="1:20">
      <c r="A441" s="12"/>
      <c r="B441" s="330"/>
      <c r="C441" s="330"/>
      <c r="D441" s="330"/>
      <c r="E441" s="330"/>
      <c r="F441" s="330"/>
      <c r="G441" s="330"/>
      <c r="H441" s="330"/>
      <c r="I441" s="13"/>
      <c r="J441" s="330"/>
      <c r="K441" s="12"/>
      <c r="L441" s="330"/>
      <c r="M441" s="330"/>
      <c r="N441" s="330"/>
      <c r="O441" s="330"/>
      <c r="P441" s="330"/>
      <c r="Q441" s="330"/>
      <c r="R441" s="330"/>
      <c r="S441" s="13"/>
    </row>
    <row r="442" spans="1:20" ht="15.75" thickBot="1">
      <c r="A442" s="12"/>
      <c r="B442" s="330"/>
      <c r="C442" s="330"/>
      <c r="D442" s="330"/>
      <c r="E442" s="330"/>
      <c r="F442" s="22"/>
      <c r="G442" s="22"/>
      <c r="H442" s="22"/>
      <c r="I442" s="23"/>
      <c r="J442" s="330"/>
      <c r="K442" s="12"/>
      <c r="L442" s="330"/>
      <c r="M442" s="330"/>
      <c r="N442" s="330"/>
      <c r="O442" s="330"/>
      <c r="P442" s="22"/>
      <c r="Q442" s="22"/>
      <c r="R442" s="22"/>
      <c r="S442" s="23"/>
    </row>
    <row r="443" spans="1:20" ht="15.75" thickBot="1">
      <c r="A443" s="24"/>
      <c r="B443" s="22"/>
      <c r="C443" s="22"/>
      <c r="D443" s="22"/>
      <c r="E443" s="22"/>
      <c r="F443" s="1110" t="s">
        <v>62</v>
      </c>
      <c r="G443" s="1110"/>
      <c r="H443" s="1110"/>
      <c r="I443" s="1111"/>
      <c r="J443" s="330"/>
      <c r="K443" s="24"/>
      <c r="L443" s="22"/>
      <c r="M443" s="22"/>
      <c r="N443" s="22"/>
      <c r="O443" s="22"/>
      <c r="P443" s="1110" t="s">
        <v>62</v>
      </c>
      <c r="Q443" s="1110"/>
      <c r="R443" s="1110"/>
      <c r="S443" s="1111"/>
    </row>
    <row r="444" spans="1:20">
      <c r="A444" s="330"/>
      <c r="B444" s="330"/>
      <c r="C444" s="330"/>
      <c r="D444" s="330"/>
      <c r="E444" s="330"/>
      <c r="F444" s="330"/>
      <c r="G444" s="330"/>
      <c r="H444" s="330"/>
      <c r="I444" s="330"/>
      <c r="J444" s="330"/>
      <c r="K444" s="330"/>
      <c r="L444" s="330"/>
      <c r="M444" s="330"/>
      <c r="N444" s="330"/>
      <c r="O444" s="330"/>
      <c r="P444" s="330"/>
      <c r="Q444" s="330"/>
      <c r="R444" s="330"/>
      <c r="S444" s="330"/>
    </row>
    <row r="445" spans="1:20">
      <c r="A445" s="330"/>
      <c r="B445" s="330"/>
      <c r="C445" s="330"/>
      <c r="D445" s="330"/>
      <c r="E445" s="330"/>
      <c r="F445" s="330"/>
      <c r="G445" s="330"/>
      <c r="H445" s="330"/>
      <c r="I445" s="330"/>
      <c r="J445" s="330"/>
      <c r="K445" s="330"/>
      <c r="L445" s="330"/>
      <c r="M445" s="330"/>
      <c r="N445" s="330"/>
      <c r="O445" s="330"/>
      <c r="P445" s="330"/>
      <c r="Q445" s="330"/>
      <c r="R445" s="330"/>
      <c r="S445" s="330"/>
    </row>
    <row r="446" spans="1:20">
      <c r="A446" s="330"/>
      <c r="B446" s="330"/>
      <c r="C446" s="330"/>
      <c r="D446" s="330"/>
      <c r="E446" s="330"/>
      <c r="F446" s="330"/>
      <c r="G446" s="330"/>
      <c r="H446" s="330"/>
      <c r="I446" s="330"/>
      <c r="J446" s="330"/>
      <c r="K446" s="330"/>
      <c r="L446" s="330"/>
      <c r="M446" s="330"/>
      <c r="N446" s="330"/>
      <c r="O446" s="330"/>
      <c r="P446" s="330"/>
      <c r="Q446" s="330"/>
      <c r="R446" s="330"/>
      <c r="S446" s="330"/>
    </row>
    <row r="447" spans="1:20">
      <c r="A447" s="330"/>
      <c r="B447" s="330"/>
      <c r="C447" s="330"/>
      <c r="D447" s="330"/>
      <c r="E447" s="330"/>
      <c r="F447" s="330"/>
      <c r="G447" s="330"/>
      <c r="H447" s="330"/>
      <c r="I447" s="330"/>
      <c r="J447" s="330"/>
      <c r="K447" s="330"/>
      <c r="L447" s="330"/>
      <c r="M447" s="330"/>
      <c r="N447" s="330"/>
      <c r="O447" s="330"/>
      <c r="P447" s="330"/>
      <c r="Q447" s="330"/>
      <c r="R447" s="330"/>
      <c r="S447" s="330"/>
    </row>
    <row r="448" spans="1:20" ht="24" customHeight="1">
      <c r="A448" s="330"/>
      <c r="B448" s="330"/>
      <c r="C448" s="330"/>
      <c r="D448" s="330"/>
      <c r="E448" s="330"/>
      <c r="F448" s="330"/>
      <c r="G448" s="330"/>
      <c r="H448" s="330"/>
      <c r="I448" s="330"/>
      <c r="J448" s="330"/>
      <c r="K448" s="330"/>
      <c r="L448" s="330"/>
      <c r="M448" s="330"/>
      <c r="N448" s="330"/>
      <c r="O448" s="330"/>
      <c r="P448" s="330"/>
      <c r="Q448" s="330"/>
      <c r="R448" s="330"/>
      <c r="S448" s="330"/>
    </row>
    <row r="449" spans="1:19" ht="24" customHeight="1">
      <c r="A449" s="330"/>
      <c r="B449" s="330"/>
      <c r="C449" s="330"/>
      <c r="D449" s="330"/>
      <c r="E449" s="330"/>
      <c r="F449" s="330"/>
      <c r="G449" s="330"/>
      <c r="H449" s="330"/>
      <c r="I449" s="330"/>
      <c r="J449" s="330"/>
      <c r="K449" s="330"/>
      <c r="L449" s="330"/>
      <c r="M449" s="330"/>
      <c r="N449" s="330"/>
      <c r="O449" s="330"/>
      <c r="P449" s="330"/>
      <c r="Q449" s="330"/>
      <c r="R449" s="330"/>
      <c r="S449" s="330"/>
    </row>
    <row r="450" spans="1:19" ht="24" customHeight="1">
      <c r="A450" s="330"/>
      <c r="B450" s="330"/>
      <c r="C450" s="330"/>
      <c r="D450" s="330"/>
      <c r="E450" s="330"/>
      <c r="F450" s="330"/>
      <c r="G450" s="330"/>
      <c r="H450" s="330"/>
      <c r="I450" s="330"/>
      <c r="J450" s="330"/>
      <c r="K450" s="330"/>
      <c r="L450" s="330"/>
      <c r="M450" s="330"/>
      <c r="N450" s="330"/>
      <c r="O450" s="330"/>
      <c r="P450" s="330"/>
      <c r="Q450" s="330"/>
      <c r="R450" s="330"/>
      <c r="S450" s="330"/>
    </row>
    <row r="451" spans="1:19" ht="24" customHeight="1">
      <c r="A451" s="330"/>
      <c r="B451" s="330"/>
      <c r="C451" s="330"/>
      <c r="D451" s="330"/>
      <c r="E451" s="330"/>
      <c r="F451" s="330"/>
      <c r="G451" s="330"/>
      <c r="H451" s="330"/>
      <c r="I451" s="330"/>
      <c r="J451" s="330"/>
      <c r="K451" s="330"/>
      <c r="L451" s="330"/>
      <c r="M451" s="330"/>
      <c r="N451" s="330"/>
      <c r="O451" s="330"/>
      <c r="P451" s="330"/>
      <c r="Q451" s="330"/>
      <c r="R451" s="330"/>
      <c r="S451" s="330"/>
    </row>
    <row r="452" spans="1:19" ht="24" customHeight="1">
      <c r="A452" s="330"/>
      <c r="B452" s="330"/>
      <c r="C452" s="330"/>
      <c r="D452" s="330"/>
      <c r="E452" s="330"/>
      <c r="F452" s="330"/>
      <c r="G452" s="330"/>
      <c r="H452" s="330"/>
      <c r="I452" s="330"/>
      <c r="J452" s="330"/>
      <c r="K452" s="330"/>
      <c r="L452" s="330"/>
      <c r="M452" s="330"/>
      <c r="N452" s="330"/>
      <c r="O452" s="330"/>
      <c r="P452" s="330"/>
      <c r="Q452" s="330"/>
      <c r="R452" s="330"/>
      <c r="S452" s="330"/>
    </row>
    <row r="453" spans="1:19">
      <c r="A453" s="330"/>
      <c r="B453" s="330"/>
      <c r="C453" s="330"/>
      <c r="D453" s="330"/>
      <c r="E453" s="330"/>
      <c r="F453" s="330"/>
      <c r="G453" s="330"/>
      <c r="H453" s="330"/>
      <c r="I453" s="330"/>
      <c r="J453" s="330"/>
      <c r="K453" s="330"/>
      <c r="L453" s="330"/>
      <c r="M453" s="330"/>
      <c r="N453" s="330"/>
      <c r="O453" s="330"/>
      <c r="P453" s="330"/>
      <c r="Q453" s="330"/>
      <c r="R453" s="330"/>
      <c r="S453" s="330"/>
    </row>
    <row r="454" spans="1:19">
      <c r="A454" s="330"/>
      <c r="B454" s="330"/>
      <c r="C454" s="330"/>
      <c r="D454" s="330"/>
      <c r="E454" s="330"/>
      <c r="F454" s="330"/>
      <c r="G454" s="330"/>
      <c r="H454" s="330"/>
      <c r="I454" s="330"/>
      <c r="J454" s="330"/>
      <c r="K454" s="330"/>
      <c r="L454" s="330"/>
      <c r="M454" s="330"/>
      <c r="N454" s="330"/>
      <c r="O454" s="330"/>
      <c r="P454" s="330"/>
      <c r="Q454" s="330"/>
      <c r="R454" s="330"/>
      <c r="S454" s="330"/>
    </row>
    <row r="455" spans="1:19">
      <c r="A455" s="330"/>
      <c r="B455" s="330"/>
      <c r="C455" s="330"/>
      <c r="D455" s="330"/>
      <c r="E455" s="330"/>
      <c r="F455" s="330"/>
      <c r="G455" s="330"/>
      <c r="H455" s="330"/>
      <c r="I455" s="330"/>
      <c r="J455" s="330"/>
      <c r="K455" s="330"/>
      <c r="L455" s="330"/>
      <c r="M455" s="330"/>
      <c r="N455" s="330"/>
      <c r="O455" s="330"/>
      <c r="P455" s="330"/>
      <c r="Q455" s="330"/>
      <c r="R455" s="330"/>
      <c r="S455" s="330"/>
    </row>
    <row r="456" spans="1:19">
      <c r="A456" s="330"/>
      <c r="B456" s="330"/>
      <c r="C456" s="330"/>
      <c r="D456" s="330"/>
      <c r="E456" s="330"/>
      <c r="F456" s="330"/>
      <c r="G456" s="330"/>
      <c r="H456" s="330"/>
      <c r="I456" s="330"/>
      <c r="J456" s="330"/>
      <c r="K456" s="330"/>
      <c r="L456" s="330"/>
      <c r="M456" s="330"/>
      <c r="N456" s="330"/>
      <c r="O456" s="330"/>
      <c r="P456" s="330"/>
      <c r="Q456" s="330"/>
      <c r="R456" s="330"/>
      <c r="S456" s="330"/>
    </row>
    <row r="457" spans="1:19" ht="15.75" thickBot="1">
      <c r="A457" s="330"/>
      <c r="B457" s="330"/>
      <c r="C457" s="330"/>
      <c r="D457" s="330"/>
      <c r="E457" s="330"/>
      <c r="F457" s="330"/>
      <c r="G457" s="330"/>
      <c r="H457" s="330"/>
      <c r="I457" s="330"/>
      <c r="J457" s="330"/>
      <c r="K457" s="330"/>
      <c r="L457" s="330"/>
      <c r="M457" s="330"/>
      <c r="N457" s="330"/>
      <c r="O457" s="330"/>
      <c r="P457" s="330"/>
      <c r="Q457" s="330"/>
      <c r="R457" s="330"/>
      <c r="S457" s="330"/>
    </row>
    <row r="458" spans="1:19" ht="26.25">
      <c r="A458" s="1116" t="s">
        <v>707</v>
      </c>
      <c r="B458" s="1117"/>
      <c r="C458" s="1117"/>
      <c r="D458" s="1117"/>
      <c r="E458" s="1117"/>
      <c r="F458" s="1117"/>
      <c r="G458" s="1117"/>
      <c r="H458" s="1117"/>
      <c r="I458" s="1118"/>
      <c r="J458" s="74"/>
      <c r="K458" s="1116" t="s">
        <v>707</v>
      </c>
      <c r="L458" s="1117"/>
      <c r="M458" s="1117"/>
      <c r="N458" s="1117"/>
      <c r="O458" s="1117"/>
      <c r="P458" s="1117"/>
      <c r="Q458" s="1117"/>
      <c r="R458" s="1117"/>
      <c r="S458" s="1118"/>
    </row>
    <row r="459" spans="1:19" ht="15.75" thickBot="1">
      <c r="A459" s="1119" t="s">
        <v>708</v>
      </c>
      <c r="B459" s="1120"/>
      <c r="C459" s="1120"/>
      <c r="D459" s="1120"/>
      <c r="E459" s="1120"/>
      <c r="F459" s="1120"/>
      <c r="G459" s="1120"/>
      <c r="H459" s="1120"/>
      <c r="I459" s="1121"/>
      <c r="J459" s="22"/>
      <c r="K459" s="1119" t="s">
        <v>708</v>
      </c>
      <c r="L459" s="1120"/>
      <c r="M459" s="1120"/>
      <c r="N459" s="1120"/>
      <c r="O459" s="1120"/>
      <c r="P459" s="1120"/>
      <c r="Q459" s="1120"/>
      <c r="R459" s="1120"/>
      <c r="S459" s="1121"/>
    </row>
    <row r="460" spans="1:19">
      <c r="A460" s="12"/>
      <c r="B460" s="330"/>
      <c r="C460" s="330"/>
      <c r="D460" s="330"/>
      <c r="E460" s="330"/>
      <c r="F460" s="330"/>
      <c r="G460" s="330"/>
      <c r="H460" s="330"/>
      <c r="I460" s="13"/>
      <c r="J460" s="330"/>
      <c r="K460" s="12"/>
      <c r="L460" s="330"/>
      <c r="M460" s="330"/>
      <c r="N460" s="330"/>
      <c r="O460" s="330"/>
      <c r="P460" s="330"/>
      <c r="Q460" s="330"/>
      <c r="R460" s="330"/>
      <c r="S460" s="13"/>
    </row>
    <row r="461" spans="1:19">
      <c r="A461" s="14" t="s">
        <v>49</v>
      </c>
      <c r="B461" s="3"/>
      <c r="C461" s="3"/>
      <c r="D461" s="6" t="s">
        <v>384</v>
      </c>
      <c r="E461" s="330"/>
      <c r="F461" s="330"/>
      <c r="G461" s="330"/>
      <c r="H461" s="330"/>
      <c r="I461" s="13"/>
      <c r="J461" s="330"/>
      <c r="K461" s="14" t="s">
        <v>49</v>
      </c>
      <c r="L461" s="3"/>
      <c r="M461" s="3"/>
      <c r="N461" s="6" t="str">
        <f>D461</f>
        <v>Burgeon IT Services Pvt.Ltd.</v>
      </c>
      <c r="O461" s="330"/>
      <c r="P461" s="330"/>
      <c r="Q461" s="330"/>
      <c r="R461" s="330"/>
      <c r="S461" s="13"/>
    </row>
    <row r="462" spans="1:19">
      <c r="A462" s="14"/>
      <c r="B462" s="3" t="s">
        <v>385</v>
      </c>
      <c r="C462" s="3"/>
      <c r="D462" s="3"/>
      <c r="E462" s="330"/>
      <c r="F462" s="330"/>
      <c r="G462" s="330"/>
      <c r="H462" s="330"/>
      <c r="I462" s="13"/>
      <c r="J462" s="330"/>
      <c r="K462" s="14"/>
      <c r="L462" s="3" t="str">
        <f>B462</f>
        <v>Siri Mansion LIGB 436 Dr.A S Rao Nagar,Hyderabad</v>
      </c>
      <c r="M462" s="3"/>
      <c r="N462" s="3"/>
      <c r="O462" s="330"/>
      <c r="P462" s="330"/>
      <c r="Q462" s="330"/>
      <c r="R462" s="330"/>
      <c r="S462" s="13"/>
    </row>
    <row r="463" spans="1:19">
      <c r="A463" s="14"/>
      <c r="B463" s="3">
        <f>'0422Master'!F799</f>
        <v>0</v>
      </c>
      <c r="C463" s="3"/>
      <c r="D463" s="3"/>
      <c r="E463" s="3"/>
      <c r="F463" s="330"/>
      <c r="G463" s="330"/>
      <c r="H463" s="330"/>
      <c r="I463" s="13"/>
      <c r="J463" s="330"/>
      <c r="K463" s="14"/>
      <c r="L463" s="3">
        <f>B463</f>
        <v>0</v>
      </c>
      <c r="M463" s="3"/>
      <c r="N463" s="3"/>
      <c r="O463" s="3"/>
      <c r="P463" s="330"/>
      <c r="Q463" s="330"/>
      <c r="R463" s="330"/>
      <c r="S463" s="13"/>
    </row>
    <row r="464" spans="1:19">
      <c r="A464" s="1113" t="s">
        <v>50</v>
      </c>
      <c r="B464" s="1114"/>
      <c r="C464" s="1114"/>
      <c r="D464" s="1114"/>
      <c r="E464" s="3"/>
      <c r="F464" s="330"/>
      <c r="G464" s="330"/>
      <c r="H464" s="330"/>
      <c r="I464" s="13"/>
      <c r="J464" s="330"/>
      <c r="K464" s="1113" t="s">
        <v>50</v>
      </c>
      <c r="L464" s="1114"/>
      <c r="M464" s="1114"/>
      <c r="N464" s="1114"/>
      <c r="O464" s="3"/>
      <c r="P464" s="330"/>
      <c r="Q464" s="330"/>
      <c r="R464" s="330"/>
      <c r="S464" s="13"/>
    </row>
    <row r="465" spans="1:19">
      <c r="A465" s="1113"/>
      <c r="B465" s="1114"/>
      <c r="C465" s="1114"/>
      <c r="D465" s="1114"/>
      <c r="E465" s="15" t="str">
        <f>'0422Master'!B26</f>
        <v>Amit Kumar</v>
      </c>
      <c r="F465" s="16"/>
      <c r="G465" s="16"/>
      <c r="H465" s="16" t="str">
        <f>'0422Master'!E26</f>
        <v>Yadram</v>
      </c>
      <c r="I465" s="13"/>
      <c r="J465" s="330"/>
      <c r="K465" s="1113"/>
      <c r="L465" s="1114"/>
      <c r="M465" s="1114"/>
      <c r="N465" s="1114"/>
      <c r="O465" s="15" t="str">
        <f>E465</f>
        <v>Amit Kumar</v>
      </c>
      <c r="P465" s="16"/>
      <c r="Q465" s="16"/>
      <c r="R465" s="16" t="str">
        <f>H465</f>
        <v>Yadram</v>
      </c>
      <c r="S465" s="13"/>
    </row>
    <row r="466" spans="1:19">
      <c r="A466" s="14"/>
      <c r="B466" s="3"/>
      <c r="C466" s="3"/>
      <c r="D466" s="3"/>
      <c r="E466" s="3"/>
      <c r="F466" s="330"/>
      <c r="G466" s="330"/>
      <c r="H466" s="330"/>
      <c r="I466" s="13"/>
      <c r="J466" s="330"/>
      <c r="K466" s="14"/>
      <c r="L466" s="3"/>
      <c r="M466" s="3"/>
      <c r="N466" s="3"/>
      <c r="O466" s="3"/>
      <c r="P466" s="330"/>
      <c r="Q466" s="330"/>
      <c r="R466" s="330"/>
      <c r="S466" s="13"/>
    </row>
    <row r="467" spans="1:19">
      <c r="A467" s="1115" t="s">
        <v>51</v>
      </c>
      <c r="B467" s="1112"/>
      <c r="C467" s="1112"/>
      <c r="D467" s="1112"/>
      <c r="E467" s="15" t="s">
        <v>374</v>
      </c>
      <c r="F467" s="16"/>
      <c r="G467" s="16"/>
      <c r="H467" s="16"/>
      <c r="I467" s="13"/>
      <c r="J467" s="330"/>
      <c r="K467" s="1115" t="s">
        <v>51</v>
      </c>
      <c r="L467" s="1112"/>
      <c r="M467" s="1112"/>
      <c r="N467" s="1112"/>
      <c r="O467" s="15" t="str">
        <f>E467</f>
        <v>IT SUPPORTIVE SERVICES</v>
      </c>
      <c r="P467" s="16"/>
      <c r="Q467" s="16"/>
      <c r="R467" s="16"/>
      <c r="S467" s="13"/>
    </row>
    <row r="468" spans="1:19">
      <c r="A468" s="14"/>
      <c r="B468" s="3"/>
      <c r="C468" s="3"/>
      <c r="D468" s="3"/>
      <c r="E468" s="3"/>
      <c r="F468" s="330"/>
      <c r="G468" s="330"/>
      <c r="H468" s="330"/>
      <c r="I468" s="13"/>
      <c r="J468" s="330"/>
      <c r="K468" s="14"/>
      <c r="L468" s="3"/>
      <c r="M468" s="3"/>
      <c r="N468" s="3"/>
      <c r="O468" s="3"/>
      <c r="P468" s="330"/>
      <c r="Q468" s="330"/>
      <c r="R468" s="330"/>
      <c r="S468" s="13"/>
    </row>
    <row r="469" spans="1:19">
      <c r="A469" s="1115" t="s">
        <v>52</v>
      </c>
      <c r="B469" s="1112"/>
      <c r="C469" s="1112"/>
      <c r="D469" s="1112"/>
      <c r="E469" s="17">
        <f>'0422Master'!D10</f>
        <v>44652</v>
      </c>
      <c r="F469" s="16"/>
      <c r="G469" s="16"/>
      <c r="H469" s="16"/>
      <c r="I469" s="13"/>
      <c r="J469" s="330"/>
      <c r="K469" s="1115" t="s">
        <v>52</v>
      </c>
      <c r="L469" s="1112"/>
      <c r="M469" s="1112"/>
      <c r="N469" s="1112"/>
      <c r="O469" s="17">
        <f>E469</f>
        <v>44652</v>
      </c>
      <c r="P469" s="16"/>
      <c r="Q469" s="16"/>
      <c r="R469" s="16"/>
      <c r="S469" s="13"/>
    </row>
    <row r="470" spans="1:19">
      <c r="A470" s="14"/>
      <c r="B470" s="3"/>
      <c r="C470" s="3"/>
      <c r="D470" s="3"/>
      <c r="E470" s="3"/>
      <c r="F470" s="330"/>
      <c r="G470" s="330"/>
      <c r="H470" s="330"/>
      <c r="I470" s="13"/>
      <c r="J470" s="330"/>
      <c r="K470" s="14"/>
      <c r="L470" s="3"/>
      <c r="M470" s="3"/>
      <c r="N470" s="3"/>
      <c r="O470" s="3"/>
      <c r="P470" s="330"/>
      <c r="Q470" s="330"/>
      <c r="R470" s="330"/>
      <c r="S470" s="13"/>
    </row>
    <row r="471" spans="1:19">
      <c r="A471" s="18">
        <v>1</v>
      </c>
      <c r="B471" s="1112" t="s">
        <v>53</v>
      </c>
      <c r="C471" s="1112"/>
      <c r="D471" s="1112"/>
      <c r="E471" s="19">
        <f>'0422Master'!W26</f>
        <v>30</v>
      </c>
      <c r="F471" s="16"/>
      <c r="G471" s="16"/>
      <c r="H471" s="16"/>
      <c r="I471" s="13"/>
      <c r="J471" s="330"/>
      <c r="K471" s="18">
        <v>1</v>
      </c>
      <c r="L471" s="1112" t="s">
        <v>53</v>
      </c>
      <c r="M471" s="1112"/>
      <c r="N471" s="1112"/>
      <c r="O471" s="19">
        <f>E471</f>
        <v>30</v>
      </c>
      <c r="P471" s="16"/>
      <c r="Q471" s="16"/>
      <c r="R471" s="16"/>
      <c r="S471" s="13"/>
    </row>
    <row r="472" spans="1:19">
      <c r="A472" s="18"/>
      <c r="B472" s="3"/>
      <c r="C472" s="3"/>
      <c r="D472" s="3"/>
      <c r="E472" s="3"/>
      <c r="F472" s="330"/>
      <c r="G472" s="330"/>
      <c r="H472" s="330"/>
      <c r="I472" s="13"/>
      <c r="J472" s="330"/>
      <c r="K472" s="18"/>
      <c r="L472" s="3"/>
      <c r="M472" s="3"/>
      <c r="N472" s="3"/>
      <c r="O472" s="3"/>
      <c r="P472" s="330"/>
      <c r="Q472" s="330"/>
      <c r="R472" s="330"/>
      <c r="S472" s="13"/>
    </row>
    <row r="473" spans="1:19">
      <c r="A473" s="18">
        <v>2</v>
      </c>
      <c r="B473" s="1114" t="s">
        <v>54</v>
      </c>
      <c r="C473" s="1114"/>
      <c r="D473" s="1114"/>
      <c r="E473" s="3"/>
      <c r="F473" s="330"/>
      <c r="G473" s="330"/>
      <c r="H473" s="330"/>
      <c r="I473" s="13"/>
      <c r="J473" s="330"/>
      <c r="K473" s="18">
        <v>2</v>
      </c>
      <c r="L473" s="1114" t="s">
        <v>54</v>
      </c>
      <c r="M473" s="1114"/>
      <c r="N473" s="1114"/>
      <c r="O473" s="3"/>
      <c r="P473" s="330"/>
      <c r="Q473" s="330"/>
      <c r="R473" s="330"/>
      <c r="S473" s="13"/>
    </row>
    <row r="474" spans="1:19">
      <c r="A474" s="18"/>
      <c r="B474" s="1114"/>
      <c r="C474" s="1114"/>
      <c r="D474" s="1114"/>
      <c r="E474" s="20" t="s">
        <v>37</v>
      </c>
      <c r="F474" s="16"/>
      <c r="G474" s="16"/>
      <c r="H474" s="16"/>
      <c r="I474" s="13"/>
      <c r="J474" s="330"/>
      <c r="K474" s="18"/>
      <c r="L474" s="1114"/>
      <c r="M474" s="1114"/>
      <c r="N474" s="1114"/>
      <c r="O474" s="20" t="s">
        <v>37</v>
      </c>
      <c r="P474" s="16"/>
      <c r="Q474" s="16"/>
      <c r="R474" s="16"/>
      <c r="S474" s="13"/>
    </row>
    <row r="475" spans="1:19">
      <c r="A475" s="18"/>
      <c r="B475" s="3"/>
      <c r="C475" s="3"/>
      <c r="D475" s="3"/>
      <c r="E475" s="3"/>
      <c r="F475" s="330"/>
      <c r="G475" s="330"/>
      <c r="H475" s="330"/>
      <c r="I475" s="13"/>
      <c r="J475" s="330"/>
      <c r="K475" s="18"/>
      <c r="L475" s="3"/>
      <c r="M475" s="3"/>
      <c r="N475" s="3"/>
      <c r="O475" s="3"/>
      <c r="P475" s="330"/>
      <c r="Q475" s="330"/>
      <c r="R475" s="330"/>
      <c r="S475" s="13"/>
    </row>
    <row r="476" spans="1:19">
      <c r="A476" s="18">
        <v>3</v>
      </c>
      <c r="B476" s="1112" t="s">
        <v>55</v>
      </c>
      <c r="C476" s="1112"/>
      <c r="D476" s="1112"/>
      <c r="E476" s="20" t="s">
        <v>37</v>
      </c>
      <c r="F476" s="16"/>
      <c r="G476" s="16"/>
      <c r="H476" s="16"/>
      <c r="I476" s="13"/>
      <c r="J476" s="330"/>
      <c r="K476" s="18">
        <v>3</v>
      </c>
      <c r="L476" s="1112" t="s">
        <v>55</v>
      </c>
      <c r="M476" s="1112"/>
      <c r="N476" s="1112"/>
      <c r="O476" s="15" t="str">
        <f>E476</f>
        <v>N/A</v>
      </c>
      <c r="P476" s="16"/>
      <c r="Q476" s="16"/>
      <c r="R476" s="16"/>
      <c r="S476" s="13"/>
    </row>
    <row r="477" spans="1:19">
      <c r="A477" s="18"/>
      <c r="B477" s="3"/>
      <c r="C477" s="3"/>
      <c r="D477" s="3"/>
      <c r="E477" s="3"/>
      <c r="F477" s="330"/>
      <c r="G477" s="330"/>
      <c r="H477" s="330"/>
      <c r="I477" s="13"/>
      <c r="J477" s="330"/>
      <c r="K477" s="18"/>
      <c r="L477" s="3"/>
      <c r="M477" s="3"/>
      <c r="N477" s="3"/>
      <c r="O477" s="3"/>
      <c r="P477" s="330"/>
      <c r="Q477" s="330"/>
      <c r="R477" s="330"/>
      <c r="S477" s="13"/>
    </row>
    <row r="478" spans="1:19">
      <c r="A478" s="18">
        <v>4</v>
      </c>
      <c r="B478" s="1112" t="s">
        <v>56</v>
      </c>
      <c r="C478" s="1112"/>
      <c r="D478" s="1112"/>
      <c r="E478" s="20" t="s">
        <v>57</v>
      </c>
      <c r="F478" s="16"/>
      <c r="G478" s="16"/>
      <c r="H478" s="16"/>
      <c r="I478" s="13"/>
      <c r="J478" s="330"/>
      <c r="K478" s="18">
        <v>4</v>
      </c>
      <c r="L478" s="1112" t="s">
        <v>56</v>
      </c>
      <c r="M478" s="1112"/>
      <c r="N478" s="1112"/>
      <c r="O478" s="20" t="s">
        <v>57</v>
      </c>
      <c r="P478" s="16"/>
      <c r="Q478" s="16"/>
      <c r="R478" s="16"/>
      <c r="S478" s="13"/>
    </row>
    <row r="479" spans="1:19">
      <c r="A479" s="18"/>
      <c r="B479" s="3"/>
      <c r="C479" s="3"/>
      <c r="D479" s="3"/>
      <c r="E479" s="3"/>
      <c r="F479" s="330"/>
      <c r="G479" s="330"/>
      <c r="H479" s="330"/>
      <c r="I479" s="13"/>
      <c r="J479" s="330"/>
      <c r="K479" s="18"/>
      <c r="L479" s="3"/>
      <c r="M479" s="3"/>
      <c r="N479" s="3"/>
      <c r="O479" s="3"/>
      <c r="P479" s="330"/>
      <c r="Q479" s="330"/>
      <c r="R479" s="330"/>
      <c r="S479" s="13"/>
    </row>
    <row r="480" spans="1:19">
      <c r="A480" s="18">
        <v>5</v>
      </c>
      <c r="B480" s="1112" t="s">
        <v>58</v>
      </c>
      <c r="C480" s="1112"/>
      <c r="D480" s="1112"/>
      <c r="E480" s="274">
        <f>'0422Master'!AM26</f>
        <v>103275.72266</v>
      </c>
      <c r="F480" s="330"/>
      <c r="G480" s="330"/>
      <c r="H480" s="330"/>
      <c r="I480" s="13"/>
      <c r="J480" s="330"/>
      <c r="K480" s="18">
        <v>5</v>
      </c>
      <c r="L480" s="1112" t="s">
        <v>58</v>
      </c>
      <c r="M480" s="1112"/>
      <c r="N480" s="1112"/>
      <c r="O480" s="274">
        <f>E480</f>
        <v>103275.72266</v>
      </c>
      <c r="P480" s="330"/>
      <c r="Q480" s="330"/>
      <c r="R480" s="330"/>
      <c r="S480" s="13"/>
    </row>
    <row r="481" spans="1:20">
      <c r="A481" s="18"/>
      <c r="B481" s="3"/>
      <c r="C481" s="3"/>
      <c r="D481" s="275" t="s">
        <v>59</v>
      </c>
      <c r="E481" s="275" t="s">
        <v>31</v>
      </c>
      <c r="F481" s="275" t="s">
        <v>33</v>
      </c>
      <c r="G481" s="275" t="s">
        <v>34</v>
      </c>
      <c r="H481" s="275" t="s">
        <v>378</v>
      </c>
      <c r="I481" s="273" t="s">
        <v>379</v>
      </c>
      <c r="J481" s="330"/>
      <c r="K481" s="18"/>
      <c r="L481" s="3"/>
      <c r="M481" s="3"/>
      <c r="N481" s="275" t="s">
        <v>59</v>
      </c>
      <c r="O481" s="275" t="s">
        <v>31</v>
      </c>
      <c r="P481" s="275" t="s">
        <v>33</v>
      </c>
      <c r="Q481" s="275" t="s">
        <v>34</v>
      </c>
      <c r="R481" s="275" t="s">
        <v>378</v>
      </c>
      <c r="S481" s="273" t="s">
        <v>379</v>
      </c>
    </row>
    <row r="482" spans="1:20">
      <c r="A482" s="18">
        <v>6</v>
      </c>
      <c r="B482" s="565" t="s">
        <v>60</v>
      </c>
      <c r="C482" s="565"/>
      <c r="D482" s="276">
        <f>'0422Master'!AO26</f>
        <v>1800</v>
      </c>
      <c r="E482" s="276">
        <f>'0422Master'!AN810</f>
        <v>0</v>
      </c>
      <c r="F482" s="277">
        <f>'0422Master'!AP26</f>
        <v>200</v>
      </c>
      <c r="G482" s="276">
        <f>'0422Master'!AQ26</f>
        <v>0</v>
      </c>
      <c r="H482" s="277">
        <f>'0422Master'!AR26</f>
        <v>283</v>
      </c>
      <c r="I482" s="277">
        <f>SUM(D482:H482)</f>
        <v>2283</v>
      </c>
      <c r="J482" s="330"/>
      <c r="K482" s="18">
        <v>6</v>
      </c>
      <c r="L482" s="565" t="s">
        <v>60</v>
      </c>
      <c r="M482" s="565"/>
      <c r="N482" s="276">
        <f t="shared" ref="N482" si="20">D482</f>
        <v>1800</v>
      </c>
      <c r="O482" s="276">
        <f t="shared" ref="O482" si="21">E482</f>
        <v>0</v>
      </c>
      <c r="P482" s="277">
        <f t="shared" ref="P482" si="22">F482</f>
        <v>200</v>
      </c>
      <c r="Q482" s="276">
        <f t="shared" ref="Q482" si="23">G482</f>
        <v>0</v>
      </c>
      <c r="R482" s="277">
        <f t="shared" ref="R482" si="24">H482</f>
        <v>283</v>
      </c>
      <c r="S482" s="277">
        <f t="shared" ref="S482" si="25">I482</f>
        <v>2283</v>
      </c>
    </row>
    <row r="483" spans="1:20">
      <c r="A483" s="18"/>
      <c r="B483" s="3"/>
      <c r="C483" s="3"/>
      <c r="D483" s="3"/>
      <c r="E483" s="3"/>
      <c r="F483" s="330"/>
      <c r="G483" s="330"/>
      <c r="H483" s="330"/>
      <c r="I483" s="13"/>
      <c r="J483" s="330"/>
      <c r="K483" s="18"/>
      <c r="L483" s="3"/>
      <c r="M483" s="3"/>
      <c r="N483" s="3"/>
      <c r="O483" s="3"/>
      <c r="P483" s="330"/>
      <c r="Q483" s="330"/>
      <c r="R483" s="330"/>
      <c r="S483" s="13"/>
    </row>
    <row r="484" spans="1:20">
      <c r="A484" s="18">
        <v>7</v>
      </c>
      <c r="B484" s="1112" t="s">
        <v>61</v>
      </c>
      <c r="C484" s="1112"/>
      <c r="D484" s="1112"/>
      <c r="E484" s="21">
        <f>E480-I482</f>
        <v>100992.72266</v>
      </c>
      <c r="F484" s="16"/>
      <c r="G484" s="16"/>
      <c r="H484" s="16"/>
      <c r="I484" s="13"/>
      <c r="J484" s="330"/>
      <c r="K484" s="18">
        <v>7</v>
      </c>
      <c r="L484" s="1112" t="s">
        <v>61</v>
      </c>
      <c r="M484" s="1112"/>
      <c r="N484" s="1112"/>
      <c r="O484" s="21">
        <f>E484</f>
        <v>100992.72266</v>
      </c>
      <c r="P484" s="16"/>
      <c r="Q484" s="16"/>
      <c r="R484" s="16"/>
      <c r="S484" s="13"/>
      <c r="T484">
        <v>12</v>
      </c>
    </row>
    <row r="485" spans="1:20">
      <c r="A485" s="12"/>
      <c r="B485" s="330"/>
      <c r="C485" s="330"/>
      <c r="D485" s="330"/>
      <c r="E485" s="330"/>
      <c r="F485" s="330"/>
      <c r="G485" s="330"/>
      <c r="H485" s="330"/>
      <c r="I485" s="13"/>
      <c r="J485" s="330"/>
      <c r="K485" s="12"/>
      <c r="L485" s="330"/>
      <c r="M485" s="330"/>
      <c r="N485" s="330"/>
      <c r="O485" s="330"/>
      <c r="P485" s="330"/>
      <c r="Q485" s="330"/>
      <c r="R485" s="330"/>
      <c r="S485" s="13"/>
    </row>
    <row r="486" spans="1:20">
      <c r="A486" s="12"/>
      <c r="B486" s="330"/>
      <c r="C486" s="330"/>
      <c r="D486" s="330"/>
      <c r="E486" s="330"/>
      <c r="F486" s="330"/>
      <c r="G486" s="330"/>
      <c r="H486" s="330"/>
      <c r="I486" s="13"/>
      <c r="J486" s="330"/>
      <c r="K486" s="12"/>
      <c r="L486" s="330"/>
      <c r="M486" s="330"/>
      <c r="N486" s="330"/>
      <c r="O486" s="330"/>
      <c r="P486" s="330"/>
      <c r="Q486" s="330"/>
      <c r="R486" s="330"/>
      <c r="S486" s="13"/>
    </row>
    <row r="487" spans="1:20" ht="15.75" thickBot="1">
      <c r="A487" s="12"/>
      <c r="B487" s="330"/>
      <c r="C487" s="330"/>
      <c r="D487" s="330"/>
      <c r="E487" s="330"/>
      <c r="F487" s="22"/>
      <c r="G487" s="22"/>
      <c r="H487" s="22"/>
      <c r="I487" s="23"/>
      <c r="J487" s="330"/>
      <c r="K487" s="12"/>
      <c r="L487" s="330"/>
      <c r="M487" s="330"/>
      <c r="N487" s="330"/>
      <c r="O487" s="330"/>
      <c r="P487" s="22"/>
      <c r="Q487" s="22"/>
      <c r="R487" s="22"/>
      <c r="S487" s="23"/>
    </row>
    <row r="488" spans="1:20" ht="15.75" thickBot="1">
      <c r="A488" s="24"/>
      <c r="B488" s="22"/>
      <c r="C488" s="22"/>
      <c r="D488" s="22"/>
      <c r="E488" s="22"/>
      <c r="F488" s="1110" t="s">
        <v>62</v>
      </c>
      <c r="G488" s="1110"/>
      <c r="H488" s="1110"/>
      <c r="I488" s="1111"/>
      <c r="J488" s="330"/>
      <c r="K488" s="24"/>
      <c r="L488" s="22"/>
      <c r="M488" s="22"/>
      <c r="N488" s="22"/>
      <c r="O488" s="22"/>
      <c r="P488" s="1110" t="s">
        <v>62</v>
      </c>
      <c r="Q488" s="1110"/>
      <c r="R488" s="1110"/>
      <c r="S488" s="1111"/>
    </row>
    <row r="489" spans="1:20">
      <c r="A489" s="330"/>
      <c r="B489" s="330"/>
      <c r="C489" s="330"/>
      <c r="D489" s="330"/>
      <c r="E489" s="330"/>
      <c r="F489" s="330"/>
      <c r="G489" s="330"/>
      <c r="H489" s="330"/>
      <c r="I489" s="330"/>
      <c r="J489" s="330"/>
      <c r="K489" s="330"/>
      <c r="L489" s="330"/>
      <c r="M489" s="330"/>
      <c r="N489" s="330"/>
      <c r="O489" s="330"/>
      <c r="P489" s="330"/>
      <c r="Q489" s="330"/>
      <c r="R489" s="330"/>
      <c r="S489" s="330"/>
    </row>
    <row r="490" spans="1:20">
      <c r="A490" s="330"/>
      <c r="B490" s="330"/>
      <c r="C490" s="330"/>
      <c r="D490" s="330"/>
      <c r="E490" s="330"/>
      <c r="F490" s="330"/>
      <c r="G490" s="330"/>
      <c r="H490" s="330"/>
      <c r="I490" s="330"/>
      <c r="J490" s="330"/>
      <c r="K490" s="330"/>
      <c r="L490" s="330"/>
      <c r="M490" s="330"/>
      <c r="N490" s="330"/>
      <c r="O490" s="330"/>
      <c r="P490" s="330"/>
      <c r="Q490" s="330"/>
      <c r="R490" s="330"/>
      <c r="S490" s="330"/>
    </row>
    <row r="491" spans="1:20">
      <c r="A491" s="330"/>
      <c r="B491" s="330"/>
      <c r="C491" s="330"/>
      <c r="D491" s="330"/>
      <c r="E491" s="330"/>
      <c r="F491" s="330"/>
      <c r="G491" s="330"/>
      <c r="H491" s="330"/>
      <c r="I491" s="330"/>
      <c r="J491" s="330"/>
      <c r="K491" s="330"/>
      <c r="L491" s="330"/>
      <c r="M491" s="330"/>
      <c r="N491" s="330"/>
      <c r="O491" s="330"/>
      <c r="P491" s="330"/>
      <c r="Q491" s="330"/>
      <c r="R491" s="330"/>
      <c r="S491" s="330"/>
    </row>
    <row r="492" spans="1:20">
      <c r="A492" s="330"/>
      <c r="B492" s="330"/>
      <c r="C492" s="330"/>
      <c r="D492" s="330"/>
      <c r="E492" s="330"/>
      <c r="F492" s="330"/>
      <c r="G492" s="330"/>
      <c r="H492" s="330"/>
      <c r="I492" s="330"/>
      <c r="J492" s="330"/>
      <c r="K492" s="330"/>
      <c r="L492" s="330"/>
      <c r="M492" s="330"/>
      <c r="N492" s="330"/>
      <c r="O492" s="330"/>
      <c r="P492" s="330"/>
      <c r="Q492" s="330"/>
      <c r="R492" s="330"/>
      <c r="S492" s="330"/>
    </row>
    <row r="493" spans="1:20">
      <c r="A493" s="330"/>
      <c r="B493" s="330"/>
      <c r="C493" s="330"/>
      <c r="D493" s="330"/>
      <c r="E493" s="330"/>
      <c r="F493" s="330"/>
      <c r="G493" s="330"/>
      <c r="H493" s="330"/>
      <c r="I493" s="330"/>
      <c r="J493" s="330"/>
      <c r="K493" s="330"/>
      <c r="L493" s="330"/>
      <c r="M493" s="330"/>
      <c r="N493" s="330"/>
      <c r="O493" s="330"/>
      <c r="P493" s="330"/>
      <c r="Q493" s="330"/>
      <c r="R493" s="330"/>
      <c r="S493" s="330"/>
    </row>
    <row r="494" spans="1:20">
      <c r="A494" s="330"/>
      <c r="B494" s="330"/>
      <c r="C494" s="330"/>
      <c r="D494" s="330"/>
      <c r="E494" s="330"/>
      <c r="F494" s="330"/>
      <c r="G494" s="330"/>
      <c r="H494" s="330"/>
      <c r="I494" s="330"/>
      <c r="J494" s="330"/>
      <c r="K494" s="330"/>
      <c r="L494" s="330"/>
      <c r="M494" s="330"/>
      <c r="N494" s="330"/>
      <c r="O494" s="330"/>
      <c r="P494" s="330"/>
      <c r="Q494" s="330"/>
      <c r="R494" s="330"/>
      <c r="S494" s="330"/>
    </row>
    <row r="495" spans="1:20" ht="28.5" customHeight="1">
      <c r="A495" s="330"/>
      <c r="B495" s="330"/>
      <c r="C495" s="330"/>
      <c r="D495" s="330"/>
      <c r="E495" s="330"/>
      <c r="F495" s="330"/>
      <c r="G495" s="330"/>
      <c r="H495" s="330"/>
      <c r="I495" s="330"/>
      <c r="J495" s="330"/>
      <c r="K495" s="330"/>
      <c r="L495" s="330"/>
      <c r="M495" s="330"/>
      <c r="N495" s="330"/>
      <c r="O495" s="330"/>
      <c r="P495" s="330"/>
      <c r="Q495" s="330"/>
      <c r="R495" s="330"/>
      <c r="S495" s="330"/>
    </row>
    <row r="496" spans="1:20" ht="28.5" customHeight="1">
      <c r="A496" s="330"/>
      <c r="B496" s="330"/>
      <c r="C496" s="330"/>
      <c r="D496" s="330"/>
      <c r="E496" s="330"/>
      <c r="F496" s="330"/>
      <c r="G496" s="330"/>
      <c r="H496" s="330"/>
      <c r="I496" s="330"/>
      <c r="J496" s="330"/>
      <c r="K496" s="330"/>
      <c r="L496" s="330"/>
      <c r="M496" s="330"/>
      <c r="N496" s="330"/>
      <c r="O496" s="330"/>
      <c r="P496" s="330"/>
      <c r="Q496" s="330"/>
      <c r="R496" s="330"/>
      <c r="S496" s="330"/>
    </row>
    <row r="497" spans="1:19" ht="28.5" customHeight="1">
      <c r="A497" s="330"/>
      <c r="B497" s="330"/>
      <c r="C497" s="330"/>
      <c r="D497" s="330"/>
      <c r="E497" s="330"/>
      <c r="F497" s="330"/>
      <c r="G497" s="330"/>
      <c r="H497" s="330"/>
      <c r="I497" s="330"/>
      <c r="J497" s="330"/>
      <c r="K497" s="330"/>
      <c r="L497" s="330"/>
      <c r="M497" s="330"/>
      <c r="N497" s="330"/>
      <c r="O497" s="330"/>
      <c r="P497" s="330"/>
      <c r="Q497" s="330"/>
      <c r="R497" s="330"/>
      <c r="S497" s="330"/>
    </row>
    <row r="498" spans="1:19" ht="28.5" customHeight="1">
      <c r="A498" s="330"/>
      <c r="B498" s="330"/>
      <c r="C498" s="330"/>
      <c r="D498" s="330"/>
      <c r="E498" s="330"/>
      <c r="F498" s="330"/>
      <c r="G498" s="330"/>
      <c r="H498" s="330"/>
      <c r="I498" s="330"/>
      <c r="J498" s="330"/>
      <c r="K498" s="330"/>
      <c r="L498" s="330"/>
      <c r="M498" s="330"/>
      <c r="N498" s="330"/>
      <c r="O498" s="330"/>
      <c r="P498" s="330"/>
      <c r="Q498" s="330"/>
      <c r="R498" s="330"/>
      <c r="S498" s="330"/>
    </row>
    <row r="499" spans="1:19">
      <c r="A499" s="330"/>
      <c r="B499" s="330"/>
      <c r="C499" s="330"/>
      <c r="D499" s="330"/>
      <c r="E499" s="330"/>
      <c r="F499" s="330"/>
      <c r="G499" s="330"/>
      <c r="H499" s="330"/>
      <c r="I499" s="330"/>
      <c r="J499" s="330"/>
      <c r="K499" s="330"/>
      <c r="L499" s="330"/>
      <c r="M499" s="330"/>
      <c r="N499" s="330"/>
      <c r="O499" s="330"/>
      <c r="P499" s="330"/>
      <c r="Q499" s="330"/>
      <c r="R499" s="330"/>
      <c r="S499" s="330"/>
    </row>
    <row r="500" spans="1:19">
      <c r="A500" s="330"/>
      <c r="B500" s="330"/>
      <c r="C500" s="330"/>
      <c r="D500" s="330"/>
      <c r="E500" s="330"/>
      <c r="F500" s="330"/>
      <c r="G500" s="330"/>
      <c r="H500" s="330"/>
      <c r="I500" s="330"/>
      <c r="J500" s="330"/>
      <c r="K500" s="330"/>
      <c r="L500" s="330"/>
      <c r="M500" s="330"/>
      <c r="N500" s="330"/>
      <c r="O500" s="330"/>
      <c r="P500" s="330"/>
      <c r="Q500" s="330"/>
      <c r="R500" s="330"/>
      <c r="S500" s="330"/>
    </row>
    <row r="501" spans="1:19">
      <c r="A501" s="330"/>
      <c r="B501" s="330"/>
      <c r="C501" s="330"/>
      <c r="D501" s="330"/>
      <c r="E501" s="330"/>
      <c r="F501" s="330"/>
      <c r="G501" s="330"/>
      <c r="H501" s="330"/>
      <c r="I501" s="330"/>
      <c r="J501" s="330"/>
      <c r="K501" s="330"/>
      <c r="L501" s="330"/>
      <c r="M501" s="330"/>
      <c r="N501" s="330"/>
      <c r="O501" s="330"/>
      <c r="P501" s="330"/>
      <c r="Q501" s="330"/>
      <c r="R501" s="330"/>
      <c r="S501" s="330"/>
    </row>
    <row r="502" spans="1:19" ht="15.75" thickBot="1">
      <c r="A502" s="330"/>
      <c r="B502" s="330"/>
      <c r="C502" s="330"/>
      <c r="D502" s="330"/>
      <c r="E502" s="330"/>
      <c r="F502" s="330"/>
      <c r="G502" s="330"/>
      <c r="H502" s="330"/>
      <c r="I502" s="330"/>
      <c r="J502" s="330"/>
      <c r="K502" s="330"/>
      <c r="L502" s="330"/>
      <c r="M502" s="330"/>
      <c r="N502" s="330"/>
      <c r="O502" s="330"/>
      <c r="P502" s="330"/>
      <c r="Q502" s="330"/>
      <c r="R502" s="330"/>
      <c r="S502" s="330"/>
    </row>
    <row r="503" spans="1:19" ht="26.25">
      <c r="A503" s="1116" t="s">
        <v>707</v>
      </c>
      <c r="B503" s="1117"/>
      <c r="C503" s="1117"/>
      <c r="D503" s="1117"/>
      <c r="E503" s="1117"/>
      <c r="F503" s="1117"/>
      <c r="G503" s="1117"/>
      <c r="H503" s="1117"/>
      <c r="I503" s="1118"/>
      <c r="J503" s="74"/>
      <c r="K503" s="1116" t="s">
        <v>707</v>
      </c>
      <c r="L503" s="1117"/>
      <c r="M503" s="1117"/>
      <c r="N503" s="1117"/>
      <c r="O503" s="1117"/>
      <c r="P503" s="1117"/>
      <c r="Q503" s="1117"/>
      <c r="R503" s="1117"/>
      <c r="S503" s="1118"/>
    </row>
    <row r="504" spans="1:19" ht="15.75" thickBot="1">
      <c r="A504" s="1119" t="s">
        <v>708</v>
      </c>
      <c r="B504" s="1120"/>
      <c r="C504" s="1120"/>
      <c r="D504" s="1120"/>
      <c r="E504" s="1120"/>
      <c r="F504" s="1120"/>
      <c r="G504" s="1120"/>
      <c r="H504" s="1120"/>
      <c r="I504" s="1121"/>
      <c r="J504" s="22"/>
      <c r="K504" s="1119" t="s">
        <v>708</v>
      </c>
      <c r="L504" s="1120"/>
      <c r="M504" s="1120"/>
      <c r="N504" s="1120"/>
      <c r="O504" s="1120"/>
      <c r="P504" s="1120"/>
      <c r="Q504" s="1120"/>
      <c r="R504" s="1120"/>
      <c r="S504" s="1121"/>
    </row>
    <row r="505" spans="1:19">
      <c r="A505" s="12"/>
      <c r="B505" s="330"/>
      <c r="C505" s="330"/>
      <c r="D505" s="330"/>
      <c r="E505" s="330"/>
      <c r="F505" s="330"/>
      <c r="G505" s="330"/>
      <c r="H505" s="330"/>
      <c r="I505" s="13"/>
      <c r="J505" s="330"/>
      <c r="K505" s="12"/>
      <c r="L505" s="330"/>
      <c r="M505" s="330"/>
      <c r="N505" s="330"/>
      <c r="O505" s="330"/>
      <c r="P505" s="330"/>
      <c r="Q505" s="330"/>
      <c r="R505" s="330"/>
      <c r="S505" s="13"/>
    </row>
    <row r="506" spans="1:19">
      <c r="A506" s="14" t="s">
        <v>49</v>
      </c>
      <c r="B506" s="3"/>
      <c r="C506" s="3"/>
      <c r="D506" s="6" t="s">
        <v>384</v>
      </c>
      <c r="E506" s="330"/>
      <c r="F506" s="330"/>
      <c r="G506" s="330"/>
      <c r="H506" s="330"/>
      <c r="I506" s="13"/>
      <c r="J506" s="330"/>
      <c r="K506" s="14" t="s">
        <v>49</v>
      </c>
      <c r="L506" s="3"/>
      <c r="M506" s="3"/>
      <c r="N506" s="6" t="str">
        <f>D506</f>
        <v>Burgeon IT Services Pvt.Ltd.</v>
      </c>
      <c r="O506" s="330"/>
      <c r="P506" s="330"/>
      <c r="Q506" s="330"/>
      <c r="R506" s="330"/>
      <c r="S506" s="13"/>
    </row>
    <row r="507" spans="1:19">
      <c r="A507" s="14"/>
      <c r="B507" s="3" t="s">
        <v>385</v>
      </c>
      <c r="C507" s="3"/>
      <c r="D507" s="3"/>
      <c r="E507" s="330"/>
      <c r="F507" s="330"/>
      <c r="G507" s="330"/>
      <c r="H507" s="330"/>
      <c r="I507" s="13"/>
      <c r="J507" s="330"/>
      <c r="K507" s="14"/>
      <c r="L507" s="3" t="str">
        <f>B507</f>
        <v>Siri Mansion LIGB 436 Dr.A S Rao Nagar,Hyderabad</v>
      </c>
      <c r="M507" s="3"/>
      <c r="N507" s="3"/>
      <c r="O507" s="330"/>
      <c r="P507" s="330"/>
      <c r="Q507" s="330"/>
      <c r="R507" s="330"/>
      <c r="S507" s="13"/>
    </row>
    <row r="508" spans="1:19">
      <c r="A508" s="14"/>
      <c r="B508" s="3">
        <f>'0422Master'!F844</f>
        <v>0</v>
      </c>
      <c r="C508" s="3"/>
      <c r="D508" s="3"/>
      <c r="E508" s="3"/>
      <c r="F508" s="330"/>
      <c r="G508" s="330"/>
      <c r="H508" s="330"/>
      <c r="I508" s="13"/>
      <c r="J508" s="330"/>
      <c r="K508" s="14"/>
      <c r="L508" s="3">
        <f>B508</f>
        <v>0</v>
      </c>
      <c r="M508" s="3"/>
      <c r="N508" s="3"/>
      <c r="O508" s="3"/>
      <c r="P508" s="330"/>
      <c r="Q508" s="330"/>
      <c r="R508" s="330"/>
      <c r="S508" s="13"/>
    </row>
    <row r="509" spans="1:19" ht="15" customHeight="1">
      <c r="A509" s="1113" t="s">
        <v>50</v>
      </c>
      <c r="B509" s="1114"/>
      <c r="C509" s="1114"/>
      <c r="D509" s="1114"/>
      <c r="E509" s="3"/>
      <c r="F509" s="330"/>
      <c r="G509" s="330"/>
      <c r="H509" s="330"/>
      <c r="I509" s="13"/>
      <c r="J509" s="330"/>
      <c r="K509" s="1113" t="s">
        <v>50</v>
      </c>
      <c r="L509" s="1114"/>
      <c r="M509" s="1114"/>
      <c r="N509" s="1114"/>
      <c r="O509" s="3"/>
      <c r="P509" s="330"/>
      <c r="Q509" s="330"/>
      <c r="R509" s="330"/>
      <c r="S509" s="13"/>
    </row>
    <row r="510" spans="1:19">
      <c r="A510" s="1113"/>
      <c r="B510" s="1114"/>
      <c r="C510" s="1114"/>
      <c r="D510" s="1114"/>
      <c r="E510" s="15" t="str">
        <f>'0422Master'!B27</f>
        <v>Pranav Thakare</v>
      </c>
      <c r="F510" s="16"/>
      <c r="G510" s="16"/>
      <c r="H510" s="16" t="str">
        <f>'0422Master'!E27</f>
        <v>Pramod Motiram Thakare</v>
      </c>
      <c r="I510" s="13"/>
      <c r="J510" s="330"/>
      <c r="K510" s="1113"/>
      <c r="L510" s="1114"/>
      <c r="M510" s="1114"/>
      <c r="N510" s="1114"/>
      <c r="O510" s="15" t="str">
        <f>E510</f>
        <v>Pranav Thakare</v>
      </c>
      <c r="P510" s="16"/>
      <c r="Q510" s="16"/>
      <c r="R510" s="16" t="str">
        <f>H510</f>
        <v>Pramod Motiram Thakare</v>
      </c>
      <c r="S510" s="13"/>
    </row>
    <row r="511" spans="1:19">
      <c r="A511" s="14"/>
      <c r="B511" s="3"/>
      <c r="C511" s="3"/>
      <c r="D511" s="3"/>
      <c r="E511" s="3"/>
      <c r="F511" s="330"/>
      <c r="G511" s="330"/>
      <c r="H511" s="330"/>
      <c r="I511" s="13"/>
      <c r="J511" s="330"/>
      <c r="K511" s="14"/>
      <c r="L511" s="3"/>
      <c r="M511" s="3"/>
      <c r="N511" s="3"/>
      <c r="O511" s="3"/>
      <c r="P511" s="330"/>
      <c r="Q511" s="330"/>
      <c r="R511" s="330"/>
      <c r="S511" s="13"/>
    </row>
    <row r="512" spans="1:19">
      <c r="A512" s="1115" t="s">
        <v>51</v>
      </c>
      <c r="B512" s="1112"/>
      <c r="C512" s="1112"/>
      <c r="D512" s="1112"/>
      <c r="E512" s="15" t="s">
        <v>374</v>
      </c>
      <c r="F512" s="16"/>
      <c r="G512" s="16"/>
      <c r="H512" s="16"/>
      <c r="I512" s="13"/>
      <c r="J512" s="330"/>
      <c r="K512" s="1115" t="s">
        <v>51</v>
      </c>
      <c r="L512" s="1112"/>
      <c r="M512" s="1112"/>
      <c r="N512" s="1112"/>
      <c r="O512" s="15" t="str">
        <f>E512</f>
        <v>IT SUPPORTIVE SERVICES</v>
      </c>
      <c r="P512" s="16"/>
      <c r="Q512" s="16"/>
      <c r="R512" s="16"/>
      <c r="S512" s="13"/>
    </row>
    <row r="513" spans="1:19">
      <c r="A513" s="14"/>
      <c r="B513" s="3"/>
      <c r="C513" s="3"/>
      <c r="D513" s="3"/>
      <c r="E513" s="3"/>
      <c r="F513" s="330"/>
      <c r="G513" s="330"/>
      <c r="H513" s="330"/>
      <c r="I513" s="13"/>
      <c r="J513" s="330"/>
      <c r="K513" s="14"/>
      <c r="L513" s="3"/>
      <c r="M513" s="3"/>
      <c r="N513" s="3"/>
      <c r="O513" s="3"/>
      <c r="P513" s="330"/>
      <c r="Q513" s="330"/>
      <c r="R513" s="330"/>
      <c r="S513" s="13"/>
    </row>
    <row r="514" spans="1:19">
      <c r="A514" s="1115" t="s">
        <v>52</v>
      </c>
      <c r="B514" s="1112"/>
      <c r="C514" s="1112"/>
      <c r="D514" s="1112"/>
      <c r="E514" s="17">
        <f>'0422Master'!D10</f>
        <v>44652</v>
      </c>
      <c r="F514" s="16"/>
      <c r="G514" s="16"/>
      <c r="H514" s="16"/>
      <c r="I514" s="13"/>
      <c r="J514" s="330"/>
      <c r="K514" s="1115" t="s">
        <v>52</v>
      </c>
      <c r="L514" s="1112"/>
      <c r="M514" s="1112"/>
      <c r="N514" s="1112"/>
      <c r="O514" s="17">
        <f>E514</f>
        <v>44652</v>
      </c>
      <c r="P514" s="16"/>
      <c r="Q514" s="16"/>
      <c r="R514" s="16"/>
      <c r="S514" s="13"/>
    </row>
    <row r="515" spans="1:19">
      <c r="A515" s="14"/>
      <c r="B515" s="3"/>
      <c r="C515" s="3"/>
      <c r="D515" s="3"/>
      <c r="E515" s="3"/>
      <c r="F515" s="330"/>
      <c r="G515" s="330"/>
      <c r="H515" s="330"/>
      <c r="I515" s="13"/>
      <c r="J515" s="330"/>
      <c r="K515" s="14"/>
      <c r="L515" s="3"/>
      <c r="M515" s="3"/>
      <c r="N515" s="3"/>
      <c r="O515" s="3"/>
      <c r="P515" s="330"/>
      <c r="Q515" s="330"/>
      <c r="R515" s="330"/>
      <c r="S515" s="13"/>
    </row>
    <row r="516" spans="1:19">
      <c r="A516" s="18">
        <v>1</v>
      </c>
      <c r="B516" s="1112" t="s">
        <v>53</v>
      </c>
      <c r="C516" s="1112"/>
      <c r="D516" s="1112"/>
      <c r="E516" s="19">
        <f>'0422Master'!W27</f>
        <v>27</v>
      </c>
      <c r="F516" s="16"/>
      <c r="G516" s="16"/>
      <c r="H516" s="16"/>
      <c r="I516" s="13"/>
      <c r="J516" s="330"/>
      <c r="K516" s="18">
        <v>1</v>
      </c>
      <c r="L516" s="1112" t="s">
        <v>53</v>
      </c>
      <c r="M516" s="1112"/>
      <c r="N516" s="1112"/>
      <c r="O516" s="19">
        <f>E516</f>
        <v>27</v>
      </c>
      <c r="P516" s="16"/>
      <c r="Q516" s="16"/>
      <c r="R516" s="16"/>
      <c r="S516" s="13"/>
    </row>
    <row r="517" spans="1:19">
      <c r="A517" s="18"/>
      <c r="B517" s="3"/>
      <c r="C517" s="3"/>
      <c r="D517" s="3"/>
      <c r="E517" s="3"/>
      <c r="F517" s="330"/>
      <c r="G517" s="330"/>
      <c r="H517" s="330"/>
      <c r="I517" s="13"/>
      <c r="J517" s="330"/>
      <c r="K517" s="18"/>
      <c r="L517" s="3"/>
      <c r="M517" s="3"/>
      <c r="N517" s="3"/>
      <c r="O517" s="3"/>
      <c r="P517" s="330"/>
      <c r="Q517" s="330"/>
      <c r="R517" s="330"/>
      <c r="S517" s="13"/>
    </row>
    <row r="518" spans="1:19" ht="15" customHeight="1">
      <c r="A518" s="18">
        <v>2</v>
      </c>
      <c r="B518" s="1114" t="s">
        <v>54</v>
      </c>
      <c r="C518" s="1114"/>
      <c r="D518" s="1114"/>
      <c r="E518" s="3"/>
      <c r="F518" s="330"/>
      <c r="G518" s="330"/>
      <c r="H518" s="330"/>
      <c r="I518" s="13"/>
      <c r="J518" s="330"/>
      <c r="K518" s="18">
        <v>2</v>
      </c>
      <c r="L518" s="1114" t="s">
        <v>54</v>
      </c>
      <c r="M518" s="1114"/>
      <c r="N518" s="1114"/>
      <c r="O518" s="3"/>
      <c r="P518" s="330"/>
      <c r="Q518" s="330"/>
      <c r="R518" s="330"/>
      <c r="S518" s="13"/>
    </row>
    <row r="519" spans="1:19">
      <c r="A519" s="18"/>
      <c r="B519" s="1114"/>
      <c r="C519" s="1114"/>
      <c r="D519" s="1114"/>
      <c r="E519" s="20" t="s">
        <v>37</v>
      </c>
      <c r="F519" s="16"/>
      <c r="G519" s="16"/>
      <c r="H519" s="16"/>
      <c r="I519" s="13"/>
      <c r="J519" s="330"/>
      <c r="K519" s="18"/>
      <c r="L519" s="1114"/>
      <c r="M519" s="1114"/>
      <c r="N519" s="1114"/>
      <c r="O519" s="20" t="s">
        <v>37</v>
      </c>
      <c r="P519" s="16"/>
      <c r="Q519" s="16"/>
      <c r="R519" s="16"/>
      <c r="S519" s="13"/>
    </row>
    <row r="520" spans="1:19">
      <c r="A520" s="18"/>
      <c r="B520" s="3"/>
      <c r="C520" s="3"/>
      <c r="D520" s="3"/>
      <c r="E520" s="3"/>
      <c r="F520" s="330"/>
      <c r="G520" s="330"/>
      <c r="H520" s="330"/>
      <c r="I520" s="13"/>
      <c r="J520" s="330"/>
      <c r="K520" s="18"/>
      <c r="L520" s="3"/>
      <c r="M520" s="3"/>
      <c r="N520" s="3"/>
      <c r="O520" s="3"/>
      <c r="P520" s="330"/>
      <c r="Q520" s="330"/>
      <c r="R520" s="330"/>
      <c r="S520" s="13"/>
    </row>
    <row r="521" spans="1:19">
      <c r="A521" s="18">
        <v>3</v>
      </c>
      <c r="B521" s="1112" t="s">
        <v>55</v>
      </c>
      <c r="C521" s="1112"/>
      <c r="D521" s="1112"/>
      <c r="E521" s="20" t="s">
        <v>37</v>
      </c>
      <c r="F521" s="16"/>
      <c r="G521" s="16"/>
      <c r="H521" s="16"/>
      <c r="I521" s="13"/>
      <c r="J521" s="330"/>
      <c r="K521" s="18">
        <v>3</v>
      </c>
      <c r="L521" s="1112" t="s">
        <v>55</v>
      </c>
      <c r="M521" s="1112"/>
      <c r="N521" s="1112"/>
      <c r="O521" s="15" t="str">
        <f>E521</f>
        <v>N/A</v>
      </c>
      <c r="P521" s="16"/>
      <c r="Q521" s="16"/>
      <c r="R521" s="16"/>
      <c r="S521" s="13"/>
    </row>
    <row r="522" spans="1:19">
      <c r="A522" s="18"/>
      <c r="B522" s="3"/>
      <c r="C522" s="3"/>
      <c r="D522" s="3"/>
      <c r="E522" s="3"/>
      <c r="F522" s="330"/>
      <c r="G522" s="330"/>
      <c r="H522" s="330"/>
      <c r="I522" s="13"/>
      <c r="J522" s="330"/>
      <c r="K522" s="18"/>
      <c r="L522" s="3"/>
      <c r="M522" s="3"/>
      <c r="N522" s="3"/>
      <c r="O522" s="3"/>
      <c r="P522" s="330"/>
      <c r="Q522" s="330"/>
      <c r="R522" s="330"/>
      <c r="S522" s="13"/>
    </row>
    <row r="523" spans="1:19">
      <c r="A523" s="18">
        <v>4</v>
      </c>
      <c r="B523" s="1112" t="s">
        <v>56</v>
      </c>
      <c r="C523" s="1112"/>
      <c r="D523" s="1112"/>
      <c r="E523" s="20" t="s">
        <v>57</v>
      </c>
      <c r="F523" s="16"/>
      <c r="G523" s="16"/>
      <c r="H523" s="16"/>
      <c r="I523" s="13"/>
      <c r="J523" s="330"/>
      <c r="K523" s="18">
        <v>4</v>
      </c>
      <c r="L523" s="1112" t="s">
        <v>56</v>
      </c>
      <c r="M523" s="1112"/>
      <c r="N523" s="1112"/>
      <c r="O523" s="20" t="s">
        <v>57</v>
      </c>
      <c r="P523" s="16"/>
      <c r="Q523" s="16"/>
      <c r="R523" s="16"/>
      <c r="S523" s="13"/>
    </row>
    <row r="524" spans="1:19">
      <c r="A524" s="18"/>
      <c r="B524" s="3"/>
      <c r="C524" s="3"/>
      <c r="D524" s="3"/>
      <c r="E524" s="3"/>
      <c r="F524" s="330"/>
      <c r="G524" s="330"/>
      <c r="H524" s="330"/>
      <c r="I524" s="13"/>
      <c r="J524" s="330"/>
      <c r="K524" s="18"/>
      <c r="L524" s="3"/>
      <c r="M524" s="3"/>
      <c r="N524" s="3"/>
      <c r="O524" s="3"/>
      <c r="P524" s="330"/>
      <c r="Q524" s="330"/>
      <c r="R524" s="330"/>
      <c r="S524" s="13"/>
    </row>
    <row r="525" spans="1:19">
      <c r="A525" s="18">
        <v>5</v>
      </c>
      <c r="B525" s="1112" t="s">
        <v>58</v>
      </c>
      <c r="C525" s="1112"/>
      <c r="D525" s="1112"/>
      <c r="E525" s="274">
        <f>'0422Master'!AM27</f>
        <v>75114.995281999989</v>
      </c>
      <c r="F525" s="330"/>
      <c r="G525" s="330"/>
      <c r="H525" s="330"/>
      <c r="I525" s="13"/>
      <c r="J525" s="330"/>
      <c r="K525" s="18">
        <v>5</v>
      </c>
      <c r="L525" s="1112" t="s">
        <v>58</v>
      </c>
      <c r="M525" s="1112"/>
      <c r="N525" s="1112"/>
      <c r="O525" s="274">
        <f>E525</f>
        <v>75114.995281999989</v>
      </c>
      <c r="P525" s="330"/>
      <c r="Q525" s="330"/>
      <c r="R525" s="330"/>
      <c r="S525" s="13"/>
    </row>
    <row r="526" spans="1:19">
      <c r="A526" s="18"/>
      <c r="B526" s="3"/>
      <c r="C526" s="3"/>
      <c r="D526" s="275" t="s">
        <v>59</v>
      </c>
      <c r="E526" s="275" t="s">
        <v>31</v>
      </c>
      <c r="F526" s="275" t="s">
        <v>33</v>
      </c>
      <c r="G526" s="275" t="s">
        <v>34</v>
      </c>
      <c r="H526" s="275" t="s">
        <v>378</v>
      </c>
      <c r="I526" s="273" t="s">
        <v>379</v>
      </c>
      <c r="J526" s="330"/>
      <c r="K526" s="18"/>
      <c r="L526" s="3"/>
      <c r="M526" s="3"/>
      <c r="N526" s="275" t="s">
        <v>59</v>
      </c>
      <c r="O526" s="275" t="s">
        <v>31</v>
      </c>
      <c r="P526" s="275" t="s">
        <v>33</v>
      </c>
      <c r="Q526" s="275" t="s">
        <v>34</v>
      </c>
      <c r="R526" s="275" t="s">
        <v>378</v>
      </c>
      <c r="S526" s="273" t="s">
        <v>379</v>
      </c>
    </row>
    <row r="527" spans="1:19">
      <c r="A527" s="18">
        <v>6</v>
      </c>
      <c r="B527" s="565" t="s">
        <v>60</v>
      </c>
      <c r="C527" s="565"/>
      <c r="D527" s="276">
        <f>'0422Master'!AO27</f>
        <v>1800</v>
      </c>
      <c r="E527" s="276">
        <f>'0422Master'!AN855</f>
        <v>0</v>
      </c>
      <c r="F527" s="277">
        <f>'0422Master'!AP27</f>
        <v>200</v>
      </c>
      <c r="G527" s="276">
        <f>'0422Master'!AQ27</f>
        <v>0</v>
      </c>
      <c r="H527" s="277">
        <f>'0422Master'!AR27</f>
        <v>283</v>
      </c>
      <c r="I527" s="277">
        <f>'0422Master'!AS855</f>
        <v>0</v>
      </c>
      <c r="J527" s="330"/>
      <c r="K527" s="18">
        <v>6</v>
      </c>
      <c r="L527" s="565" t="s">
        <v>60</v>
      </c>
      <c r="M527" s="565"/>
      <c r="N527" s="276">
        <f t="shared" ref="N527" si="26">D527</f>
        <v>1800</v>
      </c>
      <c r="O527" s="276">
        <f t="shared" ref="O527" si="27">E527</f>
        <v>0</v>
      </c>
      <c r="P527" s="277">
        <f t="shared" ref="P527" si="28">F527</f>
        <v>200</v>
      </c>
      <c r="Q527" s="276">
        <f t="shared" ref="Q527" si="29">G527</f>
        <v>0</v>
      </c>
      <c r="R527" s="277">
        <f t="shared" ref="R527" si="30">H527</f>
        <v>283</v>
      </c>
      <c r="S527" s="277">
        <f t="shared" ref="S527" si="31">I527</f>
        <v>0</v>
      </c>
    </row>
    <row r="528" spans="1:19">
      <c r="A528" s="18"/>
      <c r="B528" s="3"/>
      <c r="C528" s="3"/>
      <c r="D528" s="3"/>
      <c r="E528" s="3"/>
      <c r="F528" s="330"/>
      <c r="G528" s="330"/>
      <c r="H528" s="330"/>
      <c r="I528" s="13"/>
      <c r="J528" s="330"/>
      <c r="K528" s="18"/>
      <c r="L528" s="3"/>
      <c r="M528" s="3"/>
      <c r="N528" s="3"/>
      <c r="O528" s="3"/>
      <c r="P528" s="330"/>
      <c r="Q528" s="330"/>
      <c r="R528" s="330"/>
      <c r="S528" s="13"/>
    </row>
    <row r="529" spans="1:20">
      <c r="A529" s="18">
        <v>7</v>
      </c>
      <c r="B529" s="1112" t="s">
        <v>61</v>
      </c>
      <c r="C529" s="1112"/>
      <c r="D529" s="1112"/>
      <c r="E529" s="21">
        <f>E525-D527-F527-G527-H527</f>
        <v>72831.995281999989</v>
      </c>
      <c r="F529" s="16"/>
      <c r="G529" s="16"/>
      <c r="H529" s="16"/>
      <c r="I529" s="13"/>
      <c r="J529" s="330"/>
      <c r="K529" s="18">
        <v>7</v>
      </c>
      <c r="L529" s="1112" t="s">
        <v>61</v>
      </c>
      <c r="M529" s="1112"/>
      <c r="N529" s="1112"/>
      <c r="O529" s="21">
        <f>E529</f>
        <v>72831.995281999989</v>
      </c>
      <c r="P529" s="16"/>
      <c r="Q529" s="16"/>
      <c r="R529" s="16"/>
      <c r="S529" s="13"/>
      <c r="T529">
        <v>13</v>
      </c>
    </row>
    <row r="530" spans="1:20">
      <c r="A530" s="12"/>
      <c r="B530" s="330"/>
      <c r="C530" s="330"/>
      <c r="D530" s="330"/>
      <c r="E530" s="330"/>
      <c r="F530" s="330"/>
      <c r="G530" s="330"/>
      <c r="H530" s="330"/>
      <c r="I530" s="13"/>
      <c r="J530" s="330"/>
      <c r="K530" s="12"/>
      <c r="L530" s="330"/>
      <c r="M530" s="330"/>
      <c r="N530" s="330"/>
      <c r="O530" s="330"/>
      <c r="P530" s="330"/>
      <c r="Q530" s="330"/>
      <c r="R530" s="330"/>
      <c r="S530" s="13"/>
    </row>
    <row r="531" spans="1:20">
      <c r="A531" s="12"/>
      <c r="B531" s="330"/>
      <c r="C531" s="330"/>
      <c r="D531" s="330"/>
      <c r="E531" s="330"/>
      <c r="F531" s="330"/>
      <c r="G531" s="330"/>
      <c r="H531" s="330"/>
      <c r="I531" s="13"/>
      <c r="J531" s="330"/>
      <c r="K531" s="12"/>
      <c r="L531" s="330"/>
      <c r="M531" s="330"/>
      <c r="N531" s="330"/>
      <c r="O531" s="330"/>
      <c r="P531" s="330"/>
      <c r="Q531" s="330"/>
      <c r="R531" s="330"/>
      <c r="S531" s="13"/>
    </row>
    <row r="532" spans="1:20" ht="15.75" thickBot="1">
      <c r="A532" s="12"/>
      <c r="B532" s="330"/>
      <c r="C532" s="330"/>
      <c r="D532" s="330"/>
      <c r="E532" s="330"/>
      <c r="F532" s="22"/>
      <c r="G532" s="22"/>
      <c r="H532" s="22"/>
      <c r="I532" s="23"/>
      <c r="J532" s="330"/>
      <c r="K532" s="12"/>
      <c r="L532" s="330"/>
      <c r="M532" s="330"/>
      <c r="N532" s="330"/>
      <c r="O532" s="330"/>
      <c r="P532" s="22"/>
      <c r="Q532" s="22"/>
      <c r="R532" s="22"/>
      <c r="S532" s="23"/>
    </row>
    <row r="533" spans="1:20" ht="15.75" thickBot="1">
      <c r="A533" s="24"/>
      <c r="B533" s="22"/>
      <c r="C533" s="22"/>
      <c r="D533" s="22"/>
      <c r="E533" s="22"/>
      <c r="F533" s="1110" t="s">
        <v>62</v>
      </c>
      <c r="G533" s="1110"/>
      <c r="H533" s="1110"/>
      <c r="I533" s="1111"/>
      <c r="J533" s="330"/>
      <c r="K533" s="24"/>
      <c r="L533" s="22"/>
      <c r="M533" s="22"/>
      <c r="N533" s="22"/>
      <c r="O533" s="22"/>
      <c r="P533" s="1110" t="s">
        <v>62</v>
      </c>
      <c r="Q533" s="1110"/>
      <c r="R533" s="1110"/>
      <c r="S533" s="1111"/>
    </row>
    <row r="534" spans="1:20">
      <c r="A534" s="330"/>
      <c r="B534" s="330"/>
      <c r="C534" s="330"/>
      <c r="D534" s="330"/>
      <c r="E534" s="330"/>
      <c r="F534" s="330"/>
      <c r="G534" s="330"/>
      <c r="H534" s="330"/>
      <c r="I534" s="330"/>
      <c r="J534" s="330"/>
      <c r="K534" s="330"/>
      <c r="L534" s="330"/>
      <c r="M534" s="330"/>
      <c r="N534" s="330"/>
      <c r="O534" s="330"/>
      <c r="P534" s="330"/>
      <c r="Q534" s="330"/>
      <c r="R534" s="330"/>
      <c r="S534" s="330"/>
    </row>
    <row r="535" spans="1:20">
      <c r="A535" s="330"/>
      <c r="B535" s="330"/>
      <c r="C535" s="330"/>
      <c r="D535" s="330"/>
      <c r="E535" s="330"/>
      <c r="F535" s="330"/>
      <c r="G535" s="330"/>
      <c r="H535" s="330"/>
      <c r="I535" s="330"/>
      <c r="J535" s="330"/>
      <c r="K535" s="330"/>
      <c r="L535" s="330"/>
      <c r="M535" s="330"/>
      <c r="N535" s="330"/>
      <c r="O535" s="330"/>
      <c r="P535" s="330"/>
      <c r="Q535" s="330"/>
      <c r="R535" s="330"/>
      <c r="S535" s="330"/>
    </row>
    <row r="536" spans="1:20" ht="23.25" customHeight="1">
      <c r="A536" s="330"/>
      <c r="B536" s="330"/>
      <c r="C536" s="330"/>
      <c r="D536" s="330"/>
      <c r="E536" s="330"/>
      <c r="F536" s="330"/>
      <c r="G536" s="330"/>
      <c r="H536" s="330"/>
      <c r="I536" s="330"/>
      <c r="J536" s="330"/>
      <c r="K536" s="330"/>
      <c r="L536" s="330"/>
      <c r="M536" s="330"/>
      <c r="N536" s="330"/>
      <c r="O536" s="330"/>
      <c r="P536" s="330"/>
      <c r="Q536" s="330"/>
      <c r="R536" s="330"/>
      <c r="S536" s="330"/>
    </row>
    <row r="537" spans="1:20" ht="23.25" customHeight="1">
      <c r="A537" s="330"/>
      <c r="B537" s="330"/>
      <c r="C537" s="330"/>
      <c r="D537" s="330"/>
      <c r="E537" s="330"/>
      <c r="F537" s="330"/>
      <c r="G537" s="330"/>
      <c r="H537" s="330"/>
      <c r="I537" s="330"/>
      <c r="J537" s="330"/>
      <c r="K537" s="330"/>
      <c r="L537" s="330"/>
      <c r="M537" s="330"/>
      <c r="N537" s="330"/>
      <c r="O537" s="330"/>
      <c r="P537" s="330"/>
      <c r="Q537" s="330"/>
      <c r="R537" s="330"/>
      <c r="S537" s="330"/>
    </row>
    <row r="538" spans="1:20" ht="23.25" customHeight="1">
      <c r="A538" s="330"/>
      <c r="B538" s="330"/>
      <c r="C538" s="330"/>
      <c r="D538" s="330"/>
      <c r="E538" s="330"/>
      <c r="F538" s="330"/>
      <c r="G538" s="330"/>
      <c r="H538" s="330"/>
      <c r="I538" s="330"/>
      <c r="J538" s="330"/>
      <c r="K538" s="330"/>
      <c r="L538" s="330"/>
      <c r="M538" s="330"/>
      <c r="N538" s="330"/>
      <c r="O538" s="330"/>
      <c r="P538" s="330"/>
      <c r="Q538" s="330"/>
      <c r="R538" s="330"/>
      <c r="S538" s="330"/>
    </row>
    <row r="539" spans="1:20" ht="23.25" customHeight="1">
      <c r="A539" s="330"/>
      <c r="B539" s="330"/>
      <c r="C539" s="330"/>
      <c r="D539" s="330"/>
      <c r="E539" s="330"/>
      <c r="F539" s="330"/>
      <c r="G539" s="330"/>
      <c r="H539" s="330"/>
      <c r="I539" s="330"/>
      <c r="J539" s="330"/>
      <c r="K539" s="330"/>
      <c r="L539" s="330"/>
      <c r="M539" s="330"/>
      <c r="N539" s="330"/>
      <c r="O539" s="330"/>
      <c r="P539" s="330"/>
      <c r="Q539" s="330"/>
      <c r="R539" s="330"/>
      <c r="S539" s="330"/>
    </row>
    <row r="540" spans="1:20" ht="23.25" customHeight="1">
      <c r="A540" s="330"/>
      <c r="B540" s="330"/>
      <c r="C540" s="330"/>
      <c r="D540" s="330"/>
      <c r="E540" s="330"/>
      <c r="F540" s="330"/>
      <c r="G540" s="330"/>
      <c r="H540" s="330"/>
      <c r="I540" s="330"/>
      <c r="J540" s="330"/>
      <c r="K540" s="330"/>
      <c r="L540" s="330"/>
      <c r="M540" s="330"/>
      <c r="N540" s="330"/>
      <c r="O540" s="330"/>
      <c r="P540" s="330"/>
      <c r="Q540" s="330"/>
      <c r="R540" s="330"/>
      <c r="S540" s="330"/>
    </row>
    <row r="541" spans="1:20">
      <c r="A541" s="330"/>
      <c r="B541" s="330"/>
      <c r="C541" s="330"/>
      <c r="D541" s="330"/>
      <c r="E541" s="330"/>
      <c r="F541" s="330"/>
      <c r="G541" s="330"/>
      <c r="H541" s="330"/>
      <c r="I541" s="330"/>
      <c r="J541" s="330"/>
      <c r="K541" s="330"/>
      <c r="L541" s="330"/>
      <c r="M541" s="330"/>
      <c r="N541" s="330"/>
      <c r="O541" s="330"/>
      <c r="P541" s="330"/>
      <c r="Q541" s="330"/>
      <c r="R541" s="330"/>
      <c r="S541" s="330"/>
    </row>
    <row r="542" spans="1:20">
      <c r="A542" s="330"/>
      <c r="B542" s="330"/>
      <c r="C542" s="330"/>
      <c r="D542" s="330"/>
      <c r="E542" s="330"/>
      <c r="F542" s="330"/>
      <c r="G542" s="330"/>
      <c r="H542" s="330"/>
      <c r="I542" s="330"/>
      <c r="J542" s="330"/>
      <c r="K542" s="330"/>
      <c r="L542" s="330"/>
      <c r="M542" s="330"/>
      <c r="N542" s="330"/>
      <c r="O542" s="330"/>
      <c r="P542" s="330"/>
      <c r="Q542" s="330"/>
      <c r="R542" s="330"/>
      <c r="S542" s="330"/>
    </row>
    <row r="543" spans="1:20">
      <c r="A543" s="330"/>
      <c r="B543" s="330"/>
      <c r="C543" s="330"/>
      <c r="D543" s="330"/>
      <c r="E543" s="330"/>
      <c r="F543" s="330"/>
      <c r="G543" s="330"/>
      <c r="H543" s="330"/>
      <c r="I543" s="330"/>
      <c r="J543" s="330"/>
      <c r="K543" s="330"/>
      <c r="L543" s="330"/>
      <c r="M543" s="330"/>
      <c r="N543" s="330"/>
      <c r="O543" s="330"/>
      <c r="P543" s="330"/>
      <c r="Q543" s="330"/>
      <c r="R543" s="330"/>
      <c r="S543" s="330"/>
    </row>
    <row r="544" spans="1:20">
      <c r="A544" s="330"/>
      <c r="B544" s="330"/>
      <c r="C544" s="330"/>
      <c r="D544" s="330"/>
      <c r="E544" s="330"/>
      <c r="F544" s="330"/>
      <c r="G544" s="330"/>
      <c r="H544" s="330"/>
      <c r="I544" s="330"/>
      <c r="J544" s="330"/>
      <c r="K544" s="330"/>
      <c r="L544" s="330"/>
      <c r="M544" s="330"/>
      <c r="N544" s="330"/>
      <c r="O544" s="330"/>
      <c r="P544" s="330"/>
      <c r="Q544" s="330"/>
      <c r="R544" s="330"/>
      <c r="S544" s="330"/>
    </row>
    <row r="545" spans="1:19">
      <c r="A545" s="330"/>
      <c r="B545" s="330"/>
      <c r="C545" s="330"/>
      <c r="D545" s="330"/>
      <c r="E545" s="330"/>
      <c r="F545" s="330"/>
      <c r="G545" s="330"/>
      <c r="H545" s="330"/>
      <c r="I545" s="330"/>
      <c r="J545" s="330"/>
      <c r="K545" s="330"/>
      <c r="L545" s="330"/>
      <c r="M545" s="330"/>
      <c r="N545" s="330"/>
      <c r="O545" s="330"/>
      <c r="P545" s="330"/>
      <c r="Q545" s="330"/>
      <c r="R545" s="330"/>
      <c r="S545" s="330"/>
    </row>
    <row r="546" spans="1:19">
      <c r="A546" s="330"/>
      <c r="B546" s="330"/>
      <c r="C546" s="330"/>
      <c r="D546" s="330"/>
      <c r="E546" s="330"/>
      <c r="F546" s="330"/>
      <c r="G546" s="330"/>
      <c r="H546" s="330"/>
      <c r="I546" s="330"/>
      <c r="J546" s="330"/>
      <c r="K546" s="330"/>
      <c r="L546" s="330"/>
      <c r="M546" s="330"/>
      <c r="N546" s="330"/>
      <c r="O546" s="330"/>
      <c r="P546" s="330"/>
      <c r="Q546" s="330"/>
      <c r="R546" s="330"/>
      <c r="S546" s="330"/>
    </row>
    <row r="547" spans="1:19" ht="15.75" thickBot="1">
      <c r="A547" s="330"/>
      <c r="B547" s="330"/>
      <c r="C547" s="330"/>
      <c r="D547" s="330"/>
      <c r="E547" s="330"/>
      <c r="F547" s="330"/>
      <c r="G547" s="330"/>
      <c r="H547" s="330"/>
      <c r="I547" s="330"/>
      <c r="J547" s="330"/>
      <c r="K547" s="330"/>
      <c r="L547" s="330"/>
      <c r="M547" s="330"/>
      <c r="N547" s="330"/>
      <c r="O547" s="330"/>
      <c r="P547" s="330"/>
      <c r="Q547" s="330"/>
      <c r="R547" s="330"/>
      <c r="S547" s="330"/>
    </row>
    <row r="548" spans="1:19" ht="26.25">
      <c r="A548" s="1116" t="s">
        <v>707</v>
      </c>
      <c r="B548" s="1117"/>
      <c r="C548" s="1117"/>
      <c r="D548" s="1117"/>
      <c r="E548" s="1117"/>
      <c r="F548" s="1117"/>
      <c r="G548" s="1117"/>
      <c r="H548" s="1117"/>
      <c r="I548" s="1118"/>
      <c r="J548" s="74"/>
      <c r="K548" s="1116" t="s">
        <v>707</v>
      </c>
      <c r="L548" s="1117"/>
      <c r="M548" s="1117"/>
      <c r="N548" s="1117"/>
      <c r="O548" s="1117"/>
      <c r="P548" s="1117"/>
      <c r="Q548" s="1117"/>
      <c r="R548" s="1117"/>
      <c r="S548" s="1118"/>
    </row>
    <row r="549" spans="1:19" ht="15.75" thickBot="1">
      <c r="A549" s="1119" t="s">
        <v>708</v>
      </c>
      <c r="B549" s="1120"/>
      <c r="C549" s="1120"/>
      <c r="D549" s="1120"/>
      <c r="E549" s="1120"/>
      <c r="F549" s="1120"/>
      <c r="G549" s="1120"/>
      <c r="H549" s="1120"/>
      <c r="I549" s="1121"/>
      <c r="J549" s="22"/>
      <c r="K549" s="1119" t="s">
        <v>708</v>
      </c>
      <c r="L549" s="1120"/>
      <c r="M549" s="1120"/>
      <c r="N549" s="1120"/>
      <c r="O549" s="1120"/>
      <c r="P549" s="1120"/>
      <c r="Q549" s="1120"/>
      <c r="R549" s="1120"/>
      <c r="S549" s="1121"/>
    </row>
    <row r="550" spans="1:19">
      <c r="A550" s="12"/>
      <c r="B550" s="330"/>
      <c r="C550" s="330"/>
      <c r="D550" s="330"/>
      <c r="E550" s="330"/>
      <c r="F550" s="330"/>
      <c r="G550" s="330"/>
      <c r="H550" s="330"/>
      <c r="I550" s="13"/>
      <c r="J550" s="330"/>
      <c r="K550" s="12"/>
      <c r="L550" s="330"/>
      <c r="M550" s="330"/>
      <c r="N550" s="330"/>
      <c r="O550" s="330"/>
      <c r="P550" s="330"/>
      <c r="Q550" s="330"/>
      <c r="R550" s="330"/>
      <c r="S550" s="13"/>
    </row>
    <row r="551" spans="1:19">
      <c r="A551" s="14" t="s">
        <v>49</v>
      </c>
      <c r="B551" s="3"/>
      <c r="C551" s="3"/>
      <c r="D551" s="6" t="s">
        <v>384</v>
      </c>
      <c r="E551" s="330"/>
      <c r="F551" s="330"/>
      <c r="G551" s="330"/>
      <c r="H551" s="330"/>
      <c r="I551" s="13"/>
      <c r="J551" s="330"/>
      <c r="K551" s="14" t="s">
        <v>49</v>
      </c>
      <c r="L551" s="3"/>
      <c r="M551" s="3"/>
      <c r="N551" s="6" t="str">
        <f>D551</f>
        <v>Burgeon IT Services Pvt.Ltd.</v>
      </c>
      <c r="O551" s="330"/>
      <c r="P551" s="330"/>
      <c r="Q551" s="330"/>
      <c r="R551" s="330"/>
      <c r="S551" s="13"/>
    </row>
    <row r="552" spans="1:19">
      <c r="A552" s="14"/>
      <c r="B552" s="3" t="s">
        <v>385</v>
      </c>
      <c r="C552" s="3"/>
      <c r="D552" s="3"/>
      <c r="E552" s="330"/>
      <c r="F552" s="330"/>
      <c r="G552" s="330"/>
      <c r="H552" s="330"/>
      <c r="I552" s="13"/>
      <c r="J552" s="330"/>
      <c r="K552" s="14"/>
      <c r="L552" s="3" t="str">
        <f>B552</f>
        <v>Siri Mansion LIGB 436 Dr.A S Rao Nagar,Hyderabad</v>
      </c>
      <c r="M552" s="3"/>
      <c r="N552" s="3"/>
      <c r="O552" s="330"/>
      <c r="P552" s="330"/>
      <c r="Q552" s="330"/>
      <c r="R552" s="330"/>
      <c r="S552" s="13"/>
    </row>
    <row r="553" spans="1:19">
      <c r="A553" s="14"/>
      <c r="B553" s="3">
        <f>'0422Master'!F889</f>
        <v>0</v>
      </c>
      <c r="C553" s="3"/>
      <c r="D553" s="3"/>
      <c r="E553" s="3"/>
      <c r="F553" s="330"/>
      <c r="G553" s="330"/>
      <c r="H553" s="330"/>
      <c r="I553" s="13"/>
      <c r="J553" s="330"/>
      <c r="K553" s="14"/>
      <c r="L553" s="3">
        <f>B553</f>
        <v>0</v>
      </c>
      <c r="M553" s="3"/>
      <c r="N553" s="3"/>
      <c r="O553" s="3"/>
      <c r="P553" s="330"/>
      <c r="Q553" s="330"/>
      <c r="R553" s="330"/>
      <c r="S553" s="13"/>
    </row>
    <row r="554" spans="1:19">
      <c r="A554" s="1113" t="s">
        <v>50</v>
      </c>
      <c r="B554" s="1114"/>
      <c r="C554" s="1114"/>
      <c r="D554" s="1114"/>
      <c r="E554" s="3"/>
      <c r="F554" s="330"/>
      <c r="G554" s="330"/>
      <c r="H554" s="330"/>
      <c r="I554" s="13"/>
      <c r="J554" s="330"/>
      <c r="K554" s="1113" t="s">
        <v>50</v>
      </c>
      <c r="L554" s="1114"/>
      <c r="M554" s="1114"/>
      <c r="N554" s="1114"/>
      <c r="O554" s="3"/>
      <c r="P554" s="330"/>
      <c r="Q554" s="330"/>
      <c r="R554" s="330"/>
      <c r="S554" s="13"/>
    </row>
    <row r="555" spans="1:19">
      <c r="A555" s="1113"/>
      <c r="B555" s="1114"/>
      <c r="C555" s="1114"/>
      <c r="D555" s="1114"/>
      <c r="E555" s="15" t="str">
        <f>'0422Master'!B28</f>
        <v>Asita Kumar Sahoo</v>
      </c>
      <c r="F555" s="16"/>
      <c r="G555" s="16"/>
      <c r="H555" s="16" t="str">
        <f>'0422Master'!E28</f>
        <v>Dambarudar Sahoo</v>
      </c>
      <c r="I555" s="13"/>
      <c r="J555" s="330"/>
      <c r="K555" s="1113"/>
      <c r="L555" s="1114"/>
      <c r="M555" s="1114"/>
      <c r="N555" s="1114"/>
      <c r="O555" s="15" t="str">
        <f>E555</f>
        <v>Asita Kumar Sahoo</v>
      </c>
      <c r="P555" s="16"/>
      <c r="Q555" s="16"/>
      <c r="R555" s="16" t="str">
        <f>H555</f>
        <v>Dambarudar Sahoo</v>
      </c>
      <c r="S555" s="13"/>
    </row>
    <row r="556" spans="1:19">
      <c r="A556" s="14"/>
      <c r="B556" s="3"/>
      <c r="C556" s="3"/>
      <c r="D556" s="3"/>
      <c r="E556" s="3"/>
      <c r="F556" s="330"/>
      <c r="G556" s="330"/>
      <c r="H556" s="330"/>
      <c r="I556" s="13"/>
      <c r="J556" s="330"/>
      <c r="K556" s="14"/>
      <c r="L556" s="3"/>
      <c r="M556" s="3"/>
      <c r="N556" s="3"/>
      <c r="O556" s="3"/>
      <c r="P556" s="330"/>
      <c r="Q556" s="330"/>
      <c r="R556" s="330"/>
      <c r="S556" s="13"/>
    </row>
    <row r="557" spans="1:19">
      <c r="A557" s="1115" t="s">
        <v>51</v>
      </c>
      <c r="B557" s="1112"/>
      <c r="C557" s="1112"/>
      <c r="D557" s="1112"/>
      <c r="E557" s="15" t="s">
        <v>374</v>
      </c>
      <c r="F557" s="16"/>
      <c r="G557" s="16"/>
      <c r="H557" s="16"/>
      <c r="I557" s="13"/>
      <c r="J557" s="330"/>
      <c r="K557" s="1115" t="s">
        <v>51</v>
      </c>
      <c r="L557" s="1112"/>
      <c r="M557" s="1112"/>
      <c r="N557" s="1112"/>
      <c r="O557" s="15" t="str">
        <f>E557</f>
        <v>IT SUPPORTIVE SERVICES</v>
      </c>
      <c r="P557" s="16"/>
      <c r="Q557" s="16"/>
      <c r="R557" s="16"/>
      <c r="S557" s="13"/>
    </row>
    <row r="558" spans="1:19">
      <c r="A558" s="14"/>
      <c r="B558" s="3"/>
      <c r="C558" s="3"/>
      <c r="D558" s="3"/>
      <c r="E558" s="3"/>
      <c r="F558" s="330"/>
      <c r="G558" s="330"/>
      <c r="H558" s="330"/>
      <c r="I558" s="13"/>
      <c r="J558" s="330"/>
      <c r="K558" s="14"/>
      <c r="L558" s="3"/>
      <c r="M558" s="3"/>
      <c r="N558" s="3"/>
      <c r="O558" s="3"/>
      <c r="P558" s="330"/>
      <c r="Q558" s="330"/>
      <c r="R558" s="330"/>
      <c r="S558" s="13"/>
    </row>
    <row r="559" spans="1:19">
      <c r="A559" s="1115" t="s">
        <v>52</v>
      </c>
      <c r="B559" s="1112"/>
      <c r="C559" s="1112"/>
      <c r="D559" s="1112"/>
      <c r="E559" s="17">
        <f>'0422Master'!D10</f>
        <v>44652</v>
      </c>
      <c r="F559" s="16"/>
      <c r="G559" s="16"/>
      <c r="H559" s="16"/>
      <c r="I559" s="13"/>
      <c r="J559" s="330"/>
      <c r="K559" s="1115" t="s">
        <v>52</v>
      </c>
      <c r="L559" s="1112"/>
      <c r="M559" s="1112"/>
      <c r="N559" s="1112"/>
      <c r="O559" s="17">
        <f>E559</f>
        <v>44652</v>
      </c>
      <c r="P559" s="16"/>
      <c r="Q559" s="16"/>
      <c r="R559" s="16"/>
      <c r="S559" s="13"/>
    </row>
    <row r="560" spans="1:19">
      <c r="A560" s="14"/>
      <c r="B560" s="3"/>
      <c r="C560" s="3"/>
      <c r="D560" s="3"/>
      <c r="E560" s="3"/>
      <c r="F560" s="330"/>
      <c r="G560" s="330"/>
      <c r="H560" s="330"/>
      <c r="I560" s="13"/>
      <c r="J560" s="330"/>
      <c r="K560" s="14"/>
      <c r="L560" s="3"/>
      <c r="M560" s="3"/>
      <c r="N560" s="3"/>
      <c r="O560" s="3"/>
      <c r="P560" s="330"/>
      <c r="Q560" s="330"/>
      <c r="R560" s="330"/>
      <c r="S560" s="13"/>
    </row>
    <row r="561" spans="1:20">
      <c r="A561" s="18">
        <v>1</v>
      </c>
      <c r="B561" s="1112" t="s">
        <v>53</v>
      </c>
      <c r="C561" s="1112"/>
      <c r="D561" s="1112"/>
      <c r="E561" s="19">
        <f>'0422Master'!W28</f>
        <v>30</v>
      </c>
      <c r="F561" s="16"/>
      <c r="G561" s="16"/>
      <c r="H561" s="16"/>
      <c r="I561" s="13"/>
      <c r="J561" s="330"/>
      <c r="K561" s="18">
        <v>1</v>
      </c>
      <c r="L561" s="1112" t="s">
        <v>53</v>
      </c>
      <c r="M561" s="1112"/>
      <c r="N561" s="1112"/>
      <c r="O561" s="19">
        <f>E561</f>
        <v>30</v>
      </c>
      <c r="P561" s="16"/>
      <c r="Q561" s="16"/>
      <c r="R561" s="16"/>
      <c r="S561" s="13"/>
    </row>
    <row r="562" spans="1:20">
      <c r="A562" s="18"/>
      <c r="B562" s="3"/>
      <c r="C562" s="3"/>
      <c r="D562" s="3"/>
      <c r="E562" s="3"/>
      <c r="F562" s="330"/>
      <c r="G562" s="330"/>
      <c r="H562" s="330"/>
      <c r="I562" s="13"/>
      <c r="J562" s="330"/>
      <c r="K562" s="18"/>
      <c r="L562" s="3"/>
      <c r="M562" s="3"/>
      <c r="N562" s="3"/>
      <c r="O562" s="3"/>
      <c r="P562" s="330"/>
      <c r="Q562" s="330"/>
      <c r="R562" s="330"/>
      <c r="S562" s="13"/>
    </row>
    <row r="563" spans="1:20">
      <c r="A563" s="18">
        <v>2</v>
      </c>
      <c r="B563" s="1114" t="s">
        <v>54</v>
      </c>
      <c r="C563" s="1114"/>
      <c r="D563" s="1114"/>
      <c r="E563" s="3"/>
      <c r="F563" s="330"/>
      <c r="G563" s="330"/>
      <c r="H563" s="330"/>
      <c r="I563" s="13"/>
      <c r="J563" s="330"/>
      <c r="K563" s="18">
        <v>2</v>
      </c>
      <c r="L563" s="1114" t="s">
        <v>54</v>
      </c>
      <c r="M563" s="1114"/>
      <c r="N563" s="1114"/>
      <c r="O563" s="3"/>
      <c r="P563" s="330"/>
      <c r="Q563" s="330"/>
      <c r="R563" s="330"/>
      <c r="S563" s="13"/>
    </row>
    <row r="564" spans="1:20">
      <c r="A564" s="18"/>
      <c r="B564" s="1114"/>
      <c r="C564" s="1114"/>
      <c r="D564" s="1114"/>
      <c r="E564" s="20" t="s">
        <v>37</v>
      </c>
      <c r="F564" s="16"/>
      <c r="G564" s="16"/>
      <c r="H564" s="16"/>
      <c r="I564" s="13"/>
      <c r="J564" s="330"/>
      <c r="K564" s="18"/>
      <c r="L564" s="1114"/>
      <c r="M564" s="1114"/>
      <c r="N564" s="1114"/>
      <c r="O564" s="20" t="s">
        <v>37</v>
      </c>
      <c r="P564" s="16"/>
      <c r="Q564" s="16"/>
      <c r="R564" s="16"/>
      <c r="S564" s="13"/>
    </row>
    <row r="565" spans="1:20">
      <c r="A565" s="18"/>
      <c r="B565" s="3"/>
      <c r="C565" s="3"/>
      <c r="D565" s="3"/>
      <c r="E565" s="3"/>
      <c r="F565" s="330"/>
      <c r="G565" s="330"/>
      <c r="H565" s="330"/>
      <c r="I565" s="13"/>
      <c r="J565" s="330"/>
      <c r="K565" s="18"/>
      <c r="L565" s="3"/>
      <c r="M565" s="3"/>
      <c r="N565" s="3"/>
      <c r="O565" s="3"/>
      <c r="P565" s="330"/>
      <c r="Q565" s="330"/>
      <c r="R565" s="330"/>
      <c r="S565" s="13"/>
    </row>
    <row r="566" spans="1:20">
      <c r="A566" s="18">
        <v>3</v>
      </c>
      <c r="B566" s="1112" t="s">
        <v>55</v>
      </c>
      <c r="C566" s="1112"/>
      <c r="D566" s="1112"/>
      <c r="E566" s="20" t="s">
        <v>37</v>
      </c>
      <c r="F566" s="16"/>
      <c r="G566" s="16"/>
      <c r="H566" s="16"/>
      <c r="I566" s="13"/>
      <c r="J566" s="330"/>
      <c r="K566" s="18">
        <v>3</v>
      </c>
      <c r="L566" s="1112" t="s">
        <v>55</v>
      </c>
      <c r="M566" s="1112"/>
      <c r="N566" s="1112"/>
      <c r="O566" s="15" t="str">
        <f>E566</f>
        <v>N/A</v>
      </c>
      <c r="P566" s="16"/>
      <c r="Q566" s="16"/>
      <c r="R566" s="16"/>
      <c r="S566" s="13"/>
    </row>
    <row r="567" spans="1:20">
      <c r="A567" s="18"/>
      <c r="B567" s="3"/>
      <c r="C567" s="3"/>
      <c r="D567" s="3"/>
      <c r="E567" s="3"/>
      <c r="F567" s="330"/>
      <c r="G567" s="330"/>
      <c r="H567" s="330"/>
      <c r="I567" s="13"/>
      <c r="J567" s="330"/>
      <c r="K567" s="18"/>
      <c r="L567" s="3"/>
      <c r="M567" s="3"/>
      <c r="N567" s="3"/>
      <c r="O567" s="3"/>
      <c r="P567" s="330"/>
      <c r="Q567" s="330"/>
      <c r="R567" s="330"/>
      <c r="S567" s="13"/>
    </row>
    <row r="568" spans="1:20">
      <c r="A568" s="18">
        <v>4</v>
      </c>
      <c r="B568" s="1112" t="s">
        <v>56</v>
      </c>
      <c r="C568" s="1112"/>
      <c r="D568" s="1112"/>
      <c r="E568" s="20" t="s">
        <v>57</v>
      </c>
      <c r="F568" s="16"/>
      <c r="G568" s="16"/>
      <c r="H568" s="16"/>
      <c r="I568" s="13"/>
      <c r="J568" s="330"/>
      <c r="K568" s="18">
        <v>4</v>
      </c>
      <c r="L568" s="1112" t="s">
        <v>56</v>
      </c>
      <c r="M568" s="1112"/>
      <c r="N568" s="1112"/>
      <c r="O568" s="20" t="s">
        <v>57</v>
      </c>
      <c r="P568" s="16"/>
      <c r="Q568" s="16"/>
      <c r="R568" s="16"/>
      <c r="S568" s="13"/>
    </row>
    <row r="569" spans="1:20">
      <c r="A569" s="18"/>
      <c r="B569" s="3"/>
      <c r="C569" s="3"/>
      <c r="D569" s="3"/>
      <c r="E569" s="3"/>
      <c r="F569" s="330"/>
      <c r="G569" s="330"/>
      <c r="H569" s="330"/>
      <c r="I569" s="13"/>
      <c r="J569" s="330"/>
      <c r="K569" s="18"/>
      <c r="L569" s="3"/>
      <c r="M569" s="3"/>
      <c r="N569" s="3"/>
      <c r="O569" s="3"/>
      <c r="P569" s="330"/>
      <c r="Q569" s="330"/>
      <c r="R569" s="330"/>
      <c r="S569" s="13"/>
    </row>
    <row r="570" spans="1:20">
      <c r="A570" s="18">
        <v>5</v>
      </c>
      <c r="B570" s="1112" t="s">
        <v>58</v>
      </c>
      <c r="C570" s="1112"/>
      <c r="D570" s="1112"/>
      <c r="E570" s="274">
        <f>'0422Master'!AM28</f>
        <v>58276.47206</v>
      </c>
      <c r="F570" s="330"/>
      <c r="G570" s="330"/>
      <c r="H570" s="330"/>
      <c r="I570" s="13"/>
      <c r="J570" s="330"/>
      <c r="K570" s="18">
        <v>5</v>
      </c>
      <c r="L570" s="1112" t="s">
        <v>58</v>
      </c>
      <c r="M570" s="1112"/>
      <c r="N570" s="1112"/>
      <c r="O570" s="274">
        <f>E570</f>
        <v>58276.47206</v>
      </c>
      <c r="P570" s="330"/>
      <c r="Q570" s="330"/>
      <c r="R570" s="330"/>
      <c r="S570" s="13"/>
    </row>
    <row r="571" spans="1:20">
      <c r="A571" s="18"/>
      <c r="B571" s="3"/>
      <c r="C571" s="3"/>
      <c r="D571" s="275" t="s">
        <v>59</v>
      </c>
      <c r="E571" s="275" t="s">
        <v>31</v>
      </c>
      <c r="F571" s="275" t="s">
        <v>33</v>
      </c>
      <c r="G571" s="275" t="s">
        <v>34</v>
      </c>
      <c r="H571" s="275" t="s">
        <v>378</v>
      </c>
      <c r="I571" s="273" t="s">
        <v>379</v>
      </c>
      <c r="J571" s="330"/>
      <c r="K571" s="18"/>
      <c r="L571" s="3"/>
      <c r="M571" s="3"/>
      <c r="N571" s="275" t="s">
        <v>59</v>
      </c>
      <c r="O571" s="275" t="s">
        <v>31</v>
      </c>
      <c r="P571" s="275" t="s">
        <v>33</v>
      </c>
      <c r="Q571" s="275" t="s">
        <v>34</v>
      </c>
      <c r="R571" s="275" t="s">
        <v>378</v>
      </c>
      <c r="S571" s="273" t="s">
        <v>379</v>
      </c>
    </row>
    <row r="572" spans="1:20">
      <c r="A572" s="18">
        <v>6</v>
      </c>
      <c r="B572" s="565" t="s">
        <v>60</v>
      </c>
      <c r="C572" s="565"/>
      <c r="D572" s="276">
        <f>'0422Master'!AO28</f>
        <v>1800</v>
      </c>
      <c r="E572" s="276">
        <f>'0422Master'!AN900</f>
        <v>0</v>
      </c>
      <c r="F572" s="277">
        <f>'0422Master'!AP28</f>
        <v>200</v>
      </c>
      <c r="G572" s="276">
        <f>'0422Master'!AQ28</f>
        <v>0</v>
      </c>
      <c r="H572" s="277">
        <f>'0422Master'!AR28</f>
        <v>283</v>
      </c>
      <c r="I572" s="277">
        <f>'0422Master'!AS900</f>
        <v>0</v>
      </c>
      <c r="J572" s="330"/>
      <c r="K572" s="18">
        <v>6</v>
      </c>
      <c r="L572" s="565" t="s">
        <v>60</v>
      </c>
      <c r="M572" s="565"/>
      <c r="N572" s="276">
        <f t="shared" ref="N572" si="32">D572</f>
        <v>1800</v>
      </c>
      <c r="O572" s="276">
        <f t="shared" ref="O572" si="33">E572</f>
        <v>0</v>
      </c>
      <c r="P572" s="277">
        <f t="shared" ref="P572" si="34">F572</f>
        <v>200</v>
      </c>
      <c r="Q572" s="276">
        <f t="shared" ref="Q572" si="35">G572</f>
        <v>0</v>
      </c>
      <c r="R572" s="277">
        <f t="shared" ref="R572" si="36">H572</f>
        <v>283</v>
      </c>
      <c r="S572" s="277">
        <f t="shared" ref="S572" si="37">I572</f>
        <v>0</v>
      </c>
    </row>
    <row r="573" spans="1:20">
      <c r="A573" s="18"/>
      <c r="B573" s="3"/>
      <c r="C573" s="3"/>
      <c r="D573" s="3"/>
      <c r="E573" s="3"/>
      <c r="F573" s="330"/>
      <c r="G573" s="330"/>
      <c r="H573" s="330"/>
      <c r="I573" s="13"/>
      <c r="J573" s="330"/>
      <c r="K573" s="18"/>
      <c r="L573" s="3"/>
      <c r="M573" s="3"/>
      <c r="N573" s="3"/>
      <c r="O573" s="3"/>
      <c r="P573" s="330"/>
      <c r="Q573" s="330"/>
      <c r="R573" s="330"/>
      <c r="S573" s="13"/>
    </row>
    <row r="574" spans="1:20">
      <c r="A574" s="18">
        <v>7</v>
      </c>
      <c r="B574" s="1112" t="s">
        <v>61</v>
      </c>
      <c r="C574" s="1112"/>
      <c r="D574" s="1112"/>
      <c r="E574" s="21">
        <f>E570-D572-F572-G572-H572</f>
        <v>55993.47206</v>
      </c>
      <c r="F574" s="16"/>
      <c r="G574" s="16"/>
      <c r="H574" s="16"/>
      <c r="I574" s="13"/>
      <c r="J574" s="330"/>
      <c r="K574" s="18">
        <v>7</v>
      </c>
      <c r="L574" s="1112" t="s">
        <v>61</v>
      </c>
      <c r="M574" s="1112"/>
      <c r="N574" s="1112"/>
      <c r="O574" s="21">
        <f>E574</f>
        <v>55993.47206</v>
      </c>
      <c r="P574" s="16"/>
      <c r="Q574" s="16"/>
      <c r="R574" s="16"/>
      <c r="S574" s="13"/>
      <c r="T574">
        <v>14</v>
      </c>
    </row>
    <row r="575" spans="1:20">
      <c r="A575" s="12"/>
      <c r="B575" s="330"/>
      <c r="C575" s="330"/>
      <c r="D575" s="330"/>
      <c r="E575" s="330"/>
      <c r="F575" s="330"/>
      <c r="G575" s="330"/>
      <c r="H575" s="330"/>
      <c r="I575" s="13"/>
      <c r="J575" s="330"/>
      <c r="K575" s="12"/>
      <c r="L575" s="330"/>
      <c r="M575" s="330"/>
      <c r="N575" s="330"/>
      <c r="O575" s="330"/>
      <c r="P575" s="330"/>
      <c r="Q575" s="330"/>
      <c r="R575" s="330"/>
      <c r="S575" s="13"/>
    </row>
    <row r="576" spans="1:20">
      <c r="A576" s="12"/>
      <c r="B576" s="330"/>
      <c r="C576" s="330"/>
      <c r="D576" s="330"/>
      <c r="E576" s="330"/>
      <c r="F576" s="330"/>
      <c r="G576" s="330"/>
      <c r="H576" s="330"/>
      <c r="I576" s="13"/>
      <c r="J576" s="330"/>
      <c r="K576" s="12"/>
      <c r="L576" s="330"/>
      <c r="M576" s="330"/>
      <c r="N576" s="330"/>
      <c r="O576" s="330"/>
      <c r="P576" s="330"/>
      <c r="Q576" s="330"/>
      <c r="R576" s="330"/>
      <c r="S576" s="13"/>
    </row>
    <row r="577" spans="1:19" ht="15.75" thickBot="1">
      <c r="A577" s="12"/>
      <c r="B577" s="330"/>
      <c r="C577" s="330"/>
      <c r="D577" s="330"/>
      <c r="E577" s="330"/>
      <c r="F577" s="22"/>
      <c r="G577" s="22"/>
      <c r="H577" s="22"/>
      <c r="I577" s="23"/>
      <c r="J577" s="330"/>
      <c r="K577" s="12"/>
      <c r="L577" s="330"/>
      <c r="M577" s="330"/>
      <c r="N577" s="330"/>
      <c r="O577" s="330"/>
      <c r="P577" s="22"/>
      <c r="Q577" s="22"/>
      <c r="R577" s="22"/>
      <c r="S577" s="23"/>
    </row>
    <row r="578" spans="1:19" ht="15.75" thickBot="1">
      <c r="A578" s="24"/>
      <c r="B578" s="22"/>
      <c r="C578" s="22"/>
      <c r="D578" s="22"/>
      <c r="E578" s="22"/>
      <c r="F578" s="1110" t="s">
        <v>62</v>
      </c>
      <c r="G578" s="1110"/>
      <c r="H578" s="1110"/>
      <c r="I578" s="1111"/>
      <c r="J578" s="330"/>
      <c r="K578" s="24"/>
      <c r="L578" s="22"/>
      <c r="M578" s="22"/>
      <c r="N578" s="22"/>
      <c r="O578" s="22"/>
      <c r="P578" s="1110" t="s">
        <v>62</v>
      </c>
      <c r="Q578" s="1110"/>
      <c r="R578" s="1110"/>
      <c r="S578" s="1111"/>
    </row>
    <row r="579" spans="1:19" s="810" customFormat="1"/>
    <row r="580" spans="1:19" s="810" customFormat="1"/>
    <row r="581" spans="1:19" s="810" customFormat="1"/>
    <row r="582" spans="1:19" s="810" customFormat="1"/>
    <row r="583" spans="1:19" s="810" customFormat="1" ht="23.25" customHeight="1"/>
    <row r="584" spans="1:19" s="810" customFormat="1" ht="23.25" customHeight="1"/>
    <row r="585" spans="1:19" ht="23.25" customHeight="1">
      <c r="A585" s="330"/>
      <c r="B585" s="330"/>
      <c r="C585" s="330"/>
      <c r="D585" s="330"/>
      <c r="E585" s="330"/>
      <c r="F585" s="330"/>
      <c r="G585" s="330"/>
      <c r="H585" s="330"/>
      <c r="I585" s="330"/>
      <c r="J585" s="330"/>
      <c r="K585" s="330"/>
      <c r="L585" s="330"/>
      <c r="M585" s="330"/>
      <c r="N585" s="330"/>
      <c r="O585" s="330"/>
      <c r="P585" s="330"/>
      <c r="Q585" s="330"/>
      <c r="R585" s="330"/>
      <c r="S585" s="330"/>
    </row>
    <row r="586" spans="1:19" ht="23.25" customHeight="1">
      <c r="A586" s="330"/>
      <c r="B586" s="330"/>
      <c r="C586" s="330"/>
      <c r="D586" s="330"/>
      <c r="E586" s="330"/>
      <c r="F586" s="330"/>
      <c r="G586" s="330"/>
      <c r="H586" s="330"/>
      <c r="I586" s="330"/>
      <c r="J586" s="330"/>
      <c r="K586" s="330"/>
      <c r="L586" s="330"/>
      <c r="M586" s="330"/>
      <c r="N586" s="330"/>
      <c r="O586" s="330"/>
      <c r="P586" s="330"/>
      <c r="Q586" s="330"/>
      <c r="R586" s="330"/>
      <c r="S586" s="330"/>
    </row>
    <row r="587" spans="1:19" ht="23.25" customHeight="1">
      <c r="A587" s="330"/>
      <c r="B587" s="330"/>
      <c r="C587" s="330"/>
      <c r="D587" s="330"/>
      <c r="E587" s="330"/>
      <c r="F587" s="330"/>
      <c r="G587" s="330"/>
      <c r="H587" s="330"/>
      <c r="I587" s="330"/>
      <c r="J587" s="330"/>
      <c r="K587" s="330"/>
      <c r="L587" s="330"/>
      <c r="M587" s="330"/>
      <c r="N587" s="330"/>
      <c r="O587" s="330"/>
      <c r="P587" s="330"/>
      <c r="Q587" s="330"/>
      <c r="R587" s="330"/>
      <c r="S587" s="330"/>
    </row>
    <row r="588" spans="1:19" ht="23.25" customHeight="1">
      <c r="A588" s="330"/>
      <c r="B588" s="330"/>
      <c r="C588" s="330"/>
      <c r="D588" s="330"/>
      <c r="E588" s="330"/>
      <c r="F588" s="330"/>
      <c r="G588" s="330"/>
      <c r="H588" s="330"/>
      <c r="I588" s="330"/>
      <c r="J588" s="330"/>
      <c r="K588" s="330"/>
      <c r="L588" s="330"/>
      <c r="M588" s="330"/>
      <c r="N588" s="330"/>
      <c r="O588" s="330"/>
      <c r="P588" s="330"/>
      <c r="Q588" s="330"/>
      <c r="R588" s="330"/>
      <c r="S588" s="330"/>
    </row>
    <row r="589" spans="1:19" ht="23.25" customHeight="1">
      <c r="A589" s="330"/>
      <c r="B589" s="330"/>
      <c r="C589" s="330"/>
      <c r="D589" s="330"/>
      <c r="E589" s="330"/>
      <c r="F589" s="330"/>
      <c r="G589" s="330"/>
      <c r="H589" s="330"/>
      <c r="I589" s="330"/>
      <c r="J589" s="330"/>
      <c r="K589" s="330"/>
      <c r="L589" s="330"/>
      <c r="M589" s="330"/>
      <c r="N589" s="330"/>
      <c r="O589" s="330"/>
      <c r="P589" s="330"/>
      <c r="Q589" s="330"/>
      <c r="R589" s="330"/>
      <c r="S589" s="330"/>
    </row>
    <row r="590" spans="1:19">
      <c r="A590" s="330"/>
      <c r="B590" s="330"/>
      <c r="C590" s="330"/>
      <c r="D590" s="330"/>
      <c r="E590" s="330"/>
      <c r="F590" s="330"/>
      <c r="G590" s="330"/>
      <c r="H590" s="330"/>
      <c r="I590" s="330"/>
      <c r="J590" s="330"/>
      <c r="K590" s="330"/>
      <c r="L590" s="330"/>
      <c r="M590" s="330"/>
      <c r="N590" s="330"/>
      <c r="O590" s="330"/>
      <c r="P590" s="330"/>
      <c r="Q590" s="330"/>
      <c r="R590" s="330"/>
      <c r="S590" s="330"/>
    </row>
    <row r="591" spans="1:19">
      <c r="A591" s="330"/>
      <c r="B591" s="330"/>
      <c r="C591" s="330"/>
      <c r="D591" s="330"/>
      <c r="E591" s="330"/>
      <c r="F591" s="330"/>
      <c r="G591" s="330"/>
      <c r="H591" s="330"/>
      <c r="I591" s="330"/>
      <c r="J591" s="330"/>
      <c r="K591" s="330"/>
      <c r="L591" s="330"/>
      <c r="M591" s="330"/>
      <c r="N591" s="330"/>
      <c r="O591" s="330"/>
      <c r="P591" s="330"/>
      <c r="Q591" s="330"/>
      <c r="R591" s="330"/>
      <c r="S591" s="330"/>
    </row>
    <row r="592" spans="1:19" ht="15.75" thickBot="1">
      <c r="A592" s="330"/>
      <c r="B592" s="330"/>
      <c r="C592" s="330"/>
      <c r="D592" s="330"/>
      <c r="E592" s="330"/>
      <c r="F592" s="330"/>
      <c r="G592" s="330"/>
      <c r="H592" s="330"/>
      <c r="I592" s="330"/>
      <c r="J592" s="330"/>
      <c r="K592" s="330"/>
      <c r="L592" s="330"/>
      <c r="M592" s="330"/>
      <c r="N592" s="330"/>
      <c r="O592" s="330"/>
      <c r="P592" s="330"/>
      <c r="Q592" s="330"/>
      <c r="R592" s="330"/>
      <c r="S592" s="330"/>
    </row>
    <row r="593" spans="1:19" ht="26.25">
      <c r="A593" s="1116" t="s">
        <v>707</v>
      </c>
      <c r="B593" s="1117"/>
      <c r="C593" s="1117"/>
      <c r="D593" s="1117"/>
      <c r="E593" s="1117"/>
      <c r="F593" s="1117"/>
      <c r="G593" s="1117"/>
      <c r="H593" s="1117"/>
      <c r="I593" s="1118"/>
      <c r="J593" s="74"/>
      <c r="K593" s="1116" t="s">
        <v>707</v>
      </c>
      <c r="L593" s="1117"/>
      <c r="M593" s="1117"/>
      <c r="N593" s="1117"/>
      <c r="O593" s="1117"/>
      <c r="P593" s="1117"/>
      <c r="Q593" s="1117"/>
      <c r="R593" s="1117"/>
      <c r="S593" s="1118"/>
    </row>
    <row r="594" spans="1:19" ht="15.75" thickBot="1">
      <c r="A594" s="1119" t="s">
        <v>708</v>
      </c>
      <c r="B594" s="1120"/>
      <c r="C594" s="1120"/>
      <c r="D594" s="1120"/>
      <c r="E594" s="1120"/>
      <c r="F594" s="1120"/>
      <c r="G594" s="1120"/>
      <c r="H594" s="1120"/>
      <c r="I594" s="1121"/>
      <c r="J594" s="22"/>
      <c r="K594" s="1119" t="s">
        <v>708</v>
      </c>
      <c r="L594" s="1120"/>
      <c r="M594" s="1120"/>
      <c r="N594" s="1120"/>
      <c r="O594" s="1120"/>
      <c r="P594" s="1120"/>
      <c r="Q594" s="1120"/>
      <c r="R594" s="1120"/>
      <c r="S594" s="1121"/>
    </row>
    <row r="595" spans="1:19">
      <c r="A595" s="12"/>
      <c r="B595" s="330"/>
      <c r="C595" s="330"/>
      <c r="D595" s="330"/>
      <c r="E595" s="330"/>
      <c r="F595" s="330"/>
      <c r="G595" s="330"/>
      <c r="H595" s="330"/>
      <c r="I595" s="13"/>
      <c r="J595" s="330"/>
      <c r="K595" s="12"/>
      <c r="L595" s="330"/>
      <c r="M595" s="330"/>
      <c r="N595" s="330"/>
      <c r="O595" s="330"/>
      <c r="P595" s="330"/>
      <c r="Q595" s="330"/>
      <c r="R595" s="330"/>
      <c r="S595" s="13"/>
    </row>
    <row r="596" spans="1:19">
      <c r="A596" s="14" t="s">
        <v>49</v>
      </c>
      <c r="B596" s="3"/>
      <c r="C596" s="3"/>
      <c r="D596" s="6" t="s">
        <v>384</v>
      </c>
      <c r="E596" s="330"/>
      <c r="F596" s="330"/>
      <c r="G596" s="330"/>
      <c r="H596" s="330"/>
      <c r="I596" s="13"/>
      <c r="J596" s="330"/>
      <c r="K596" s="14" t="s">
        <v>49</v>
      </c>
      <c r="L596" s="3"/>
      <c r="M596" s="3"/>
      <c r="N596" s="6" t="str">
        <f>D596</f>
        <v>Burgeon IT Services Pvt.Ltd.</v>
      </c>
      <c r="O596" s="330"/>
      <c r="P596" s="330"/>
      <c r="Q596" s="330"/>
      <c r="R596" s="330"/>
      <c r="S596" s="13"/>
    </row>
    <row r="597" spans="1:19">
      <c r="A597" s="14"/>
      <c r="B597" s="3" t="s">
        <v>385</v>
      </c>
      <c r="C597" s="3"/>
      <c r="D597" s="3"/>
      <c r="E597" s="330"/>
      <c r="F597" s="330"/>
      <c r="G597" s="330"/>
      <c r="H597" s="330"/>
      <c r="I597" s="13"/>
      <c r="J597" s="330"/>
      <c r="K597" s="14"/>
      <c r="L597" s="3" t="str">
        <f>B597</f>
        <v>Siri Mansion LIGB 436 Dr.A S Rao Nagar,Hyderabad</v>
      </c>
      <c r="M597" s="3"/>
      <c r="N597" s="3"/>
      <c r="O597" s="330"/>
      <c r="P597" s="330"/>
      <c r="Q597" s="330"/>
      <c r="R597" s="330"/>
      <c r="S597" s="13"/>
    </row>
    <row r="598" spans="1:19">
      <c r="A598" s="14"/>
      <c r="B598" s="3">
        <f>'0422Master'!F934</f>
        <v>0</v>
      </c>
      <c r="C598" s="3"/>
      <c r="D598" s="3"/>
      <c r="E598" s="3"/>
      <c r="F598" s="330"/>
      <c r="G598" s="330"/>
      <c r="H598" s="330"/>
      <c r="I598" s="13"/>
      <c r="J598" s="330"/>
      <c r="K598" s="14"/>
      <c r="L598" s="3">
        <f>B598</f>
        <v>0</v>
      </c>
      <c r="M598" s="3"/>
      <c r="N598" s="3"/>
      <c r="O598" s="3"/>
      <c r="P598" s="330"/>
      <c r="Q598" s="330"/>
      <c r="R598" s="330"/>
      <c r="S598" s="13"/>
    </row>
    <row r="599" spans="1:19">
      <c r="A599" s="1113" t="s">
        <v>50</v>
      </c>
      <c r="B599" s="1114"/>
      <c r="C599" s="1114"/>
      <c r="D599" s="1114"/>
      <c r="E599" s="3"/>
      <c r="F599" s="330"/>
      <c r="G599" s="330"/>
      <c r="H599" s="330"/>
      <c r="I599" s="13"/>
      <c r="J599" s="330"/>
      <c r="K599" s="1113" t="s">
        <v>50</v>
      </c>
      <c r="L599" s="1114"/>
      <c r="M599" s="1114"/>
      <c r="N599" s="1114"/>
      <c r="O599" s="3"/>
      <c r="P599" s="330"/>
      <c r="Q599" s="330"/>
      <c r="R599" s="330"/>
      <c r="S599" s="13"/>
    </row>
    <row r="600" spans="1:19">
      <c r="A600" s="1113"/>
      <c r="B600" s="1114"/>
      <c r="C600" s="1114"/>
      <c r="D600" s="1114"/>
      <c r="E600" s="15" t="str">
        <f>'0422Master'!B29</f>
        <v>Arun Arra</v>
      </c>
      <c r="F600" s="16"/>
      <c r="G600" s="16"/>
      <c r="H600" s="16" t="str">
        <f>'0422Master'!E29</f>
        <v>Anjam Raju</v>
      </c>
      <c r="I600" s="13"/>
      <c r="J600" s="330"/>
      <c r="K600" s="1113"/>
      <c r="L600" s="1114"/>
      <c r="M600" s="1114"/>
      <c r="N600" s="1114"/>
      <c r="O600" s="15" t="str">
        <f>E600</f>
        <v>Arun Arra</v>
      </c>
      <c r="P600" s="16"/>
      <c r="Q600" s="16"/>
      <c r="R600" s="16" t="str">
        <f>H600</f>
        <v>Anjam Raju</v>
      </c>
      <c r="S600" s="13"/>
    </row>
    <row r="601" spans="1:19">
      <c r="A601" s="14"/>
      <c r="B601" s="3"/>
      <c r="C601" s="3"/>
      <c r="D601" s="3"/>
      <c r="E601" s="3"/>
      <c r="F601" s="330"/>
      <c r="G601" s="330"/>
      <c r="H601" s="330"/>
      <c r="I601" s="13"/>
      <c r="J601" s="330"/>
      <c r="K601" s="14"/>
      <c r="L601" s="3"/>
      <c r="M601" s="3"/>
      <c r="N601" s="3"/>
      <c r="O601" s="3"/>
      <c r="P601" s="330"/>
      <c r="Q601" s="330"/>
      <c r="R601" s="330"/>
      <c r="S601" s="13"/>
    </row>
    <row r="602" spans="1:19">
      <c r="A602" s="1115" t="s">
        <v>51</v>
      </c>
      <c r="B602" s="1112"/>
      <c r="C602" s="1112"/>
      <c r="D602" s="1112"/>
      <c r="E602" s="15" t="s">
        <v>374</v>
      </c>
      <c r="F602" s="16"/>
      <c r="G602" s="16"/>
      <c r="H602" s="16"/>
      <c r="I602" s="13"/>
      <c r="J602" s="330"/>
      <c r="K602" s="1115" t="s">
        <v>51</v>
      </c>
      <c r="L602" s="1112"/>
      <c r="M602" s="1112"/>
      <c r="N602" s="1112"/>
      <c r="O602" s="15" t="str">
        <f>E602</f>
        <v>IT SUPPORTIVE SERVICES</v>
      </c>
      <c r="P602" s="16"/>
      <c r="Q602" s="16"/>
      <c r="R602" s="16"/>
      <c r="S602" s="13"/>
    </row>
    <row r="603" spans="1:19">
      <c r="A603" s="14"/>
      <c r="B603" s="3"/>
      <c r="C603" s="3"/>
      <c r="D603" s="3"/>
      <c r="E603" s="3"/>
      <c r="F603" s="330"/>
      <c r="G603" s="330"/>
      <c r="H603" s="330"/>
      <c r="I603" s="13"/>
      <c r="J603" s="330"/>
      <c r="K603" s="14"/>
      <c r="L603" s="3"/>
      <c r="M603" s="3"/>
      <c r="N603" s="3"/>
      <c r="O603" s="3"/>
      <c r="P603" s="330"/>
      <c r="Q603" s="330"/>
      <c r="R603" s="330"/>
      <c r="S603" s="13"/>
    </row>
    <row r="604" spans="1:19">
      <c r="A604" s="1115" t="s">
        <v>52</v>
      </c>
      <c r="B604" s="1112"/>
      <c r="C604" s="1112"/>
      <c r="D604" s="1112"/>
      <c r="E604" s="17">
        <f>'0422Master'!D10</f>
        <v>44652</v>
      </c>
      <c r="F604" s="16"/>
      <c r="G604" s="16"/>
      <c r="H604" s="16"/>
      <c r="I604" s="13"/>
      <c r="J604" s="330"/>
      <c r="K604" s="1115" t="s">
        <v>52</v>
      </c>
      <c r="L604" s="1112"/>
      <c r="M604" s="1112"/>
      <c r="N604" s="1112"/>
      <c r="O604" s="17">
        <f>E604</f>
        <v>44652</v>
      </c>
      <c r="P604" s="16"/>
      <c r="Q604" s="16"/>
      <c r="R604" s="16"/>
      <c r="S604" s="13"/>
    </row>
    <row r="605" spans="1:19">
      <c r="A605" s="14"/>
      <c r="B605" s="3"/>
      <c r="C605" s="3"/>
      <c r="D605" s="3"/>
      <c r="E605" s="3"/>
      <c r="F605" s="330"/>
      <c r="G605" s="330"/>
      <c r="H605" s="330"/>
      <c r="I605" s="13"/>
      <c r="J605" s="330"/>
      <c r="K605" s="14"/>
      <c r="L605" s="3"/>
      <c r="M605" s="3"/>
      <c r="N605" s="3"/>
      <c r="O605" s="3"/>
      <c r="P605" s="330"/>
      <c r="Q605" s="330"/>
      <c r="R605" s="330"/>
      <c r="S605" s="13"/>
    </row>
    <row r="606" spans="1:19">
      <c r="A606" s="18">
        <v>1</v>
      </c>
      <c r="B606" s="1112" t="s">
        <v>53</v>
      </c>
      <c r="C606" s="1112"/>
      <c r="D606" s="1112"/>
      <c r="E606" s="19">
        <f>'0422Master'!W29</f>
        <v>30</v>
      </c>
      <c r="F606" s="16"/>
      <c r="G606" s="16"/>
      <c r="H606" s="16"/>
      <c r="I606" s="13"/>
      <c r="J606" s="330"/>
      <c r="K606" s="18">
        <v>1</v>
      </c>
      <c r="L606" s="1112" t="s">
        <v>53</v>
      </c>
      <c r="M606" s="1112"/>
      <c r="N606" s="1112"/>
      <c r="O606" s="19">
        <f>E606</f>
        <v>30</v>
      </c>
      <c r="P606" s="16"/>
      <c r="Q606" s="16"/>
      <c r="R606" s="16"/>
      <c r="S606" s="13"/>
    </row>
    <row r="607" spans="1:19">
      <c r="A607" s="18"/>
      <c r="B607" s="3"/>
      <c r="C607" s="3"/>
      <c r="D607" s="3"/>
      <c r="E607" s="3"/>
      <c r="F607" s="330"/>
      <c r="G607" s="330"/>
      <c r="H607" s="330"/>
      <c r="I607" s="13"/>
      <c r="J607" s="330"/>
      <c r="K607" s="18"/>
      <c r="L607" s="3"/>
      <c r="M607" s="3"/>
      <c r="N607" s="3"/>
      <c r="O607" s="3"/>
      <c r="P607" s="330"/>
      <c r="Q607" s="330"/>
      <c r="R607" s="330"/>
      <c r="S607" s="13"/>
    </row>
    <row r="608" spans="1:19">
      <c r="A608" s="18">
        <v>2</v>
      </c>
      <c r="B608" s="1114" t="s">
        <v>54</v>
      </c>
      <c r="C608" s="1114"/>
      <c r="D608" s="1114"/>
      <c r="E608" s="3"/>
      <c r="F608" s="330"/>
      <c r="G608" s="330"/>
      <c r="H608" s="330"/>
      <c r="I608" s="13"/>
      <c r="J608" s="330"/>
      <c r="K608" s="18">
        <v>2</v>
      </c>
      <c r="L608" s="1114" t="s">
        <v>54</v>
      </c>
      <c r="M608" s="1114"/>
      <c r="N608" s="1114"/>
      <c r="O608" s="3"/>
      <c r="P608" s="330"/>
      <c r="Q608" s="330"/>
      <c r="R608" s="330"/>
      <c r="S608" s="13"/>
    </row>
    <row r="609" spans="1:19">
      <c r="A609" s="18"/>
      <c r="B609" s="1114"/>
      <c r="C609" s="1114"/>
      <c r="D609" s="1114"/>
      <c r="E609" s="20" t="s">
        <v>37</v>
      </c>
      <c r="F609" s="16"/>
      <c r="G609" s="16"/>
      <c r="H609" s="16"/>
      <c r="I609" s="13"/>
      <c r="J609" s="330"/>
      <c r="K609" s="18"/>
      <c r="L609" s="1114"/>
      <c r="M609" s="1114"/>
      <c r="N609" s="1114"/>
      <c r="O609" s="20" t="s">
        <v>37</v>
      </c>
      <c r="P609" s="16"/>
      <c r="Q609" s="16"/>
      <c r="R609" s="16"/>
      <c r="S609" s="13"/>
    </row>
    <row r="610" spans="1:19">
      <c r="A610" s="18"/>
      <c r="B610" s="3"/>
      <c r="C610" s="3"/>
      <c r="D610" s="3"/>
      <c r="E610" s="3"/>
      <c r="F610" s="330"/>
      <c r="G610" s="330"/>
      <c r="H610" s="330"/>
      <c r="I610" s="13"/>
      <c r="J610" s="330"/>
      <c r="K610" s="18"/>
      <c r="L610" s="3"/>
      <c r="M610" s="3"/>
      <c r="N610" s="3"/>
      <c r="O610" s="3"/>
      <c r="P610" s="330"/>
      <c r="Q610" s="330"/>
      <c r="R610" s="330"/>
      <c r="S610" s="13"/>
    </row>
    <row r="611" spans="1:19">
      <c r="A611" s="18">
        <v>3</v>
      </c>
      <c r="B611" s="1112" t="s">
        <v>55</v>
      </c>
      <c r="C611" s="1112"/>
      <c r="D611" s="1112"/>
      <c r="E611" s="20" t="s">
        <v>37</v>
      </c>
      <c r="F611" s="16"/>
      <c r="G611" s="16"/>
      <c r="H611" s="16"/>
      <c r="I611" s="13"/>
      <c r="J611" s="330"/>
      <c r="K611" s="18">
        <v>3</v>
      </c>
      <c r="L611" s="1112" t="s">
        <v>55</v>
      </c>
      <c r="M611" s="1112"/>
      <c r="N611" s="1112"/>
      <c r="O611" s="15" t="str">
        <f>E611</f>
        <v>N/A</v>
      </c>
      <c r="P611" s="16"/>
      <c r="Q611" s="16"/>
      <c r="R611" s="16"/>
      <c r="S611" s="13"/>
    </row>
    <row r="612" spans="1:19">
      <c r="A612" s="18"/>
      <c r="B612" s="3"/>
      <c r="C612" s="3"/>
      <c r="D612" s="3"/>
      <c r="E612" s="3"/>
      <c r="F612" s="330"/>
      <c r="G612" s="330"/>
      <c r="H612" s="330"/>
      <c r="I612" s="13"/>
      <c r="J612" s="330"/>
      <c r="K612" s="18"/>
      <c r="L612" s="3"/>
      <c r="M612" s="3"/>
      <c r="N612" s="3"/>
      <c r="O612" s="3"/>
      <c r="P612" s="330"/>
      <c r="Q612" s="330"/>
      <c r="R612" s="330"/>
      <c r="S612" s="13"/>
    </row>
    <row r="613" spans="1:19">
      <c r="A613" s="18">
        <v>4</v>
      </c>
      <c r="B613" s="1112" t="s">
        <v>56</v>
      </c>
      <c r="C613" s="1112"/>
      <c r="D613" s="1112"/>
      <c r="E613" s="20" t="s">
        <v>57</v>
      </c>
      <c r="F613" s="16"/>
      <c r="G613" s="16"/>
      <c r="H613" s="16"/>
      <c r="I613" s="13"/>
      <c r="J613" s="330"/>
      <c r="K613" s="18">
        <v>4</v>
      </c>
      <c r="L613" s="1112" t="s">
        <v>56</v>
      </c>
      <c r="M613" s="1112"/>
      <c r="N613" s="1112"/>
      <c r="O613" s="20" t="s">
        <v>57</v>
      </c>
      <c r="P613" s="16"/>
      <c r="Q613" s="16"/>
      <c r="R613" s="16"/>
      <c r="S613" s="13"/>
    </row>
    <row r="614" spans="1:19">
      <c r="A614" s="18"/>
      <c r="B614" s="3"/>
      <c r="C614" s="3"/>
      <c r="D614" s="3"/>
      <c r="E614" s="3"/>
      <c r="F614" s="330"/>
      <c r="G614" s="330"/>
      <c r="H614" s="330"/>
      <c r="I614" s="13"/>
      <c r="J614" s="330"/>
      <c r="K614" s="18"/>
      <c r="L614" s="3"/>
      <c r="M614" s="3"/>
      <c r="N614" s="3"/>
      <c r="O614" s="3"/>
      <c r="P614" s="330"/>
      <c r="Q614" s="330"/>
      <c r="R614" s="330"/>
      <c r="S614" s="13"/>
    </row>
    <row r="615" spans="1:19">
      <c r="A615" s="18">
        <v>5</v>
      </c>
      <c r="B615" s="1112" t="s">
        <v>58</v>
      </c>
      <c r="C615" s="1112"/>
      <c r="D615" s="1112"/>
      <c r="E615" s="274">
        <f>'0422Master'!AM29</f>
        <v>43276.002619999992</v>
      </c>
      <c r="F615" s="330"/>
      <c r="G615" s="330"/>
      <c r="H615" s="330"/>
      <c r="I615" s="13"/>
      <c r="J615" s="330"/>
      <c r="K615" s="18">
        <v>5</v>
      </c>
      <c r="L615" s="1112" t="s">
        <v>58</v>
      </c>
      <c r="M615" s="1112"/>
      <c r="N615" s="1112"/>
      <c r="O615" s="274">
        <f>E615</f>
        <v>43276.002619999992</v>
      </c>
      <c r="P615" s="330"/>
      <c r="Q615" s="330"/>
      <c r="R615" s="330"/>
      <c r="S615" s="13"/>
    </row>
    <row r="616" spans="1:19">
      <c r="A616" s="18"/>
      <c r="B616" s="3"/>
      <c r="C616" s="3"/>
      <c r="D616" s="275" t="s">
        <v>59</v>
      </c>
      <c r="E616" s="275" t="s">
        <v>31</v>
      </c>
      <c r="F616" s="275" t="s">
        <v>33</v>
      </c>
      <c r="G616" s="275" t="s">
        <v>34</v>
      </c>
      <c r="H616" s="275" t="s">
        <v>378</v>
      </c>
      <c r="I616" s="273" t="s">
        <v>379</v>
      </c>
      <c r="J616" s="330"/>
      <c r="K616" s="18"/>
      <c r="L616" s="3"/>
      <c r="M616" s="3"/>
      <c r="N616" s="275" t="s">
        <v>59</v>
      </c>
      <c r="O616" s="275" t="s">
        <v>31</v>
      </c>
      <c r="P616" s="275" t="s">
        <v>33</v>
      </c>
      <c r="Q616" s="275" t="s">
        <v>34</v>
      </c>
      <c r="R616" s="275" t="s">
        <v>378</v>
      </c>
      <c r="S616" s="273" t="s">
        <v>379</v>
      </c>
    </row>
    <row r="617" spans="1:19">
      <c r="A617" s="18">
        <v>6</v>
      </c>
      <c r="B617" s="565" t="s">
        <v>60</v>
      </c>
      <c r="C617" s="565"/>
      <c r="D617" s="276">
        <f>'0422Master'!AO29</f>
        <v>1800</v>
      </c>
      <c r="E617" s="276">
        <f>'0422Master'!AN945</f>
        <v>0</v>
      </c>
      <c r="F617" s="277">
        <f>'0422Master'!AP29</f>
        <v>200</v>
      </c>
      <c r="G617" s="276">
        <f>'0422Master'!AQ29</f>
        <v>0</v>
      </c>
      <c r="H617" s="277">
        <f>'0422Master'!AR29</f>
        <v>283</v>
      </c>
      <c r="I617" s="277">
        <f>'0422Master'!AS945</f>
        <v>0</v>
      </c>
      <c r="J617" s="330"/>
      <c r="K617" s="18">
        <v>6</v>
      </c>
      <c r="L617" s="565" t="s">
        <v>60</v>
      </c>
      <c r="M617" s="565"/>
      <c r="N617" s="276">
        <f t="shared" ref="N617" si="38">D617</f>
        <v>1800</v>
      </c>
      <c r="O617" s="276">
        <f t="shared" ref="O617" si="39">E617</f>
        <v>0</v>
      </c>
      <c r="P617" s="277">
        <f t="shared" ref="P617" si="40">F617</f>
        <v>200</v>
      </c>
      <c r="Q617" s="276">
        <f t="shared" ref="Q617" si="41">G617</f>
        <v>0</v>
      </c>
      <c r="R617" s="277">
        <f t="shared" ref="R617" si="42">H617</f>
        <v>283</v>
      </c>
      <c r="S617" s="277">
        <f t="shared" ref="S617" si="43">I617</f>
        <v>0</v>
      </c>
    </row>
    <row r="618" spans="1:19">
      <c r="A618" s="18"/>
      <c r="B618" s="3"/>
      <c r="C618" s="3"/>
      <c r="D618" s="3"/>
      <c r="E618" s="3"/>
      <c r="F618" s="330"/>
      <c r="G618" s="330"/>
      <c r="H618" s="330"/>
      <c r="I618" s="13"/>
      <c r="J618" s="330"/>
      <c r="K618" s="18"/>
      <c r="L618" s="3"/>
      <c r="M618" s="3"/>
      <c r="N618" s="3"/>
      <c r="O618" s="3"/>
      <c r="P618" s="330"/>
      <c r="Q618" s="330"/>
      <c r="R618" s="330"/>
      <c r="S618" s="13"/>
    </row>
    <row r="619" spans="1:19">
      <c r="A619" s="18">
        <v>7</v>
      </c>
      <c r="B619" s="1112" t="s">
        <v>61</v>
      </c>
      <c r="C619" s="1112"/>
      <c r="D619" s="1112"/>
      <c r="E619" s="21">
        <f>E615-D617-F617-G617-H617</f>
        <v>40993.002619999992</v>
      </c>
      <c r="F619" s="16"/>
      <c r="G619" s="16"/>
      <c r="H619" s="16"/>
      <c r="I619" s="13"/>
      <c r="J619" s="330"/>
      <c r="K619" s="18">
        <v>7</v>
      </c>
      <c r="L619" s="1112" t="s">
        <v>61</v>
      </c>
      <c r="M619" s="1112"/>
      <c r="N619" s="1112"/>
      <c r="O619" s="21">
        <f>E619</f>
        <v>40993.002619999992</v>
      </c>
      <c r="P619" s="16"/>
      <c r="Q619" s="16"/>
      <c r="R619" s="16"/>
      <c r="S619" s="13"/>
    </row>
    <row r="620" spans="1:19">
      <c r="A620" s="12"/>
      <c r="B620" s="330"/>
      <c r="C620" s="330"/>
      <c r="D620" s="330"/>
      <c r="E620" s="330"/>
      <c r="F620" s="330"/>
      <c r="G620" s="330"/>
      <c r="H620" s="330"/>
      <c r="I620" s="13"/>
      <c r="J620" s="330"/>
      <c r="K620" s="12"/>
      <c r="L620" s="330"/>
      <c r="M620" s="330"/>
      <c r="N620" s="330"/>
      <c r="O620" s="330"/>
      <c r="P620" s="330"/>
      <c r="Q620" s="330"/>
      <c r="R620" s="330"/>
      <c r="S620" s="13"/>
    </row>
    <row r="621" spans="1:19">
      <c r="A621" s="12"/>
      <c r="B621" s="330"/>
      <c r="C621" s="330"/>
      <c r="D621" s="330"/>
      <c r="E621" s="330"/>
      <c r="F621" s="330"/>
      <c r="G621" s="330"/>
      <c r="H621" s="330"/>
      <c r="I621" s="13"/>
      <c r="J621" s="330"/>
      <c r="K621" s="12"/>
      <c r="L621" s="330"/>
      <c r="M621" s="330"/>
      <c r="N621" s="330"/>
      <c r="O621" s="330"/>
      <c r="P621" s="330"/>
      <c r="Q621" s="330"/>
      <c r="R621" s="330"/>
      <c r="S621" s="13"/>
    </row>
    <row r="622" spans="1:19" ht="15.75" thickBot="1">
      <c r="A622" s="12"/>
      <c r="B622" s="330"/>
      <c r="C622" s="330"/>
      <c r="D622" s="330"/>
      <c r="E622" s="330"/>
      <c r="F622" s="22"/>
      <c r="G622" s="22"/>
      <c r="H622" s="22"/>
      <c r="I622" s="23"/>
      <c r="J622" s="330"/>
      <c r="K622" s="12"/>
      <c r="L622" s="330"/>
      <c r="M622" s="330"/>
      <c r="N622" s="330"/>
      <c r="O622" s="330"/>
      <c r="P622" s="22"/>
      <c r="Q622" s="22"/>
      <c r="R622" s="22"/>
      <c r="S622" s="23"/>
    </row>
    <row r="623" spans="1:19" ht="15.75" thickBot="1">
      <c r="A623" s="24"/>
      <c r="B623" s="22"/>
      <c r="C623" s="22"/>
      <c r="D623" s="22"/>
      <c r="E623" s="22"/>
      <c r="F623" s="1110" t="s">
        <v>62</v>
      </c>
      <c r="G623" s="1110"/>
      <c r="H623" s="1110"/>
      <c r="I623" s="1111"/>
      <c r="J623" s="330"/>
      <c r="K623" s="24"/>
      <c r="L623" s="22"/>
      <c r="M623" s="22"/>
      <c r="N623" s="22"/>
      <c r="O623" s="22"/>
      <c r="P623" s="1110" t="s">
        <v>62</v>
      </c>
      <c r="Q623" s="1110"/>
      <c r="R623" s="1110"/>
      <c r="S623" s="1111"/>
    </row>
    <row r="624" spans="1:19">
      <c r="A624" s="330"/>
      <c r="B624" s="330"/>
      <c r="C624" s="330"/>
      <c r="D624" s="330"/>
      <c r="E624" s="330"/>
      <c r="F624" s="330"/>
      <c r="G624" s="330"/>
      <c r="H624" s="330"/>
      <c r="I624" s="330"/>
      <c r="J624" s="330"/>
      <c r="K624" s="330"/>
      <c r="L624" s="330"/>
      <c r="M624" s="330"/>
      <c r="N624" s="330"/>
      <c r="O624" s="330"/>
      <c r="P624" s="330"/>
      <c r="Q624" s="330"/>
      <c r="R624" s="330"/>
      <c r="S624" s="330"/>
    </row>
    <row r="625" spans="1:19">
      <c r="A625" s="330"/>
      <c r="B625" s="330"/>
      <c r="C625" s="330"/>
      <c r="D625" s="330"/>
      <c r="E625" s="330"/>
      <c r="F625" s="330"/>
      <c r="G625" s="330"/>
      <c r="H625" s="330"/>
      <c r="I625" s="330"/>
      <c r="J625" s="330"/>
      <c r="K625" s="330"/>
      <c r="L625" s="330"/>
      <c r="M625" s="330"/>
      <c r="N625" s="330"/>
      <c r="O625" s="330"/>
      <c r="P625" s="330"/>
      <c r="Q625" s="330"/>
      <c r="R625" s="330"/>
      <c r="S625" s="330"/>
    </row>
    <row r="626" spans="1:19">
      <c r="A626" s="330"/>
      <c r="B626" s="330"/>
      <c r="C626" s="330"/>
      <c r="D626" s="330"/>
      <c r="E626" s="330"/>
      <c r="F626" s="330"/>
      <c r="G626" s="330"/>
      <c r="H626" s="330"/>
      <c r="I626" s="330"/>
      <c r="J626" s="330"/>
      <c r="K626" s="330"/>
      <c r="L626" s="330"/>
      <c r="M626" s="330"/>
      <c r="N626" s="330"/>
      <c r="O626" s="330"/>
      <c r="P626" s="330"/>
      <c r="Q626" s="330"/>
      <c r="R626" s="330"/>
      <c r="S626" s="330"/>
    </row>
    <row r="627" spans="1:19" ht="21" customHeight="1">
      <c r="A627" s="330"/>
      <c r="B627" s="330"/>
      <c r="C627" s="330"/>
      <c r="D627" s="330"/>
      <c r="E627" s="330"/>
      <c r="F627" s="330"/>
      <c r="G627" s="330"/>
      <c r="H627" s="330"/>
      <c r="I627" s="330"/>
      <c r="J627" s="330"/>
      <c r="K627" s="330"/>
      <c r="L627" s="330"/>
      <c r="M627" s="330"/>
      <c r="N627" s="330"/>
      <c r="O627" s="330"/>
      <c r="P627" s="330"/>
      <c r="Q627" s="330"/>
      <c r="R627" s="330"/>
      <c r="S627" s="330"/>
    </row>
    <row r="628" spans="1:19" ht="21" customHeight="1">
      <c r="A628" s="330"/>
      <c r="B628" s="330"/>
      <c r="C628" s="330"/>
      <c r="D628" s="330"/>
      <c r="E628" s="330"/>
      <c r="F628" s="330"/>
      <c r="G628" s="330"/>
      <c r="H628" s="330"/>
      <c r="I628" s="330"/>
      <c r="J628" s="330"/>
      <c r="K628" s="330"/>
      <c r="L628" s="330"/>
      <c r="M628" s="330"/>
      <c r="N628" s="330"/>
      <c r="O628" s="330"/>
      <c r="P628" s="330"/>
      <c r="Q628" s="330"/>
      <c r="R628" s="330"/>
      <c r="S628" s="330"/>
    </row>
    <row r="629" spans="1:19" ht="21" customHeight="1">
      <c r="A629" s="330"/>
      <c r="B629" s="330"/>
      <c r="C629" s="330"/>
      <c r="D629" s="330"/>
      <c r="E629" s="330"/>
      <c r="F629" s="330"/>
      <c r="G629" s="330"/>
      <c r="H629" s="330"/>
      <c r="I629" s="330"/>
      <c r="J629" s="330"/>
      <c r="K629" s="330"/>
      <c r="L629" s="330"/>
      <c r="M629" s="330"/>
      <c r="N629" s="330"/>
      <c r="O629" s="330"/>
      <c r="P629" s="330"/>
      <c r="Q629" s="330"/>
      <c r="R629" s="330"/>
      <c r="S629" s="330"/>
    </row>
    <row r="630" spans="1:19" ht="21" customHeight="1">
      <c r="A630" s="330"/>
      <c r="B630" s="330"/>
      <c r="C630" s="330"/>
      <c r="D630" s="330"/>
      <c r="E630" s="330"/>
      <c r="F630" s="330"/>
      <c r="G630" s="330"/>
      <c r="H630" s="330"/>
      <c r="I630" s="330"/>
      <c r="J630" s="330"/>
      <c r="K630" s="330"/>
      <c r="L630" s="330"/>
      <c r="M630" s="330"/>
      <c r="N630" s="330"/>
      <c r="O630" s="330"/>
      <c r="P630" s="330"/>
      <c r="Q630" s="330"/>
      <c r="R630" s="330"/>
      <c r="S630" s="330"/>
    </row>
    <row r="631" spans="1:19" ht="21" customHeight="1">
      <c r="A631" s="330"/>
      <c r="B631" s="330"/>
      <c r="C631" s="330"/>
      <c r="D631" s="330"/>
      <c r="E631" s="330"/>
      <c r="F631" s="330"/>
      <c r="G631" s="330"/>
      <c r="H631" s="330"/>
      <c r="I631" s="330"/>
      <c r="J631" s="330"/>
      <c r="K631" s="330"/>
      <c r="L631" s="330"/>
      <c r="M631" s="330"/>
      <c r="N631" s="330"/>
      <c r="O631" s="330"/>
      <c r="P631" s="330"/>
      <c r="Q631" s="330"/>
      <c r="R631" s="330"/>
      <c r="S631" s="330"/>
    </row>
    <row r="632" spans="1:19" ht="21" customHeight="1">
      <c r="A632" s="330"/>
      <c r="B632" s="330"/>
      <c r="C632" s="330"/>
      <c r="D632" s="330"/>
      <c r="E632" s="330"/>
      <c r="F632" s="330"/>
      <c r="G632" s="330"/>
      <c r="H632" s="330"/>
      <c r="I632" s="330"/>
      <c r="J632" s="330"/>
      <c r="K632" s="330"/>
      <c r="L632" s="330"/>
      <c r="M632" s="330"/>
      <c r="N632" s="330"/>
      <c r="O632" s="330"/>
      <c r="P632" s="330"/>
      <c r="Q632" s="330"/>
      <c r="R632" s="330"/>
      <c r="S632" s="330"/>
    </row>
    <row r="633" spans="1:19">
      <c r="A633" s="330"/>
      <c r="B633" s="330"/>
      <c r="C633" s="330"/>
      <c r="D633" s="330"/>
      <c r="E633" s="330"/>
      <c r="F633" s="330"/>
      <c r="G633" s="330"/>
      <c r="H633" s="330"/>
      <c r="I633" s="330"/>
      <c r="J633" s="330"/>
      <c r="K633" s="330"/>
      <c r="L633" s="330"/>
      <c r="M633" s="330"/>
      <c r="N633" s="330"/>
      <c r="O633" s="330"/>
      <c r="P633" s="330"/>
      <c r="Q633" s="330"/>
      <c r="R633" s="330"/>
      <c r="S633" s="330"/>
    </row>
    <row r="634" spans="1:19">
      <c r="A634" s="330"/>
      <c r="B634" s="330"/>
      <c r="C634" s="330"/>
      <c r="D634" s="330"/>
      <c r="E634" s="330"/>
      <c r="F634" s="330"/>
      <c r="G634" s="330"/>
      <c r="H634" s="330"/>
      <c r="I634" s="330"/>
      <c r="J634" s="330"/>
      <c r="K634" s="330"/>
      <c r="L634" s="330"/>
      <c r="M634" s="330"/>
      <c r="N634" s="330"/>
      <c r="O634" s="330"/>
      <c r="P634" s="330"/>
      <c r="Q634" s="330"/>
      <c r="R634" s="330"/>
      <c r="S634" s="330"/>
    </row>
    <row r="635" spans="1:19">
      <c r="A635" s="330"/>
      <c r="B635" s="330"/>
      <c r="C635" s="330"/>
      <c r="D635" s="330"/>
      <c r="E635" s="330"/>
      <c r="F635" s="330"/>
      <c r="G635" s="330"/>
      <c r="H635" s="330"/>
      <c r="I635" s="330"/>
      <c r="J635" s="330"/>
      <c r="K635" s="330"/>
      <c r="L635" s="330"/>
      <c r="M635" s="330"/>
      <c r="N635" s="330"/>
      <c r="O635" s="330"/>
      <c r="P635" s="330"/>
      <c r="Q635" s="330"/>
      <c r="R635" s="330"/>
      <c r="S635" s="330"/>
    </row>
    <row r="636" spans="1:19">
      <c r="A636" s="330"/>
      <c r="B636" s="330"/>
      <c r="C636" s="330"/>
      <c r="D636" s="330"/>
      <c r="E636" s="330"/>
      <c r="F636" s="330"/>
      <c r="G636" s="330"/>
      <c r="H636" s="330"/>
      <c r="I636" s="330"/>
      <c r="J636" s="330"/>
      <c r="K636" s="330"/>
      <c r="L636" s="330"/>
      <c r="M636" s="330"/>
      <c r="N636" s="330"/>
      <c r="O636" s="330"/>
      <c r="P636" s="330"/>
      <c r="Q636" s="330"/>
      <c r="R636" s="330"/>
      <c r="S636" s="330"/>
    </row>
    <row r="637" spans="1:19" ht="15.75" thickBot="1">
      <c r="A637" s="330"/>
      <c r="B637" s="330"/>
      <c r="C637" s="330"/>
      <c r="D637" s="330"/>
      <c r="E637" s="330"/>
      <c r="F637" s="330"/>
      <c r="G637" s="330"/>
      <c r="H637" s="330"/>
      <c r="I637" s="330"/>
      <c r="J637" s="330"/>
      <c r="K637" s="330"/>
      <c r="L637" s="330"/>
      <c r="M637" s="330"/>
      <c r="N637" s="330"/>
      <c r="O637" s="330"/>
      <c r="P637" s="330"/>
      <c r="Q637" s="330"/>
      <c r="R637" s="330"/>
      <c r="S637" s="330"/>
    </row>
    <row r="638" spans="1:19" ht="26.25">
      <c r="A638" s="1116" t="s">
        <v>707</v>
      </c>
      <c r="B638" s="1117"/>
      <c r="C638" s="1117"/>
      <c r="D638" s="1117"/>
      <c r="E638" s="1117"/>
      <c r="F638" s="1117"/>
      <c r="G638" s="1117"/>
      <c r="H638" s="1117"/>
      <c r="I638" s="1118"/>
      <c r="J638" s="74"/>
      <c r="K638" s="1116" t="s">
        <v>707</v>
      </c>
      <c r="L638" s="1117"/>
      <c r="M638" s="1117"/>
      <c r="N638" s="1117"/>
      <c r="O638" s="1117"/>
      <c r="P638" s="1117"/>
      <c r="Q638" s="1117"/>
      <c r="R638" s="1117"/>
      <c r="S638" s="1118"/>
    </row>
    <row r="639" spans="1:19" ht="15.75" thickBot="1">
      <c r="A639" s="1119" t="s">
        <v>708</v>
      </c>
      <c r="B639" s="1120"/>
      <c r="C639" s="1120"/>
      <c r="D639" s="1120"/>
      <c r="E639" s="1120"/>
      <c r="F639" s="1120"/>
      <c r="G639" s="1120"/>
      <c r="H639" s="1120"/>
      <c r="I639" s="1121"/>
      <c r="J639" s="22"/>
      <c r="K639" s="1119" t="s">
        <v>708</v>
      </c>
      <c r="L639" s="1120"/>
      <c r="M639" s="1120"/>
      <c r="N639" s="1120"/>
      <c r="O639" s="1120"/>
      <c r="P639" s="1120"/>
      <c r="Q639" s="1120"/>
      <c r="R639" s="1120"/>
      <c r="S639" s="1121"/>
    </row>
    <row r="640" spans="1:19">
      <c r="A640" s="12"/>
      <c r="B640" s="330"/>
      <c r="C640" s="330"/>
      <c r="D640" s="330"/>
      <c r="E640" s="330"/>
      <c r="F640" s="330"/>
      <c r="G640" s="330"/>
      <c r="H640" s="330"/>
      <c r="I640" s="13"/>
      <c r="J640" s="330"/>
      <c r="K640" s="12"/>
      <c r="L640" s="330"/>
      <c r="M640" s="330"/>
      <c r="N640" s="330"/>
      <c r="O640" s="330"/>
      <c r="P640" s="330"/>
      <c r="Q640" s="330"/>
      <c r="R640" s="330"/>
      <c r="S640" s="13"/>
    </row>
    <row r="641" spans="1:19">
      <c r="A641" s="14" t="s">
        <v>49</v>
      </c>
      <c r="B641" s="3"/>
      <c r="C641" s="3"/>
      <c r="D641" s="6" t="s">
        <v>384</v>
      </c>
      <c r="E641" s="330"/>
      <c r="F641" s="330"/>
      <c r="G641" s="330"/>
      <c r="H641" s="330"/>
      <c r="I641" s="13"/>
      <c r="J641" s="330"/>
      <c r="K641" s="14" t="s">
        <v>49</v>
      </c>
      <c r="L641" s="3"/>
      <c r="M641" s="3"/>
      <c r="N641" s="6" t="str">
        <f>D641</f>
        <v>Burgeon IT Services Pvt.Ltd.</v>
      </c>
      <c r="O641" s="330"/>
      <c r="P641" s="330"/>
      <c r="Q641" s="330"/>
      <c r="R641" s="330"/>
      <c r="S641" s="13"/>
    </row>
    <row r="642" spans="1:19">
      <c r="A642" s="14"/>
      <c r="B642" s="3" t="s">
        <v>385</v>
      </c>
      <c r="C642" s="3"/>
      <c r="D642" s="3"/>
      <c r="E642" s="330"/>
      <c r="F642" s="330"/>
      <c r="G642" s="330"/>
      <c r="H642" s="330"/>
      <c r="I642" s="13"/>
      <c r="J642" s="330"/>
      <c r="K642" s="14"/>
      <c r="L642" s="3" t="str">
        <f>B642</f>
        <v>Siri Mansion LIGB 436 Dr.A S Rao Nagar,Hyderabad</v>
      </c>
      <c r="M642" s="3"/>
      <c r="N642" s="3"/>
      <c r="O642" s="330"/>
      <c r="P642" s="330"/>
      <c r="Q642" s="330"/>
      <c r="R642" s="330"/>
      <c r="S642" s="13"/>
    </row>
    <row r="643" spans="1:19">
      <c r="A643" s="14"/>
      <c r="B643" s="3">
        <f>'0422Master'!F979</f>
        <v>0</v>
      </c>
      <c r="C643" s="3"/>
      <c r="D643" s="3"/>
      <c r="E643" s="3"/>
      <c r="F643" s="330"/>
      <c r="G643" s="330"/>
      <c r="H643" s="330"/>
      <c r="I643" s="13"/>
      <c r="J643" s="330"/>
      <c r="K643" s="14"/>
      <c r="L643" s="3">
        <f>B643</f>
        <v>0</v>
      </c>
      <c r="M643" s="3"/>
      <c r="N643" s="3"/>
      <c r="O643" s="3"/>
      <c r="P643" s="330"/>
      <c r="Q643" s="330"/>
      <c r="R643" s="330"/>
      <c r="S643" s="13"/>
    </row>
    <row r="644" spans="1:19">
      <c r="A644" s="1113" t="s">
        <v>50</v>
      </c>
      <c r="B644" s="1114"/>
      <c r="C644" s="1114"/>
      <c r="D644" s="1114"/>
      <c r="E644" s="3"/>
      <c r="F644" s="330"/>
      <c r="G644" s="330"/>
      <c r="H644" s="330"/>
      <c r="I644" s="13"/>
      <c r="J644" s="330"/>
      <c r="K644" s="1113" t="s">
        <v>50</v>
      </c>
      <c r="L644" s="1114"/>
      <c r="M644" s="1114"/>
      <c r="N644" s="1114"/>
      <c r="O644" s="3"/>
      <c r="P644" s="330"/>
      <c r="Q644" s="330"/>
      <c r="R644" s="330"/>
      <c r="S644" s="13"/>
    </row>
    <row r="645" spans="1:19">
      <c r="A645" s="1113"/>
      <c r="B645" s="1114"/>
      <c r="C645" s="1114"/>
      <c r="D645" s="1114"/>
      <c r="E645" s="15" t="str">
        <f>'0422Master'!B30</f>
        <v>Ramya Nalla</v>
      </c>
      <c r="F645" s="16"/>
      <c r="G645" s="16" t="str">
        <f>'0422Master'!E30</f>
        <v>W/O Chitharanjan Allem</v>
      </c>
      <c r="H645" s="16"/>
      <c r="I645" s="13"/>
      <c r="J645" s="330"/>
      <c r="K645" s="1113"/>
      <c r="L645" s="1114"/>
      <c r="M645" s="1114"/>
      <c r="N645" s="1114"/>
      <c r="O645" s="15" t="str">
        <f>E645</f>
        <v>Ramya Nalla</v>
      </c>
      <c r="P645" s="16"/>
      <c r="Q645" s="16"/>
      <c r="R645" s="16" t="str">
        <f>G645</f>
        <v>W/O Chitharanjan Allem</v>
      </c>
      <c r="S645" s="13"/>
    </row>
    <row r="646" spans="1:19">
      <c r="A646" s="14"/>
      <c r="B646" s="3"/>
      <c r="C646" s="3"/>
      <c r="D646" s="3"/>
      <c r="E646" s="3"/>
      <c r="F646" s="330"/>
      <c r="G646" s="330"/>
      <c r="H646" s="330"/>
      <c r="I646" s="13"/>
      <c r="J646" s="330"/>
      <c r="K646" s="14"/>
      <c r="L646" s="3"/>
      <c r="M646" s="3"/>
      <c r="N646" s="3"/>
      <c r="O646" s="3"/>
      <c r="P646" s="330"/>
      <c r="Q646" s="330"/>
      <c r="R646" s="330"/>
      <c r="S646" s="13"/>
    </row>
    <row r="647" spans="1:19">
      <c r="A647" s="1115" t="s">
        <v>51</v>
      </c>
      <c r="B647" s="1112"/>
      <c r="C647" s="1112"/>
      <c r="D647" s="1112"/>
      <c r="E647" s="3" t="s">
        <v>374</v>
      </c>
      <c r="F647" s="16"/>
      <c r="G647" s="16"/>
      <c r="H647" s="16"/>
      <c r="I647" s="13"/>
      <c r="J647" s="330"/>
      <c r="K647" s="1115" t="s">
        <v>51</v>
      </c>
      <c r="L647" s="1112"/>
      <c r="M647" s="1112"/>
      <c r="N647" s="1112"/>
      <c r="O647" s="15" t="str">
        <f>E647</f>
        <v>IT SUPPORTIVE SERVICES</v>
      </c>
      <c r="P647" s="16"/>
      <c r="Q647" s="16"/>
      <c r="R647" s="16"/>
      <c r="S647" s="13"/>
    </row>
    <row r="648" spans="1:19">
      <c r="A648" s="14"/>
      <c r="B648" s="3"/>
      <c r="C648" s="3"/>
      <c r="D648" s="3"/>
      <c r="E648" s="3"/>
      <c r="F648" s="330"/>
      <c r="G648" s="330"/>
      <c r="H648" s="330"/>
      <c r="I648" s="13"/>
      <c r="J648" s="330"/>
      <c r="K648" s="14"/>
      <c r="L648" s="3"/>
      <c r="M648" s="3"/>
      <c r="N648" s="3"/>
      <c r="O648" s="3"/>
      <c r="P648" s="330"/>
      <c r="Q648" s="330"/>
      <c r="R648" s="330"/>
      <c r="S648" s="13"/>
    </row>
    <row r="649" spans="1:19">
      <c r="A649" s="1115" t="s">
        <v>52</v>
      </c>
      <c r="B649" s="1112"/>
      <c r="C649" s="1112"/>
      <c r="D649" s="1112"/>
      <c r="E649" s="17">
        <f>'0422Master'!D10</f>
        <v>44652</v>
      </c>
      <c r="F649" s="16"/>
      <c r="G649" s="16"/>
      <c r="H649" s="16"/>
      <c r="I649" s="13"/>
      <c r="J649" s="330"/>
      <c r="K649" s="1115" t="s">
        <v>52</v>
      </c>
      <c r="L649" s="1112"/>
      <c r="M649" s="1112"/>
      <c r="N649" s="1112"/>
      <c r="O649" s="17">
        <f>E649</f>
        <v>44652</v>
      </c>
      <c r="P649" s="16"/>
      <c r="Q649" s="16"/>
      <c r="R649" s="16"/>
      <c r="S649" s="13"/>
    </row>
    <row r="650" spans="1:19">
      <c r="A650" s="14"/>
      <c r="B650" s="3"/>
      <c r="C650" s="3"/>
      <c r="D650" s="3"/>
      <c r="E650" s="3"/>
      <c r="F650" s="330"/>
      <c r="G650" s="330"/>
      <c r="H650" s="330"/>
      <c r="I650" s="13"/>
      <c r="J650" s="330"/>
      <c r="K650" s="14"/>
      <c r="L650" s="3"/>
      <c r="M650" s="3"/>
      <c r="N650" s="3"/>
      <c r="O650" s="3"/>
      <c r="P650" s="330"/>
      <c r="Q650" s="330"/>
      <c r="R650" s="330"/>
      <c r="S650" s="13"/>
    </row>
    <row r="651" spans="1:19">
      <c r="A651" s="18">
        <v>1</v>
      </c>
      <c r="B651" s="1112" t="s">
        <v>53</v>
      </c>
      <c r="C651" s="1112"/>
      <c r="D651" s="1112"/>
      <c r="E651" s="19">
        <f>'0422Master'!W30</f>
        <v>30</v>
      </c>
      <c r="F651" s="16"/>
      <c r="G651" s="16"/>
      <c r="H651" s="16"/>
      <c r="I651" s="13"/>
      <c r="J651" s="330"/>
      <c r="K651" s="18">
        <v>1</v>
      </c>
      <c r="L651" s="1112" t="s">
        <v>53</v>
      </c>
      <c r="M651" s="1112"/>
      <c r="N651" s="1112"/>
      <c r="O651" s="19">
        <f>E651</f>
        <v>30</v>
      </c>
      <c r="P651" s="16"/>
      <c r="Q651" s="16"/>
      <c r="R651" s="16"/>
      <c r="S651" s="13"/>
    </row>
    <row r="652" spans="1:19">
      <c r="A652" s="18"/>
      <c r="B652" s="3"/>
      <c r="C652" s="3"/>
      <c r="D652" s="3"/>
      <c r="E652" s="3"/>
      <c r="F652" s="330"/>
      <c r="G652" s="330"/>
      <c r="H652" s="330"/>
      <c r="I652" s="13"/>
      <c r="J652" s="330"/>
      <c r="K652" s="18"/>
      <c r="L652" s="3"/>
      <c r="M652" s="3"/>
      <c r="N652" s="3"/>
      <c r="O652" s="3"/>
      <c r="P652" s="330"/>
      <c r="Q652" s="330"/>
      <c r="R652" s="330"/>
      <c r="S652" s="13"/>
    </row>
    <row r="653" spans="1:19">
      <c r="A653" s="18">
        <v>2</v>
      </c>
      <c r="B653" s="1114" t="s">
        <v>54</v>
      </c>
      <c r="C653" s="1114"/>
      <c r="D653" s="1114"/>
      <c r="E653" s="3"/>
      <c r="F653" s="330"/>
      <c r="G653" s="330"/>
      <c r="H653" s="330"/>
      <c r="I653" s="13"/>
      <c r="J653" s="330"/>
      <c r="K653" s="18">
        <v>2</v>
      </c>
      <c r="L653" s="1114" t="s">
        <v>54</v>
      </c>
      <c r="M653" s="1114"/>
      <c r="N653" s="1114"/>
      <c r="O653" s="3"/>
      <c r="P653" s="330"/>
      <c r="Q653" s="330"/>
      <c r="R653" s="330"/>
      <c r="S653" s="13"/>
    </row>
    <row r="654" spans="1:19">
      <c r="A654" s="18"/>
      <c r="B654" s="1114"/>
      <c r="C654" s="1114"/>
      <c r="D654" s="1114"/>
      <c r="E654" s="20" t="s">
        <v>37</v>
      </c>
      <c r="F654" s="16"/>
      <c r="G654" s="16"/>
      <c r="H654" s="16"/>
      <c r="I654" s="13"/>
      <c r="J654" s="330"/>
      <c r="K654" s="18"/>
      <c r="L654" s="1114"/>
      <c r="M654" s="1114"/>
      <c r="N654" s="1114"/>
      <c r="O654" s="20" t="s">
        <v>37</v>
      </c>
      <c r="P654" s="16"/>
      <c r="Q654" s="16"/>
      <c r="R654" s="16"/>
      <c r="S654" s="13"/>
    </row>
    <row r="655" spans="1:19">
      <c r="A655" s="18"/>
      <c r="B655" s="3"/>
      <c r="C655" s="3"/>
      <c r="D655" s="3"/>
      <c r="E655" s="3"/>
      <c r="F655" s="330"/>
      <c r="G655" s="330"/>
      <c r="H655" s="330"/>
      <c r="I655" s="13"/>
      <c r="J655" s="330"/>
      <c r="K655" s="18"/>
      <c r="L655" s="3"/>
      <c r="M655" s="3"/>
      <c r="N655" s="3"/>
      <c r="O655" s="3"/>
      <c r="P655" s="330"/>
      <c r="Q655" s="330"/>
      <c r="R655" s="330"/>
      <c r="S655" s="13"/>
    </row>
    <row r="656" spans="1:19">
      <c r="A656" s="18">
        <v>3</v>
      </c>
      <c r="B656" s="1112" t="s">
        <v>55</v>
      </c>
      <c r="C656" s="1112"/>
      <c r="D656" s="1112"/>
      <c r="E656" s="20" t="s">
        <v>37</v>
      </c>
      <c r="F656" s="16"/>
      <c r="G656" s="16"/>
      <c r="H656" s="16"/>
      <c r="I656" s="13"/>
      <c r="J656" s="330"/>
      <c r="K656" s="18">
        <v>3</v>
      </c>
      <c r="L656" s="1112" t="s">
        <v>55</v>
      </c>
      <c r="M656" s="1112"/>
      <c r="N656" s="1112"/>
      <c r="O656" s="15" t="str">
        <f>E656</f>
        <v>N/A</v>
      </c>
      <c r="P656" s="16"/>
      <c r="Q656" s="16"/>
      <c r="R656" s="16"/>
      <c r="S656" s="13"/>
    </row>
    <row r="657" spans="1:19">
      <c r="A657" s="18"/>
      <c r="B657" s="3"/>
      <c r="C657" s="3"/>
      <c r="D657" s="3"/>
      <c r="E657" s="3"/>
      <c r="F657" s="330"/>
      <c r="G657" s="330"/>
      <c r="H657" s="330"/>
      <c r="I657" s="13"/>
      <c r="J657" s="330"/>
      <c r="K657" s="18"/>
      <c r="L657" s="3"/>
      <c r="M657" s="3"/>
      <c r="N657" s="3"/>
      <c r="O657" s="3"/>
      <c r="P657" s="330"/>
      <c r="Q657" s="330"/>
      <c r="R657" s="330"/>
      <c r="S657" s="13"/>
    </row>
    <row r="658" spans="1:19">
      <c r="A658" s="18">
        <v>4</v>
      </c>
      <c r="B658" s="1112" t="s">
        <v>56</v>
      </c>
      <c r="C658" s="1112"/>
      <c r="D658" s="1112"/>
      <c r="E658" s="20" t="s">
        <v>57</v>
      </c>
      <c r="F658" s="16"/>
      <c r="G658" s="16"/>
      <c r="H658" s="16"/>
      <c r="I658" s="13"/>
      <c r="J658" s="330"/>
      <c r="K658" s="18">
        <v>4</v>
      </c>
      <c r="L658" s="1112" t="s">
        <v>56</v>
      </c>
      <c r="M658" s="1112"/>
      <c r="N658" s="1112"/>
      <c r="O658" s="20" t="s">
        <v>57</v>
      </c>
      <c r="P658" s="16"/>
      <c r="Q658" s="16"/>
      <c r="R658" s="16"/>
      <c r="S658" s="13"/>
    </row>
    <row r="659" spans="1:19">
      <c r="A659" s="18"/>
      <c r="B659" s="3"/>
      <c r="C659" s="3"/>
      <c r="D659" s="3"/>
      <c r="E659" s="3"/>
      <c r="F659" s="330"/>
      <c r="G659" s="330"/>
      <c r="H659" s="330"/>
      <c r="I659" s="13"/>
      <c r="J659" s="330"/>
      <c r="K659" s="18"/>
      <c r="L659" s="3"/>
      <c r="M659" s="3"/>
      <c r="N659" s="3"/>
      <c r="O659" s="3"/>
      <c r="P659" s="330"/>
      <c r="Q659" s="330"/>
      <c r="R659" s="330"/>
      <c r="S659" s="13"/>
    </row>
    <row r="660" spans="1:19">
      <c r="A660" s="18">
        <v>5</v>
      </c>
      <c r="B660" s="1112" t="s">
        <v>58</v>
      </c>
      <c r="C660" s="1112"/>
      <c r="D660" s="1112"/>
      <c r="E660" s="274">
        <f>'0422Master'!AM29</f>
        <v>43276.002619999992</v>
      </c>
      <c r="F660" s="330"/>
      <c r="G660" s="330"/>
      <c r="H660" s="330"/>
      <c r="I660" s="13"/>
      <c r="J660" s="330"/>
      <c r="K660" s="18">
        <v>5</v>
      </c>
      <c r="L660" s="1112" t="s">
        <v>58</v>
      </c>
      <c r="M660" s="1112"/>
      <c r="N660" s="1112"/>
      <c r="O660" s="274">
        <f>E660</f>
        <v>43276.002619999992</v>
      </c>
      <c r="P660" s="330"/>
      <c r="Q660" s="330"/>
      <c r="R660" s="330"/>
      <c r="S660" s="13"/>
    </row>
    <row r="661" spans="1:19">
      <c r="A661" s="18"/>
      <c r="B661" s="3"/>
      <c r="C661" s="3"/>
      <c r="D661" s="275" t="s">
        <v>59</v>
      </c>
      <c r="E661" s="275" t="s">
        <v>31</v>
      </c>
      <c r="F661" s="275" t="s">
        <v>33</v>
      </c>
      <c r="G661" s="275" t="s">
        <v>34</v>
      </c>
      <c r="H661" s="275" t="s">
        <v>378</v>
      </c>
      <c r="I661" s="273" t="s">
        <v>379</v>
      </c>
      <c r="J661" s="330"/>
      <c r="K661" s="18"/>
      <c r="L661" s="3"/>
      <c r="M661" s="3"/>
      <c r="N661" s="275" t="s">
        <v>59</v>
      </c>
      <c r="O661" s="275" t="s">
        <v>31</v>
      </c>
      <c r="P661" s="275" t="s">
        <v>33</v>
      </c>
      <c r="Q661" s="275" t="s">
        <v>34</v>
      </c>
      <c r="R661" s="275" t="s">
        <v>378</v>
      </c>
      <c r="S661" s="273" t="s">
        <v>379</v>
      </c>
    </row>
    <row r="662" spans="1:19">
      <c r="A662" s="18">
        <v>6</v>
      </c>
      <c r="B662" s="565" t="s">
        <v>60</v>
      </c>
      <c r="C662" s="565"/>
      <c r="D662" s="276">
        <f>'0422Master'!AO30</f>
        <v>1800</v>
      </c>
      <c r="E662" s="276">
        <f>'0422Master'!AN990</f>
        <v>0</v>
      </c>
      <c r="F662" s="277">
        <f>'0422Master'!AP30</f>
        <v>200</v>
      </c>
      <c r="G662" s="276">
        <f>'0422Master'!AQ30</f>
        <v>0</v>
      </c>
      <c r="H662" s="277">
        <f>'0422Master'!AR30</f>
        <v>283</v>
      </c>
      <c r="I662" s="277">
        <f>'0422Master'!AS990</f>
        <v>0</v>
      </c>
      <c r="J662" s="330"/>
      <c r="K662" s="18">
        <v>6</v>
      </c>
      <c r="L662" s="565" t="s">
        <v>60</v>
      </c>
      <c r="M662" s="565"/>
      <c r="N662" s="276">
        <f t="shared" ref="N662" si="44">D662</f>
        <v>1800</v>
      </c>
      <c r="O662" s="276">
        <f t="shared" ref="O662" si="45">E662</f>
        <v>0</v>
      </c>
      <c r="P662" s="277">
        <f t="shared" ref="P662" si="46">F662</f>
        <v>200</v>
      </c>
      <c r="Q662" s="276">
        <f t="shared" ref="Q662" si="47">G662</f>
        <v>0</v>
      </c>
      <c r="R662" s="277">
        <f t="shared" ref="R662" si="48">H662</f>
        <v>283</v>
      </c>
      <c r="S662" s="277">
        <f t="shared" ref="S662" si="49">I662</f>
        <v>0</v>
      </c>
    </row>
    <row r="663" spans="1:19">
      <c r="A663" s="18"/>
      <c r="B663" s="3"/>
      <c r="C663" s="3"/>
      <c r="D663" s="3"/>
      <c r="E663" s="3"/>
      <c r="F663" s="330"/>
      <c r="G663" s="330"/>
      <c r="H663" s="330"/>
      <c r="I663" s="13"/>
      <c r="J663" s="330"/>
      <c r="K663" s="18"/>
      <c r="L663" s="3"/>
      <c r="M663" s="3"/>
      <c r="N663" s="3"/>
      <c r="O663" s="3"/>
      <c r="P663" s="330"/>
      <c r="Q663" s="330"/>
      <c r="R663" s="330"/>
      <c r="S663" s="13"/>
    </row>
    <row r="664" spans="1:19">
      <c r="A664" s="18">
        <v>7</v>
      </c>
      <c r="B664" s="1112" t="s">
        <v>61</v>
      </c>
      <c r="C664" s="1112"/>
      <c r="D664" s="1112"/>
      <c r="E664" s="21">
        <f>E660-D662-E662-F662-G662-H662</f>
        <v>40993.002619999992</v>
      </c>
      <c r="F664" s="16"/>
      <c r="G664" s="16"/>
      <c r="H664" s="16"/>
      <c r="I664" s="13"/>
      <c r="J664" s="330"/>
      <c r="K664" s="18">
        <v>7</v>
      </c>
      <c r="L664" s="1112" t="s">
        <v>61</v>
      </c>
      <c r="M664" s="1112"/>
      <c r="N664" s="1112"/>
      <c r="O664" s="21">
        <f>E664</f>
        <v>40993.002619999992</v>
      </c>
      <c r="P664" s="16"/>
      <c r="Q664" s="16"/>
      <c r="R664" s="16"/>
      <c r="S664" s="13"/>
    </row>
    <row r="665" spans="1:19">
      <c r="A665" s="12"/>
      <c r="B665" s="330"/>
      <c r="C665" s="330"/>
      <c r="D665" s="330"/>
      <c r="E665" s="330"/>
      <c r="F665" s="330"/>
      <c r="G665" s="330"/>
      <c r="H665" s="330"/>
      <c r="I665" s="13"/>
      <c r="J665" s="330"/>
      <c r="K665" s="12"/>
      <c r="L665" s="330"/>
      <c r="M665" s="330"/>
      <c r="N665" s="330"/>
      <c r="O665" s="330"/>
      <c r="P665" s="330"/>
      <c r="Q665" s="330"/>
      <c r="R665" s="330"/>
      <c r="S665" s="13"/>
    </row>
    <row r="666" spans="1:19">
      <c r="A666" s="12"/>
      <c r="B666" s="330"/>
      <c r="C666" s="330"/>
      <c r="D666" s="330"/>
      <c r="E666" s="330"/>
      <c r="F666" s="330"/>
      <c r="G666" s="330"/>
      <c r="H666" s="330"/>
      <c r="I666" s="13"/>
      <c r="J666" s="330"/>
      <c r="K666" s="12"/>
      <c r="L666" s="330"/>
      <c r="M666" s="330"/>
      <c r="N666" s="330"/>
      <c r="O666" s="330"/>
      <c r="P666" s="330"/>
      <c r="Q666" s="330"/>
      <c r="R666" s="330"/>
      <c r="S666" s="13"/>
    </row>
    <row r="667" spans="1:19" ht="15.75" thickBot="1">
      <c r="A667" s="12"/>
      <c r="B667" s="330"/>
      <c r="C667" s="330"/>
      <c r="D667" s="330"/>
      <c r="E667" s="330"/>
      <c r="F667" s="22"/>
      <c r="G667" s="22"/>
      <c r="H667" s="22"/>
      <c r="I667" s="23"/>
      <c r="J667" s="330"/>
      <c r="K667" s="12"/>
      <c r="L667" s="330"/>
      <c r="M667" s="330"/>
      <c r="N667" s="330"/>
      <c r="O667" s="330"/>
      <c r="P667" s="22"/>
      <c r="Q667" s="22"/>
      <c r="R667" s="22"/>
      <c r="S667" s="23"/>
    </row>
    <row r="668" spans="1:19" ht="15.75" thickBot="1">
      <c r="A668" s="24"/>
      <c r="B668" s="22"/>
      <c r="C668" s="22"/>
      <c r="D668" s="22"/>
      <c r="E668" s="22"/>
      <c r="F668" s="1110" t="s">
        <v>62</v>
      </c>
      <c r="G668" s="1110"/>
      <c r="H668" s="1110"/>
      <c r="I668" s="1111"/>
      <c r="J668" s="330"/>
      <c r="K668" s="24"/>
      <c r="L668" s="22"/>
      <c r="M668" s="22"/>
      <c r="N668" s="22"/>
      <c r="O668" s="22"/>
      <c r="P668" s="1110" t="s">
        <v>62</v>
      </c>
      <c r="Q668" s="1110"/>
      <c r="R668" s="1110"/>
      <c r="S668" s="1111"/>
    </row>
    <row r="669" spans="1:19">
      <c r="A669" s="330"/>
      <c r="B669" s="330"/>
      <c r="C669" s="330"/>
      <c r="D669" s="330"/>
      <c r="E669" s="330"/>
      <c r="F669" s="330"/>
      <c r="G669" s="330"/>
      <c r="H669" s="330"/>
      <c r="I669" s="330"/>
      <c r="J669" s="330"/>
      <c r="K669" s="330"/>
      <c r="L669" s="330"/>
      <c r="M669" s="330"/>
      <c r="N669" s="330"/>
      <c r="O669" s="330"/>
      <c r="P669" s="330"/>
      <c r="Q669" s="330"/>
      <c r="R669" s="330"/>
      <c r="S669" s="330"/>
    </row>
    <row r="670" spans="1:19">
      <c r="A670" s="330"/>
      <c r="B670" s="330"/>
      <c r="C670" s="330"/>
      <c r="D670" s="330"/>
      <c r="E670" s="330"/>
      <c r="F670" s="330"/>
      <c r="G670" s="330"/>
      <c r="H670" s="330"/>
      <c r="I670" s="330"/>
      <c r="J670" s="330"/>
      <c r="K670" s="330"/>
      <c r="L670" s="330"/>
      <c r="M670" s="330"/>
      <c r="N670" s="330"/>
      <c r="O670" s="330"/>
      <c r="P670" s="330"/>
      <c r="Q670" s="330"/>
      <c r="R670" s="330"/>
      <c r="S670" s="330"/>
    </row>
    <row r="671" spans="1:19">
      <c r="A671" s="330"/>
      <c r="B671" s="330"/>
      <c r="C671" s="330"/>
      <c r="D671" s="330"/>
      <c r="E671" s="330"/>
      <c r="F671" s="330"/>
      <c r="G671" s="330"/>
      <c r="H671" s="330"/>
      <c r="I671" s="330"/>
      <c r="J671" s="330"/>
      <c r="K671" s="330"/>
      <c r="L671" s="330"/>
      <c r="M671" s="330"/>
      <c r="N671" s="330"/>
      <c r="O671" s="330"/>
      <c r="P671" s="330"/>
      <c r="Q671" s="330"/>
      <c r="R671" s="330"/>
      <c r="S671" s="330"/>
    </row>
    <row r="672" spans="1:19">
      <c r="A672" s="330"/>
      <c r="B672" s="330"/>
      <c r="C672" s="330"/>
      <c r="D672" s="330"/>
      <c r="E672" s="330"/>
      <c r="F672" s="330"/>
      <c r="G672" s="330"/>
      <c r="H672" s="330"/>
      <c r="I672" s="330"/>
      <c r="J672" s="330"/>
      <c r="K672" s="330"/>
      <c r="L672" s="330"/>
      <c r="M672" s="330"/>
      <c r="N672" s="330"/>
      <c r="O672" s="330"/>
      <c r="P672" s="330"/>
      <c r="Q672" s="330"/>
      <c r="R672" s="330"/>
      <c r="S672" s="330"/>
    </row>
    <row r="673" spans="1:19">
      <c r="A673" s="330"/>
      <c r="B673" s="330"/>
      <c r="C673" s="330"/>
      <c r="D673" s="330"/>
      <c r="E673" s="330"/>
      <c r="F673" s="330"/>
      <c r="G673" s="330"/>
      <c r="H673" s="330"/>
      <c r="I673" s="330"/>
      <c r="J673" s="330"/>
      <c r="K673" s="330"/>
      <c r="L673" s="330"/>
      <c r="M673" s="330"/>
      <c r="N673" s="330"/>
      <c r="O673" s="330"/>
      <c r="P673" s="330"/>
      <c r="Q673" s="330"/>
      <c r="R673" s="330"/>
      <c r="S673" s="330"/>
    </row>
    <row r="674" spans="1:19">
      <c r="A674" s="330"/>
      <c r="B674" s="330"/>
      <c r="C674" s="330"/>
      <c r="D674" s="330"/>
      <c r="E674" s="330"/>
      <c r="F674" s="330"/>
      <c r="G674" s="330"/>
      <c r="H674" s="330"/>
      <c r="I674" s="330"/>
      <c r="J674" s="330"/>
      <c r="K674" s="330"/>
      <c r="L674" s="330"/>
      <c r="M674" s="330"/>
      <c r="N674" s="330"/>
      <c r="O674" s="330"/>
      <c r="P674" s="330"/>
      <c r="Q674" s="330"/>
      <c r="R674" s="330"/>
      <c r="S674" s="330"/>
    </row>
    <row r="675" spans="1:19">
      <c r="A675" s="330"/>
      <c r="B675" s="330"/>
      <c r="C675" s="330"/>
      <c r="D675" s="330"/>
      <c r="E675" s="330"/>
      <c r="F675" s="330"/>
      <c r="G675" s="330"/>
      <c r="H675" s="330"/>
      <c r="I675" s="330"/>
      <c r="J675" s="330"/>
      <c r="K675" s="330"/>
      <c r="L675" s="330"/>
      <c r="M675" s="330"/>
      <c r="N675" s="330"/>
      <c r="O675" s="330"/>
      <c r="P675" s="330"/>
      <c r="Q675" s="330"/>
      <c r="R675" s="330"/>
      <c r="S675" s="330"/>
    </row>
    <row r="676" spans="1:19">
      <c r="A676" s="330"/>
      <c r="B676" s="330"/>
      <c r="C676" s="330"/>
      <c r="D676" s="330"/>
      <c r="E676" s="330"/>
      <c r="F676" s="330"/>
      <c r="G676" s="330"/>
      <c r="H676" s="330"/>
      <c r="I676" s="330"/>
      <c r="J676" s="330"/>
      <c r="K676" s="330"/>
      <c r="L676" s="330"/>
      <c r="M676" s="330"/>
      <c r="N676" s="330"/>
      <c r="O676" s="330"/>
      <c r="P676" s="330"/>
      <c r="Q676" s="330"/>
      <c r="R676" s="330"/>
      <c r="S676" s="330"/>
    </row>
    <row r="677" spans="1:19">
      <c r="A677" s="330"/>
      <c r="B677" s="330"/>
      <c r="C677" s="330"/>
      <c r="D677" s="330"/>
      <c r="E677" s="330"/>
      <c r="F677" s="330"/>
      <c r="G677" s="330"/>
      <c r="H677" s="330"/>
      <c r="I677" s="330"/>
      <c r="J677" s="330"/>
      <c r="K677" s="330"/>
      <c r="L677" s="330"/>
      <c r="M677" s="330"/>
      <c r="N677" s="330"/>
      <c r="O677" s="330"/>
      <c r="P677" s="330"/>
      <c r="Q677" s="330"/>
      <c r="R677" s="330"/>
      <c r="S677" s="330"/>
    </row>
    <row r="678" spans="1:19">
      <c r="A678" s="330"/>
      <c r="B678" s="330"/>
      <c r="C678" s="330"/>
      <c r="D678" s="330"/>
      <c r="E678" s="330"/>
      <c r="F678" s="330"/>
      <c r="G678" s="330"/>
      <c r="H678" s="330"/>
      <c r="I678" s="330"/>
      <c r="J678" s="330"/>
      <c r="K678" s="330"/>
      <c r="L678" s="330"/>
      <c r="M678" s="330"/>
      <c r="N678" s="330"/>
      <c r="O678" s="330"/>
      <c r="P678" s="330"/>
      <c r="Q678" s="330"/>
      <c r="R678" s="330"/>
      <c r="S678" s="330"/>
    </row>
    <row r="679" spans="1:19">
      <c r="A679" s="330"/>
      <c r="B679" s="330"/>
      <c r="C679" s="330"/>
      <c r="D679" s="330"/>
      <c r="E679" s="330"/>
      <c r="F679" s="330"/>
      <c r="G679" s="330"/>
      <c r="H679" s="330"/>
      <c r="I679" s="330"/>
      <c r="J679" s="330"/>
      <c r="K679" s="330"/>
      <c r="L679" s="330"/>
      <c r="M679" s="330"/>
      <c r="N679" s="330"/>
      <c r="O679" s="330"/>
      <c r="P679" s="330"/>
      <c r="Q679" s="330"/>
      <c r="R679" s="330"/>
      <c r="S679" s="330"/>
    </row>
    <row r="680" spans="1:19">
      <c r="A680" s="330"/>
      <c r="B680" s="330"/>
      <c r="C680" s="330"/>
      <c r="D680" s="330"/>
      <c r="E680" s="330"/>
      <c r="F680" s="330"/>
      <c r="G680" s="330"/>
      <c r="H680" s="330"/>
      <c r="I680" s="330"/>
      <c r="J680" s="330"/>
      <c r="K680" s="330"/>
      <c r="L680" s="330"/>
      <c r="M680" s="330"/>
      <c r="N680" s="330"/>
      <c r="O680" s="330"/>
      <c r="P680" s="330"/>
      <c r="Q680" s="330"/>
      <c r="R680" s="330"/>
      <c r="S680" s="330"/>
    </row>
    <row r="681" spans="1:19">
      <c r="A681" s="330"/>
      <c r="B681" s="330"/>
      <c r="C681" s="330"/>
      <c r="D681" s="330"/>
      <c r="E681" s="330"/>
      <c r="F681" s="330"/>
      <c r="G681" s="330"/>
      <c r="H681" s="330"/>
      <c r="I681" s="330"/>
      <c r="J681" s="330"/>
      <c r="K681" s="330"/>
      <c r="L681" s="330"/>
      <c r="M681" s="330"/>
      <c r="N681" s="330"/>
      <c r="O681" s="330"/>
      <c r="P681" s="330"/>
      <c r="Q681" s="330"/>
      <c r="R681" s="330"/>
      <c r="S681" s="330"/>
    </row>
    <row r="682" spans="1:19" ht="15.75" thickBot="1">
      <c r="A682" s="330"/>
      <c r="B682" s="330"/>
      <c r="C682" s="330"/>
      <c r="D682" s="330"/>
      <c r="E682" s="330"/>
      <c r="F682" s="330"/>
      <c r="G682" s="330"/>
      <c r="H682" s="330"/>
      <c r="I682" s="330"/>
      <c r="J682" s="330"/>
      <c r="K682" s="330"/>
      <c r="L682" s="330"/>
      <c r="M682" s="330"/>
      <c r="N682" s="330"/>
      <c r="O682" s="330"/>
      <c r="P682" s="330"/>
      <c r="Q682" s="330"/>
      <c r="R682" s="330"/>
      <c r="S682" s="330"/>
    </row>
    <row r="683" spans="1:19" ht="26.25">
      <c r="A683" s="1116" t="s">
        <v>707</v>
      </c>
      <c r="B683" s="1117"/>
      <c r="C683" s="1117"/>
      <c r="D683" s="1117"/>
      <c r="E683" s="1117"/>
      <c r="F683" s="1117"/>
      <c r="G683" s="1117"/>
      <c r="H683" s="1117"/>
      <c r="I683" s="1118"/>
      <c r="J683" s="1371"/>
      <c r="K683" s="1116" t="s">
        <v>707</v>
      </c>
      <c r="L683" s="1117"/>
      <c r="M683" s="1117"/>
      <c r="N683" s="1117"/>
      <c r="O683" s="1117"/>
      <c r="P683" s="1117"/>
      <c r="Q683" s="1117"/>
      <c r="R683" s="1117"/>
      <c r="S683" s="1118"/>
    </row>
    <row r="684" spans="1:19" ht="15.75" thickBot="1">
      <c r="A684" s="1372" t="s">
        <v>708</v>
      </c>
      <c r="B684" s="1373"/>
      <c r="C684" s="1373"/>
      <c r="D684" s="1373"/>
      <c r="E684" s="1373"/>
      <c r="F684" s="1373"/>
      <c r="G684" s="1373"/>
      <c r="H684" s="1373"/>
      <c r="I684" s="1374"/>
      <c r="J684" s="557"/>
      <c r="K684" s="1372" t="s">
        <v>708</v>
      </c>
      <c r="L684" s="1373"/>
      <c r="M684" s="1373"/>
      <c r="N684" s="1373"/>
      <c r="O684" s="1373"/>
      <c r="P684" s="1373"/>
      <c r="Q684" s="1373"/>
      <c r="R684" s="1373"/>
      <c r="S684" s="1374"/>
    </row>
    <row r="685" spans="1:19">
      <c r="A685" s="555"/>
      <c r="B685" s="559"/>
      <c r="C685" s="559"/>
      <c r="D685" s="559"/>
      <c r="E685" s="559"/>
      <c r="F685" s="559"/>
      <c r="G685" s="559"/>
      <c r="H685" s="559"/>
      <c r="I685" s="554"/>
      <c r="J685" s="559"/>
      <c r="K685" s="555"/>
      <c r="L685" s="559"/>
      <c r="M685" s="559"/>
      <c r="N685" s="559"/>
      <c r="O685" s="559"/>
      <c r="P685" s="559"/>
      <c r="Q685" s="559"/>
      <c r="R685" s="559"/>
      <c r="S685" s="554"/>
    </row>
    <row r="686" spans="1:19">
      <c r="A686" s="14" t="s">
        <v>49</v>
      </c>
      <c r="B686" s="3"/>
      <c r="C686" s="3"/>
      <c r="D686" s="6" t="s">
        <v>384</v>
      </c>
      <c r="E686" s="559"/>
      <c r="F686" s="559"/>
      <c r="G686" s="559"/>
      <c r="H686" s="559"/>
      <c r="I686" s="554"/>
      <c r="J686" s="559"/>
      <c r="K686" s="14" t="s">
        <v>49</v>
      </c>
      <c r="L686" s="3"/>
      <c r="M686" s="3"/>
      <c r="N686" s="6" t="str">
        <f>D686</f>
        <v>Burgeon IT Services Pvt.Ltd.</v>
      </c>
      <c r="O686" s="559"/>
      <c r="P686" s="559"/>
      <c r="Q686" s="559"/>
      <c r="R686" s="559"/>
      <c r="S686" s="554"/>
    </row>
    <row r="687" spans="1:19">
      <c r="A687" s="14"/>
      <c r="B687" s="3" t="s">
        <v>385</v>
      </c>
      <c r="C687" s="3"/>
      <c r="D687" s="3"/>
      <c r="E687" s="559"/>
      <c r="F687" s="559"/>
      <c r="G687" s="559"/>
      <c r="H687" s="559"/>
      <c r="I687" s="554"/>
      <c r="J687" s="559"/>
      <c r="K687" s="14"/>
      <c r="L687" s="3" t="str">
        <f>B687</f>
        <v>Siri Mansion LIGB 436 Dr.A S Rao Nagar,Hyderabad</v>
      </c>
      <c r="M687" s="3"/>
      <c r="N687" s="3"/>
      <c r="O687" s="559"/>
      <c r="P687" s="559"/>
      <c r="Q687" s="559"/>
      <c r="R687" s="559"/>
      <c r="S687" s="554"/>
    </row>
    <row r="688" spans="1:19">
      <c r="A688" s="14"/>
      <c r="B688" s="3">
        <f>'0422Master'!F1069</f>
        <v>0</v>
      </c>
      <c r="C688" s="3"/>
      <c r="D688" s="3"/>
      <c r="E688" s="3"/>
      <c r="F688" s="559"/>
      <c r="G688" s="559"/>
      <c r="H688" s="559"/>
      <c r="I688" s="554"/>
      <c r="J688" s="559"/>
      <c r="K688" s="14"/>
      <c r="L688" s="3">
        <f>B688</f>
        <v>0</v>
      </c>
      <c r="M688" s="3"/>
      <c r="N688" s="3"/>
      <c r="O688" s="3"/>
      <c r="P688" s="559"/>
      <c r="Q688" s="559"/>
      <c r="R688" s="559"/>
      <c r="S688" s="554"/>
    </row>
    <row r="689" spans="1:19">
      <c r="A689" s="1113" t="s">
        <v>50</v>
      </c>
      <c r="B689" s="1114"/>
      <c r="C689" s="1114"/>
      <c r="D689" s="1114"/>
      <c r="E689" s="3"/>
      <c r="F689" s="559"/>
      <c r="G689" s="559"/>
      <c r="H689" s="559"/>
      <c r="I689" s="554"/>
      <c r="J689" s="559"/>
      <c r="K689" s="1113" t="s">
        <v>50</v>
      </c>
      <c r="L689" s="1114"/>
      <c r="M689" s="1114"/>
      <c r="N689" s="1114"/>
      <c r="O689" s="3"/>
      <c r="P689" s="559"/>
      <c r="Q689" s="559"/>
      <c r="R689" s="559"/>
      <c r="S689" s="554"/>
    </row>
    <row r="690" spans="1:19">
      <c r="A690" s="1113"/>
      <c r="B690" s="1114"/>
      <c r="C690" s="1114"/>
      <c r="D690" s="1114"/>
      <c r="E690" s="15" t="str">
        <f>'0422Master'!B31</f>
        <v>Uma  Mahesh P</v>
      </c>
      <c r="F690" s="1375"/>
      <c r="G690" s="1375"/>
      <c r="H690" s="1375" t="str">
        <f>'0422Master'!E31</f>
        <v>PENTAKOTA LAKSHI</v>
      </c>
      <c r="I690" s="554"/>
      <c r="J690" s="559"/>
      <c r="K690" s="1113"/>
      <c r="L690" s="1114"/>
      <c r="M690" s="1114"/>
      <c r="N690" s="1114"/>
      <c r="O690" s="15" t="str">
        <f>E690</f>
        <v>Uma  Mahesh P</v>
      </c>
      <c r="P690" s="1375"/>
      <c r="Q690" s="1375"/>
      <c r="R690" s="1375" t="str">
        <f>H690</f>
        <v>PENTAKOTA LAKSHI</v>
      </c>
      <c r="S690" s="554"/>
    </row>
    <row r="691" spans="1:19">
      <c r="A691" s="14"/>
      <c r="B691" s="3"/>
      <c r="C691" s="3"/>
      <c r="D691" s="3"/>
      <c r="E691" s="3"/>
      <c r="F691" s="559"/>
      <c r="G691" s="559"/>
      <c r="H691" s="559"/>
      <c r="I691" s="554"/>
      <c r="J691" s="559"/>
      <c r="K691" s="14"/>
      <c r="L691" s="3"/>
      <c r="M691" s="3"/>
      <c r="N691" s="3"/>
      <c r="O691" s="3"/>
      <c r="P691" s="559"/>
      <c r="Q691" s="559"/>
      <c r="R691" s="559"/>
      <c r="S691" s="554"/>
    </row>
    <row r="692" spans="1:19">
      <c r="A692" s="1115" t="s">
        <v>51</v>
      </c>
      <c r="B692" s="1112"/>
      <c r="C692" s="1112"/>
      <c r="D692" s="1112"/>
      <c r="E692" s="3" t="s">
        <v>374</v>
      </c>
      <c r="F692" s="1375"/>
      <c r="G692" s="1375"/>
      <c r="H692" s="1375"/>
      <c r="I692" s="554"/>
      <c r="J692" s="559"/>
      <c r="K692" s="1115" t="s">
        <v>51</v>
      </c>
      <c r="L692" s="1112"/>
      <c r="M692" s="1112"/>
      <c r="N692" s="1112"/>
      <c r="O692" s="15" t="str">
        <f>E692</f>
        <v>IT SUPPORTIVE SERVICES</v>
      </c>
      <c r="P692" s="1375"/>
      <c r="Q692" s="1375"/>
      <c r="R692" s="1375"/>
      <c r="S692" s="554"/>
    </row>
    <row r="693" spans="1:19">
      <c r="A693" s="14"/>
      <c r="B693" s="3"/>
      <c r="C693" s="3"/>
      <c r="D693" s="3"/>
      <c r="E693" s="3"/>
      <c r="F693" s="559"/>
      <c r="G693" s="559"/>
      <c r="H693" s="559"/>
      <c r="I693" s="554"/>
      <c r="J693" s="559"/>
      <c r="K693" s="14"/>
      <c r="L693" s="3"/>
      <c r="M693" s="3"/>
      <c r="N693" s="3"/>
      <c r="O693" s="3"/>
      <c r="P693" s="559"/>
      <c r="Q693" s="559"/>
      <c r="R693" s="559"/>
      <c r="S693" s="554"/>
    </row>
    <row r="694" spans="1:19">
      <c r="A694" s="1115" t="s">
        <v>52</v>
      </c>
      <c r="B694" s="1112"/>
      <c r="C694" s="1112"/>
      <c r="D694" s="1112"/>
      <c r="E694" s="17">
        <f>'0422Master'!D10</f>
        <v>44652</v>
      </c>
      <c r="F694" s="1375"/>
      <c r="G694" s="1375"/>
      <c r="H694" s="1375"/>
      <c r="I694" s="554"/>
      <c r="J694" s="559"/>
      <c r="K694" s="1115" t="s">
        <v>52</v>
      </c>
      <c r="L694" s="1112"/>
      <c r="M694" s="1112"/>
      <c r="N694" s="1112"/>
      <c r="O694" s="17">
        <f>E694</f>
        <v>44652</v>
      </c>
      <c r="P694" s="1375"/>
      <c r="Q694" s="1375"/>
      <c r="R694" s="1375"/>
      <c r="S694" s="554"/>
    </row>
    <row r="695" spans="1:19">
      <c r="A695" s="14"/>
      <c r="B695" s="3"/>
      <c r="C695" s="3"/>
      <c r="D695" s="3"/>
      <c r="E695" s="3"/>
      <c r="F695" s="559"/>
      <c r="G695" s="559"/>
      <c r="H695" s="559"/>
      <c r="I695" s="554"/>
      <c r="J695" s="559"/>
      <c r="K695" s="14"/>
      <c r="L695" s="3"/>
      <c r="M695" s="3"/>
      <c r="N695" s="3"/>
      <c r="O695" s="3"/>
      <c r="P695" s="559"/>
      <c r="Q695" s="559"/>
      <c r="R695" s="559"/>
      <c r="S695" s="554"/>
    </row>
    <row r="696" spans="1:19">
      <c r="A696" s="18">
        <v>1</v>
      </c>
      <c r="B696" s="1112" t="s">
        <v>53</v>
      </c>
      <c r="C696" s="1112"/>
      <c r="D696" s="1112"/>
      <c r="E696" s="19">
        <f>'0422Master'!W31</f>
        <v>29</v>
      </c>
      <c r="F696" s="1375"/>
      <c r="G696" s="1375"/>
      <c r="H696" s="1375"/>
      <c r="I696" s="554"/>
      <c r="J696" s="559"/>
      <c r="K696" s="18">
        <v>1</v>
      </c>
      <c r="L696" s="1112" t="s">
        <v>53</v>
      </c>
      <c r="M696" s="1112"/>
      <c r="N696" s="1112"/>
      <c r="O696" s="19">
        <f>E696</f>
        <v>29</v>
      </c>
      <c r="P696" s="1375"/>
      <c r="Q696" s="1375"/>
      <c r="R696" s="1375"/>
      <c r="S696" s="554"/>
    </row>
    <row r="697" spans="1:19">
      <c r="A697" s="18"/>
      <c r="B697" s="3"/>
      <c r="C697" s="3"/>
      <c r="D697" s="3"/>
      <c r="E697" s="3"/>
      <c r="F697" s="559"/>
      <c r="G697" s="559"/>
      <c r="H697" s="559"/>
      <c r="I697" s="554"/>
      <c r="J697" s="559"/>
      <c r="K697" s="18"/>
      <c r="L697" s="3"/>
      <c r="M697" s="3"/>
      <c r="N697" s="3"/>
      <c r="O697" s="3"/>
      <c r="P697" s="559"/>
      <c r="Q697" s="559"/>
      <c r="R697" s="559"/>
      <c r="S697" s="554"/>
    </row>
    <row r="698" spans="1:19">
      <c r="A698" s="18">
        <v>2</v>
      </c>
      <c r="B698" s="1114" t="s">
        <v>54</v>
      </c>
      <c r="C698" s="1114"/>
      <c r="D698" s="1114"/>
      <c r="E698" s="3"/>
      <c r="F698" s="559"/>
      <c r="G698" s="559"/>
      <c r="H698" s="559"/>
      <c r="I698" s="554"/>
      <c r="J698" s="559"/>
      <c r="K698" s="18">
        <v>2</v>
      </c>
      <c r="L698" s="1114" t="s">
        <v>54</v>
      </c>
      <c r="M698" s="1114"/>
      <c r="N698" s="1114"/>
      <c r="O698" s="3"/>
      <c r="P698" s="559"/>
      <c r="Q698" s="559"/>
      <c r="R698" s="559"/>
      <c r="S698" s="554"/>
    </row>
    <row r="699" spans="1:19">
      <c r="A699" s="18"/>
      <c r="B699" s="1114"/>
      <c r="C699" s="1114"/>
      <c r="D699" s="1114"/>
      <c r="E699" s="20" t="s">
        <v>37</v>
      </c>
      <c r="F699" s="1375"/>
      <c r="G699" s="1375"/>
      <c r="H699" s="1375"/>
      <c r="I699" s="554"/>
      <c r="J699" s="559"/>
      <c r="K699" s="18"/>
      <c r="L699" s="1114"/>
      <c r="M699" s="1114"/>
      <c r="N699" s="1114"/>
      <c r="O699" s="20" t="s">
        <v>37</v>
      </c>
      <c r="P699" s="1375"/>
      <c r="Q699" s="1375"/>
      <c r="R699" s="1375"/>
      <c r="S699" s="554"/>
    </row>
    <row r="700" spans="1:19">
      <c r="A700" s="18"/>
      <c r="B700" s="3"/>
      <c r="C700" s="3"/>
      <c r="D700" s="3"/>
      <c r="E700" s="3"/>
      <c r="F700" s="559"/>
      <c r="G700" s="559"/>
      <c r="H700" s="559"/>
      <c r="I700" s="554"/>
      <c r="J700" s="559"/>
      <c r="K700" s="18"/>
      <c r="L700" s="3"/>
      <c r="M700" s="3"/>
      <c r="N700" s="3"/>
      <c r="O700" s="3"/>
      <c r="P700" s="559"/>
      <c r="Q700" s="559"/>
      <c r="R700" s="559"/>
      <c r="S700" s="554"/>
    </row>
    <row r="701" spans="1:19">
      <c r="A701" s="18">
        <v>3</v>
      </c>
      <c r="B701" s="1112" t="s">
        <v>55</v>
      </c>
      <c r="C701" s="1112"/>
      <c r="D701" s="1112"/>
      <c r="E701" s="20" t="s">
        <v>37</v>
      </c>
      <c r="F701" s="1375"/>
      <c r="G701" s="1375"/>
      <c r="H701" s="1375"/>
      <c r="I701" s="554"/>
      <c r="J701" s="559"/>
      <c r="K701" s="18">
        <v>3</v>
      </c>
      <c r="L701" s="1112" t="s">
        <v>55</v>
      </c>
      <c r="M701" s="1112"/>
      <c r="N701" s="1112"/>
      <c r="O701" s="15" t="str">
        <f>E701</f>
        <v>N/A</v>
      </c>
      <c r="P701" s="1375"/>
      <c r="Q701" s="1375"/>
      <c r="R701" s="1375"/>
      <c r="S701" s="554"/>
    </row>
    <row r="702" spans="1:19">
      <c r="A702" s="18"/>
      <c r="B702" s="3"/>
      <c r="C702" s="3"/>
      <c r="D702" s="3"/>
      <c r="E702" s="3"/>
      <c r="F702" s="559"/>
      <c r="G702" s="559"/>
      <c r="H702" s="559"/>
      <c r="I702" s="554"/>
      <c r="J702" s="559"/>
      <c r="K702" s="18"/>
      <c r="L702" s="3"/>
      <c r="M702" s="3"/>
      <c r="N702" s="3"/>
      <c r="O702" s="3"/>
      <c r="P702" s="559"/>
      <c r="Q702" s="559"/>
      <c r="R702" s="559"/>
      <c r="S702" s="554"/>
    </row>
    <row r="703" spans="1:19">
      <c r="A703" s="18">
        <v>4</v>
      </c>
      <c r="B703" s="1112" t="s">
        <v>56</v>
      </c>
      <c r="C703" s="1112"/>
      <c r="D703" s="1112"/>
      <c r="E703" s="20" t="s">
        <v>57</v>
      </c>
      <c r="F703" s="1375"/>
      <c r="G703" s="1375"/>
      <c r="H703" s="1375"/>
      <c r="I703" s="554"/>
      <c r="J703" s="559"/>
      <c r="K703" s="18">
        <v>4</v>
      </c>
      <c r="L703" s="1112" t="s">
        <v>56</v>
      </c>
      <c r="M703" s="1112"/>
      <c r="N703" s="1112"/>
      <c r="O703" s="20" t="s">
        <v>57</v>
      </c>
      <c r="P703" s="1375"/>
      <c r="Q703" s="1375"/>
      <c r="R703" s="1375"/>
      <c r="S703" s="554"/>
    </row>
    <row r="704" spans="1:19">
      <c r="A704" s="18"/>
      <c r="B704" s="3"/>
      <c r="C704" s="3"/>
      <c r="D704" s="3"/>
      <c r="E704" s="3"/>
      <c r="F704" s="559"/>
      <c r="G704" s="559"/>
      <c r="H704" s="559"/>
      <c r="I704" s="554"/>
      <c r="J704" s="559"/>
      <c r="K704" s="18"/>
      <c r="L704" s="3"/>
      <c r="M704" s="3"/>
      <c r="N704" s="3"/>
      <c r="O704" s="3"/>
      <c r="P704" s="559"/>
      <c r="Q704" s="559"/>
      <c r="R704" s="559"/>
      <c r="S704" s="554"/>
    </row>
    <row r="705" spans="1:19">
      <c r="A705" s="18">
        <v>5</v>
      </c>
      <c r="B705" s="1112" t="s">
        <v>58</v>
      </c>
      <c r="C705" s="1112"/>
      <c r="D705" s="1112"/>
      <c r="E705" s="274">
        <f>'0422Master'!AM31</f>
        <v>41889.056165999995</v>
      </c>
      <c r="F705" s="559"/>
      <c r="G705" s="559"/>
      <c r="H705" s="559"/>
      <c r="I705" s="554"/>
      <c r="J705" s="559"/>
      <c r="K705" s="18">
        <v>5</v>
      </c>
      <c r="L705" s="1112" t="s">
        <v>58</v>
      </c>
      <c r="M705" s="1112"/>
      <c r="N705" s="1112"/>
      <c r="O705" s="274">
        <f>E705</f>
        <v>41889.056165999995</v>
      </c>
      <c r="P705" s="559"/>
      <c r="Q705" s="559"/>
      <c r="R705" s="559"/>
      <c r="S705" s="554"/>
    </row>
    <row r="706" spans="1:19">
      <c r="A706" s="18"/>
      <c r="B706" s="3"/>
      <c r="C706" s="3"/>
      <c r="D706" s="275" t="s">
        <v>59</v>
      </c>
      <c r="E706" s="275" t="s">
        <v>31</v>
      </c>
      <c r="F706" s="275" t="s">
        <v>33</v>
      </c>
      <c r="G706" s="275" t="s">
        <v>34</v>
      </c>
      <c r="H706" s="275" t="s">
        <v>378</v>
      </c>
      <c r="I706" s="1376" t="s">
        <v>379</v>
      </c>
      <c r="J706" s="559"/>
      <c r="K706" s="18"/>
      <c r="L706" s="3"/>
      <c r="M706" s="3"/>
      <c r="N706" s="275" t="s">
        <v>59</v>
      </c>
      <c r="O706" s="275" t="s">
        <v>31</v>
      </c>
      <c r="P706" s="275" t="s">
        <v>33</v>
      </c>
      <c r="Q706" s="275" t="s">
        <v>34</v>
      </c>
      <c r="R706" s="275" t="s">
        <v>378</v>
      </c>
      <c r="S706" s="1376" t="s">
        <v>379</v>
      </c>
    </row>
    <row r="707" spans="1:19">
      <c r="A707" s="18">
        <v>6</v>
      </c>
      <c r="B707" s="950" t="s">
        <v>60</v>
      </c>
      <c r="C707" s="950"/>
      <c r="D707" s="276">
        <f>'0422Master'!AO31</f>
        <v>1800</v>
      </c>
      <c r="E707" s="276">
        <f>'0422Master'!AN1080</f>
        <v>0</v>
      </c>
      <c r="F707" s="1377">
        <f>'0422Master'!AP31</f>
        <v>200</v>
      </c>
      <c r="G707" s="276">
        <f>'0422Master'!AQ31</f>
        <v>0</v>
      </c>
      <c r="H707" s="1377">
        <f>'0422Master'!AR31</f>
        <v>283</v>
      </c>
      <c r="I707" s="1377">
        <f>'0422Master'!AS1080</f>
        <v>0</v>
      </c>
      <c r="J707" s="559"/>
      <c r="K707" s="18">
        <v>6</v>
      </c>
      <c r="L707" s="950" t="s">
        <v>60</v>
      </c>
      <c r="M707" s="950"/>
      <c r="N707" s="276">
        <f t="shared" ref="N707" si="50">D707</f>
        <v>1800</v>
      </c>
      <c r="O707" s="276">
        <f t="shared" ref="O707" si="51">E707</f>
        <v>0</v>
      </c>
      <c r="P707" s="1377">
        <f t="shared" ref="P707" si="52">F707</f>
        <v>200</v>
      </c>
      <c r="Q707" s="276">
        <f t="shared" ref="Q707" si="53">G707</f>
        <v>0</v>
      </c>
      <c r="R707" s="1377">
        <f t="shared" ref="R707" si="54">H707</f>
        <v>283</v>
      </c>
      <c r="S707" s="1377">
        <f t="shared" ref="S707" si="55">I707</f>
        <v>0</v>
      </c>
    </row>
    <row r="708" spans="1:19">
      <c r="A708" s="18"/>
      <c r="B708" s="3"/>
      <c r="C708" s="3"/>
      <c r="D708" s="3"/>
      <c r="E708" s="3"/>
      <c r="F708" s="559"/>
      <c r="G708" s="559"/>
      <c r="H708" s="559"/>
      <c r="I708" s="554"/>
      <c r="J708" s="559"/>
      <c r="K708" s="18"/>
      <c r="L708" s="3"/>
      <c r="M708" s="3"/>
      <c r="N708" s="3"/>
      <c r="O708" s="3"/>
      <c r="P708" s="559"/>
      <c r="Q708" s="559"/>
      <c r="R708" s="559"/>
      <c r="S708" s="554"/>
    </row>
    <row r="709" spans="1:19">
      <c r="A709" s="18">
        <v>7</v>
      </c>
      <c r="B709" s="1112" t="s">
        <v>61</v>
      </c>
      <c r="C709" s="1112"/>
      <c r="D709" s="1112"/>
      <c r="E709" s="21">
        <f>E705-D707-E707-F707-G707-H707</f>
        <v>39606.056165999995</v>
      </c>
      <c r="F709" s="1375"/>
      <c r="G709" s="1375"/>
      <c r="H709" s="1375"/>
      <c r="I709" s="554"/>
      <c r="J709" s="559"/>
      <c r="K709" s="18">
        <v>7</v>
      </c>
      <c r="L709" s="1112" t="s">
        <v>61</v>
      </c>
      <c r="M709" s="1112"/>
      <c r="N709" s="1112"/>
      <c r="O709" s="21">
        <f>E709</f>
        <v>39606.056165999995</v>
      </c>
      <c r="P709" s="1375"/>
      <c r="Q709" s="1375"/>
      <c r="R709" s="1375"/>
      <c r="S709" s="554"/>
    </row>
    <row r="710" spans="1:19">
      <c r="A710" s="555"/>
      <c r="B710" s="559"/>
      <c r="C710" s="559"/>
      <c r="D710" s="559"/>
      <c r="E710" s="559"/>
      <c r="F710" s="559"/>
      <c r="G710" s="559"/>
      <c r="H710" s="559"/>
      <c r="I710" s="554"/>
      <c r="J710" s="559"/>
      <c r="K710" s="555"/>
      <c r="L710" s="559"/>
      <c r="M710" s="559"/>
      <c r="N710" s="559"/>
      <c r="O710" s="559"/>
      <c r="P710" s="559"/>
      <c r="Q710" s="559"/>
      <c r="R710" s="559"/>
      <c r="S710" s="554"/>
    </row>
    <row r="711" spans="1:19">
      <c r="A711" s="555"/>
      <c r="B711" s="559"/>
      <c r="C711" s="559"/>
      <c r="D711" s="559"/>
      <c r="E711" s="559"/>
      <c r="F711" s="559"/>
      <c r="G711" s="559"/>
      <c r="H711" s="559"/>
      <c r="I711" s="554"/>
      <c r="J711" s="559"/>
      <c r="K711" s="555"/>
      <c r="L711" s="559"/>
      <c r="M711" s="559"/>
      <c r="N711" s="559"/>
      <c r="O711" s="559"/>
      <c r="P711" s="559"/>
      <c r="Q711" s="559"/>
      <c r="R711" s="559"/>
      <c r="S711" s="554"/>
    </row>
    <row r="712" spans="1:19" ht="15.75" thickBot="1">
      <c r="A712" s="555"/>
      <c r="B712" s="559"/>
      <c r="C712" s="559"/>
      <c r="D712" s="559"/>
      <c r="E712" s="559"/>
      <c r="F712" s="557"/>
      <c r="G712" s="557"/>
      <c r="H712" s="557"/>
      <c r="I712" s="558"/>
      <c r="J712" s="559"/>
      <c r="K712" s="555"/>
      <c r="L712" s="559"/>
      <c r="M712" s="559"/>
      <c r="N712" s="559"/>
      <c r="O712" s="559"/>
      <c r="P712" s="557"/>
      <c r="Q712" s="557"/>
      <c r="R712" s="557"/>
      <c r="S712" s="558"/>
    </row>
    <row r="713" spans="1:19" ht="15.75" thickBot="1">
      <c r="A713" s="556"/>
      <c r="B713" s="557"/>
      <c r="C713" s="557"/>
      <c r="D713" s="557"/>
      <c r="E713" s="557"/>
      <c r="F713" s="1378" t="s">
        <v>62</v>
      </c>
      <c r="G713" s="1378"/>
      <c r="H713" s="1378"/>
      <c r="I713" s="1379"/>
      <c r="J713" s="559"/>
      <c r="K713" s="556"/>
      <c r="L713" s="557"/>
      <c r="M713" s="557"/>
      <c r="N713" s="557"/>
      <c r="O713" s="557"/>
      <c r="P713" s="1378" t="s">
        <v>62</v>
      </c>
      <c r="Q713" s="1378"/>
      <c r="R713" s="1378"/>
      <c r="S713" s="1379"/>
    </row>
    <row r="714" spans="1:19">
      <c r="A714" s="559"/>
      <c r="B714" s="559"/>
      <c r="C714" s="559"/>
      <c r="D714" s="559"/>
      <c r="E714" s="559"/>
      <c r="F714" s="559"/>
      <c r="G714" s="559"/>
      <c r="H714" s="559"/>
      <c r="I714" s="559"/>
      <c r="J714" s="559"/>
      <c r="K714" s="559"/>
      <c r="L714" s="559"/>
      <c r="M714" s="559"/>
      <c r="N714" s="559"/>
      <c r="O714" s="559"/>
      <c r="P714" s="559"/>
      <c r="Q714" s="559"/>
      <c r="R714" s="559"/>
      <c r="S714" s="559"/>
    </row>
    <row r="715" spans="1:19">
      <c r="A715" s="559"/>
      <c r="B715" s="559"/>
      <c r="C715" s="559"/>
      <c r="D715" s="559"/>
      <c r="E715" s="559"/>
      <c r="F715" s="559"/>
      <c r="G715" s="559"/>
      <c r="H715" s="559"/>
      <c r="I715" s="559"/>
      <c r="J715" s="559"/>
      <c r="K715" s="559"/>
      <c r="L715" s="559"/>
      <c r="M715" s="559"/>
      <c r="N715" s="559"/>
      <c r="O715" s="559"/>
      <c r="P715" s="559"/>
      <c r="Q715" s="559"/>
      <c r="R715" s="559"/>
      <c r="S715" s="559"/>
    </row>
    <row r="716" spans="1:19">
      <c r="A716" s="559"/>
      <c r="B716" s="559"/>
      <c r="C716" s="559"/>
      <c r="D716" s="559"/>
      <c r="E716" s="559"/>
      <c r="F716" s="559"/>
      <c r="G716" s="559"/>
      <c r="H716" s="559"/>
      <c r="I716" s="559"/>
      <c r="J716" s="559"/>
      <c r="K716" s="559"/>
      <c r="L716" s="559"/>
      <c r="M716" s="559"/>
      <c r="N716" s="559"/>
      <c r="O716" s="559"/>
      <c r="P716" s="559"/>
      <c r="Q716" s="559"/>
      <c r="R716" s="559"/>
      <c r="S716" s="559"/>
    </row>
    <row r="717" spans="1:19">
      <c r="A717" s="559"/>
      <c r="B717" s="559"/>
      <c r="C717" s="559"/>
      <c r="D717" s="559"/>
      <c r="E717" s="559"/>
      <c r="F717" s="559"/>
      <c r="G717" s="559"/>
      <c r="H717" s="559"/>
      <c r="I717" s="559"/>
      <c r="J717" s="559"/>
      <c r="K717" s="559"/>
      <c r="L717" s="559"/>
      <c r="M717" s="559"/>
      <c r="N717" s="559"/>
      <c r="O717" s="559"/>
      <c r="P717" s="559"/>
      <c r="Q717" s="559"/>
      <c r="R717" s="559"/>
      <c r="S717" s="559"/>
    </row>
    <row r="718" spans="1:19">
      <c r="A718" s="559"/>
      <c r="B718" s="559"/>
      <c r="C718" s="559"/>
      <c r="D718" s="559"/>
      <c r="E718" s="559"/>
      <c r="F718" s="559"/>
      <c r="G718" s="559"/>
      <c r="H718" s="559"/>
      <c r="I718" s="559"/>
      <c r="J718" s="559"/>
      <c r="K718" s="559"/>
      <c r="L718" s="559"/>
      <c r="M718" s="559"/>
      <c r="N718" s="559"/>
      <c r="O718" s="559"/>
      <c r="P718" s="559"/>
      <c r="Q718" s="559"/>
      <c r="R718" s="559"/>
      <c r="S718" s="559"/>
    </row>
    <row r="719" spans="1:19">
      <c r="A719" s="559"/>
      <c r="B719" s="559"/>
      <c r="C719" s="559"/>
      <c r="D719" s="559"/>
      <c r="E719" s="559"/>
      <c r="F719" s="559"/>
      <c r="G719" s="559"/>
      <c r="H719" s="559"/>
      <c r="I719" s="559"/>
      <c r="J719" s="559"/>
      <c r="K719" s="559"/>
      <c r="L719" s="559"/>
      <c r="M719" s="559"/>
      <c r="N719" s="559"/>
      <c r="O719" s="559"/>
      <c r="P719" s="559"/>
      <c r="Q719" s="559"/>
      <c r="R719" s="559"/>
      <c r="S719" s="559"/>
    </row>
    <row r="720" spans="1:19">
      <c r="A720" s="559"/>
      <c r="B720" s="559"/>
      <c r="C720" s="559"/>
      <c r="D720" s="559"/>
      <c r="E720" s="559"/>
      <c r="F720" s="559"/>
      <c r="G720" s="559"/>
      <c r="H720" s="559"/>
      <c r="I720" s="559"/>
      <c r="J720" s="559"/>
      <c r="K720" s="559"/>
      <c r="L720" s="559"/>
      <c r="M720" s="559"/>
      <c r="N720" s="559"/>
      <c r="O720" s="559"/>
      <c r="P720" s="559"/>
      <c r="Q720" s="559"/>
      <c r="R720" s="559"/>
      <c r="S720" s="559"/>
    </row>
    <row r="721" spans="1:19">
      <c r="A721" s="559"/>
      <c r="B721" s="559"/>
      <c r="C721" s="559"/>
      <c r="D721" s="559"/>
      <c r="E721" s="559"/>
      <c r="F721" s="559"/>
      <c r="G721" s="559"/>
      <c r="H721" s="559"/>
      <c r="I721" s="559"/>
      <c r="J721" s="559"/>
      <c r="K721" s="559"/>
      <c r="L721" s="559"/>
      <c r="M721" s="559"/>
      <c r="N721" s="559"/>
      <c r="O721" s="559"/>
      <c r="P721" s="559"/>
      <c r="Q721" s="559"/>
      <c r="R721" s="559"/>
      <c r="S721" s="559"/>
    </row>
    <row r="722" spans="1:19">
      <c r="A722" s="946"/>
      <c r="B722" s="946"/>
      <c r="C722" s="946"/>
      <c r="D722" s="946"/>
      <c r="E722" s="946"/>
      <c r="F722" s="946"/>
      <c r="G722" s="946"/>
      <c r="H722" s="946"/>
      <c r="I722" s="946"/>
      <c r="J722" s="946"/>
      <c r="K722" s="946"/>
      <c r="L722" s="946"/>
      <c r="M722" s="946"/>
      <c r="N722" s="946"/>
      <c r="O722" s="946"/>
      <c r="P722" s="946"/>
      <c r="Q722" s="946"/>
      <c r="R722" s="946"/>
      <c r="S722" s="946"/>
    </row>
    <row r="723" spans="1:19">
      <c r="A723" s="946"/>
      <c r="B723" s="946"/>
      <c r="C723" s="946"/>
      <c r="D723" s="946"/>
      <c r="E723" s="946"/>
      <c r="F723" s="946"/>
      <c r="G723" s="946"/>
      <c r="H723" s="946"/>
      <c r="I723" s="946"/>
      <c r="J723" s="946"/>
      <c r="K723" s="946"/>
      <c r="L723" s="946"/>
      <c r="M723" s="946"/>
      <c r="N723" s="946"/>
      <c r="O723" s="946"/>
      <c r="P723" s="946"/>
      <c r="Q723" s="946"/>
      <c r="R723" s="946"/>
      <c r="S723" s="946"/>
    </row>
    <row r="724" spans="1:19">
      <c r="A724" s="946"/>
      <c r="B724" s="946"/>
      <c r="C724" s="946"/>
      <c r="D724" s="946"/>
      <c r="E724" s="946"/>
      <c r="F724" s="946"/>
      <c r="G724" s="946"/>
      <c r="H724" s="946"/>
      <c r="I724" s="946"/>
      <c r="J724" s="946"/>
      <c r="K724" s="946"/>
      <c r="L724" s="946"/>
      <c r="M724" s="946"/>
      <c r="N724" s="946"/>
      <c r="O724" s="946"/>
      <c r="P724" s="946"/>
      <c r="Q724" s="946"/>
      <c r="R724" s="946"/>
      <c r="S724" s="946"/>
    </row>
    <row r="725" spans="1:19">
      <c r="A725" s="946"/>
      <c r="B725" s="946"/>
      <c r="C725" s="946"/>
      <c r="D725" s="946"/>
      <c r="E725" s="946"/>
      <c r="F725" s="946"/>
      <c r="G725" s="946"/>
      <c r="H725" s="946"/>
      <c r="I725" s="946"/>
      <c r="J725" s="946"/>
      <c r="K725" s="946"/>
      <c r="L725" s="946"/>
      <c r="M725" s="946"/>
      <c r="N725" s="946"/>
      <c r="O725" s="946"/>
      <c r="P725" s="946"/>
      <c r="Q725" s="946"/>
      <c r="R725" s="946"/>
      <c r="S725" s="946"/>
    </row>
    <row r="726" spans="1:19">
      <c r="A726" s="946"/>
      <c r="B726" s="946"/>
      <c r="C726" s="946"/>
      <c r="D726" s="946"/>
      <c r="E726" s="946"/>
      <c r="F726" s="946"/>
      <c r="G726" s="946"/>
      <c r="H726" s="946"/>
      <c r="I726" s="946"/>
      <c r="J726" s="946"/>
      <c r="K726" s="946"/>
      <c r="L726" s="946"/>
      <c r="M726" s="946"/>
      <c r="N726" s="946"/>
      <c r="O726" s="946"/>
      <c r="P726" s="946"/>
      <c r="Q726" s="946"/>
      <c r="R726" s="946"/>
      <c r="S726" s="946"/>
    </row>
    <row r="727" spans="1:19" ht="15.75" thickBot="1">
      <c r="A727" s="946"/>
      <c r="B727" s="946"/>
      <c r="C727" s="946"/>
      <c r="D727" s="946"/>
      <c r="E727" s="946"/>
      <c r="F727" s="946"/>
      <c r="G727" s="946"/>
      <c r="H727" s="946"/>
      <c r="I727" s="946"/>
      <c r="J727" s="946"/>
      <c r="K727" s="946"/>
      <c r="L727" s="946"/>
      <c r="M727" s="946"/>
      <c r="N727" s="946"/>
      <c r="O727" s="946"/>
      <c r="P727" s="946"/>
      <c r="Q727" s="946"/>
      <c r="R727" s="946"/>
      <c r="S727" s="946"/>
    </row>
    <row r="728" spans="1:19" ht="26.25">
      <c r="A728" s="1116" t="s">
        <v>707</v>
      </c>
      <c r="B728" s="1117"/>
      <c r="C728" s="1117"/>
      <c r="D728" s="1117"/>
      <c r="E728" s="1117"/>
      <c r="F728" s="1117"/>
      <c r="G728" s="1117"/>
      <c r="H728" s="1117"/>
      <c r="I728" s="1118"/>
      <c r="J728" s="74"/>
      <c r="K728" s="1116" t="s">
        <v>707</v>
      </c>
      <c r="L728" s="1117"/>
      <c r="M728" s="1117"/>
      <c r="N728" s="1117"/>
      <c r="O728" s="1117"/>
      <c r="P728" s="1117"/>
      <c r="Q728" s="1117"/>
      <c r="R728" s="1117"/>
      <c r="S728" s="1118"/>
    </row>
    <row r="729" spans="1:19" ht="15.75" thickBot="1">
      <c r="A729" s="1119" t="s">
        <v>708</v>
      </c>
      <c r="B729" s="1120"/>
      <c r="C729" s="1120"/>
      <c r="D729" s="1120"/>
      <c r="E729" s="1120"/>
      <c r="F729" s="1120"/>
      <c r="G729" s="1120"/>
      <c r="H729" s="1120"/>
      <c r="I729" s="1121"/>
      <c r="J729" s="22"/>
      <c r="K729" s="1119" t="s">
        <v>708</v>
      </c>
      <c r="L729" s="1120"/>
      <c r="M729" s="1120"/>
      <c r="N729" s="1120"/>
      <c r="O729" s="1120"/>
      <c r="P729" s="1120"/>
      <c r="Q729" s="1120"/>
      <c r="R729" s="1120"/>
      <c r="S729" s="1121"/>
    </row>
    <row r="730" spans="1:19">
      <c r="A730" s="12"/>
      <c r="B730" s="330"/>
      <c r="C730" s="330"/>
      <c r="D730" s="330"/>
      <c r="E730" s="330"/>
      <c r="F730" s="330"/>
      <c r="G730" s="330"/>
      <c r="H730" s="330"/>
      <c r="I730" s="13"/>
      <c r="J730" s="330"/>
      <c r="K730" s="12"/>
      <c r="L730" s="330"/>
      <c r="M730" s="330"/>
      <c r="N730" s="330"/>
      <c r="O730" s="330"/>
      <c r="P730" s="330"/>
      <c r="Q730" s="330"/>
      <c r="R730" s="330"/>
      <c r="S730" s="13"/>
    </row>
    <row r="731" spans="1:19">
      <c r="A731" s="14" t="s">
        <v>49</v>
      </c>
      <c r="B731" s="3"/>
      <c r="C731" s="3"/>
      <c r="D731" s="6" t="s">
        <v>384</v>
      </c>
      <c r="E731" s="330"/>
      <c r="F731" s="330"/>
      <c r="G731" s="330"/>
      <c r="H731" s="330"/>
      <c r="I731" s="13"/>
      <c r="J731" s="330"/>
      <c r="K731" s="14" t="s">
        <v>49</v>
      </c>
      <c r="L731" s="3"/>
      <c r="M731" s="3"/>
      <c r="N731" s="6" t="str">
        <f>D731</f>
        <v>Burgeon IT Services Pvt.Ltd.</v>
      </c>
      <c r="O731" s="330"/>
      <c r="P731" s="330"/>
      <c r="Q731" s="330"/>
      <c r="R731" s="330"/>
      <c r="S731" s="13"/>
    </row>
    <row r="732" spans="1:19">
      <c r="A732" s="14"/>
      <c r="B732" s="3" t="s">
        <v>385</v>
      </c>
      <c r="C732" s="3"/>
      <c r="D732" s="3"/>
      <c r="E732" s="330"/>
      <c r="F732" s="330"/>
      <c r="G732" s="330"/>
      <c r="H732" s="330"/>
      <c r="I732" s="13"/>
      <c r="J732" s="330"/>
      <c r="K732" s="14"/>
      <c r="L732" s="3" t="str">
        <f>B732</f>
        <v>Siri Mansion LIGB 436 Dr.A S Rao Nagar,Hyderabad</v>
      </c>
      <c r="M732" s="3"/>
      <c r="N732" s="3"/>
      <c r="O732" s="330"/>
      <c r="P732" s="330"/>
      <c r="Q732" s="330"/>
      <c r="R732" s="330"/>
      <c r="S732" s="13"/>
    </row>
    <row r="733" spans="1:19">
      <c r="A733" s="14"/>
      <c r="B733" s="3">
        <f>'0422Master'!F1204</f>
        <v>0</v>
      </c>
      <c r="C733" s="3"/>
      <c r="D733" s="3"/>
      <c r="E733" s="3"/>
      <c r="F733" s="330"/>
      <c r="G733" s="330"/>
      <c r="H733" s="330"/>
      <c r="I733" s="13"/>
      <c r="J733" s="330"/>
      <c r="K733" s="14"/>
      <c r="L733" s="3">
        <f>B733</f>
        <v>0</v>
      </c>
      <c r="M733" s="3"/>
      <c r="N733" s="3"/>
      <c r="O733" s="3"/>
      <c r="P733" s="330"/>
      <c r="Q733" s="330"/>
      <c r="R733" s="330"/>
      <c r="S733" s="13"/>
    </row>
    <row r="734" spans="1:19">
      <c r="A734" s="1113" t="s">
        <v>50</v>
      </c>
      <c r="B734" s="1114"/>
      <c r="C734" s="1114"/>
      <c r="D734" s="1114"/>
      <c r="E734" s="3"/>
      <c r="F734" s="330"/>
      <c r="G734" s="330"/>
      <c r="H734" s="330"/>
      <c r="I734" s="13"/>
      <c r="J734" s="330"/>
      <c r="K734" s="1113" t="s">
        <v>50</v>
      </c>
      <c r="L734" s="1114"/>
      <c r="M734" s="1114"/>
      <c r="N734" s="1114"/>
      <c r="O734" s="3"/>
      <c r="P734" s="330"/>
      <c r="Q734" s="330"/>
      <c r="R734" s="330"/>
      <c r="S734" s="13"/>
    </row>
    <row r="735" spans="1:19">
      <c r="A735" s="1113"/>
      <c r="B735" s="1114"/>
      <c r="C735" s="1114"/>
      <c r="D735" s="1114"/>
      <c r="E735" s="15" t="str">
        <f>'0422Master'!B32</f>
        <v>NAGA SAI TEJA NUTHI</v>
      </c>
      <c r="F735" s="16"/>
      <c r="G735" s="16"/>
      <c r="H735" s="16" t="str">
        <f>'0422Master'!E32</f>
        <v>G seshaiah</v>
      </c>
      <c r="I735" s="13"/>
      <c r="J735" s="330"/>
      <c r="K735" s="1113"/>
      <c r="L735" s="1114"/>
      <c r="M735" s="1114"/>
      <c r="N735" s="1114"/>
      <c r="O735" s="15" t="str">
        <f>E735</f>
        <v>NAGA SAI TEJA NUTHI</v>
      </c>
      <c r="P735" s="16"/>
      <c r="Q735" s="16"/>
      <c r="R735" s="16" t="str">
        <f>H735</f>
        <v>G seshaiah</v>
      </c>
      <c r="S735" s="13"/>
    </row>
    <row r="736" spans="1:19">
      <c r="A736" s="14"/>
      <c r="B736" s="3"/>
      <c r="C736" s="3"/>
      <c r="D736" s="3"/>
      <c r="E736" s="3"/>
      <c r="F736" s="330"/>
      <c r="G736" s="330"/>
      <c r="H736" s="330"/>
      <c r="I736" s="13"/>
      <c r="J736" s="330"/>
      <c r="K736" s="14"/>
      <c r="L736" s="3"/>
      <c r="M736" s="3"/>
      <c r="N736" s="3"/>
      <c r="O736" s="3"/>
      <c r="P736" s="330"/>
      <c r="Q736" s="330"/>
      <c r="R736" s="330"/>
      <c r="S736" s="13"/>
    </row>
    <row r="737" spans="1:19">
      <c r="A737" s="1115" t="s">
        <v>51</v>
      </c>
      <c r="B737" s="1112"/>
      <c r="C737" s="1112"/>
      <c r="D737" s="1112"/>
      <c r="E737" s="3" t="s">
        <v>374</v>
      </c>
      <c r="F737" s="16"/>
      <c r="G737" s="16"/>
      <c r="H737" s="16"/>
      <c r="I737" s="13"/>
      <c r="J737" s="330"/>
      <c r="K737" s="1115" t="s">
        <v>51</v>
      </c>
      <c r="L737" s="1112"/>
      <c r="M737" s="1112"/>
      <c r="N737" s="1112"/>
      <c r="O737" s="15" t="str">
        <f>E737</f>
        <v>IT SUPPORTIVE SERVICES</v>
      </c>
      <c r="P737" s="16"/>
      <c r="Q737" s="16"/>
      <c r="R737" s="16"/>
      <c r="S737" s="13"/>
    </row>
    <row r="738" spans="1:19">
      <c r="A738" s="14"/>
      <c r="B738" s="3"/>
      <c r="C738" s="3"/>
      <c r="D738" s="3"/>
      <c r="E738" s="3"/>
      <c r="F738" s="330"/>
      <c r="G738" s="330"/>
      <c r="H738" s="330"/>
      <c r="I738" s="13"/>
      <c r="J738" s="330"/>
      <c r="K738" s="14"/>
      <c r="L738" s="3"/>
      <c r="M738" s="3"/>
      <c r="N738" s="3"/>
      <c r="O738" s="3"/>
      <c r="P738" s="330"/>
      <c r="Q738" s="330"/>
      <c r="R738" s="330"/>
      <c r="S738" s="13"/>
    </row>
    <row r="739" spans="1:19">
      <c r="A739" s="1115" t="s">
        <v>52</v>
      </c>
      <c r="B739" s="1112"/>
      <c r="C739" s="1112"/>
      <c r="D739" s="1112"/>
      <c r="E739" s="17">
        <f>'0422Master'!D10</f>
        <v>44652</v>
      </c>
      <c r="F739" s="16"/>
      <c r="G739" s="16"/>
      <c r="H739" s="16"/>
      <c r="I739" s="13"/>
      <c r="J739" s="330"/>
      <c r="K739" s="1115" t="s">
        <v>52</v>
      </c>
      <c r="L739" s="1112"/>
      <c r="M739" s="1112"/>
      <c r="N739" s="1112"/>
      <c r="O739" s="17">
        <f>E739</f>
        <v>44652</v>
      </c>
      <c r="P739" s="16"/>
      <c r="Q739" s="16"/>
      <c r="R739" s="16"/>
      <c r="S739" s="13"/>
    </row>
    <row r="740" spans="1:19">
      <c r="A740" s="14"/>
      <c r="B740" s="3"/>
      <c r="C740" s="3"/>
      <c r="D740" s="3"/>
      <c r="E740" s="3"/>
      <c r="F740" s="330"/>
      <c r="G740" s="330"/>
      <c r="H740" s="330"/>
      <c r="I740" s="13"/>
      <c r="J740" s="330"/>
      <c r="K740" s="14"/>
      <c r="L740" s="3"/>
      <c r="M740" s="3"/>
      <c r="N740" s="3"/>
      <c r="O740" s="3"/>
      <c r="P740" s="330"/>
      <c r="Q740" s="330"/>
      <c r="R740" s="330"/>
      <c r="S740" s="13"/>
    </row>
    <row r="741" spans="1:19">
      <c r="A741" s="18">
        <v>1</v>
      </c>
      <c r="B741" s="1112" t="s">
        <v>53</v>
      </c>
      <c r="C741" s="1112"/>
      <c r="D741" s="1112"/>
      <c r="E741" s="19">
        <f>'0422Master'!W32</f>
        <v>27</v>
      </c>
      <c r="F741" s="16"/>
      <c r="G741" s="16"/>
      <c r="H741" s="16"/>
      <c r="I741" s="13"/>
      <c r="J741" s="330"/>
      <c r="K741" s="18">
        <v>1</v>
      </c>
      <c r="L741" s="1112" t="s">
        <v>53</v>
      </c>
      <c r="M741" s="1112"/>
      <c r="N741" s="1112"/>
      <c r="O741" s="19">
        <f>E741</f>
        <v>27</v>
      </c>
      <c r="P741" s="16"/>
      <c r="Q741" s="16"/>
      <c r="R741" s="16"/>
      <c r="S741" s="13"/>
    </row>
    <row r="742" spans="1:19">
      <c r="A742" s="18"/>
      <c r="B742" s="3"/>
      <c r="C742" s="3"/>
      <c r="D742" s="3"/>
      <c r="E742" s="3"/>
      <c r="F742" s="330"/>
      <c r="G742" s="330"/>
      <c r="H742" s="330"/>
      <c r="I742" s="13"/>
      <c r="J742" s="330"/>
      <c r="K742" s="18"/>
      <c r="L742" s="3"/>
      <c r="M742" s="3"/>
      <c r="N742" s="3"/>
      <c r="O742" s="3"/>
      <c r="P742" s="330"/>
      <c r="Q742" s="330"/>
      <c r="R742" s="330"/>
      <c r="S742" s="13"/>
    </row>
    <row r="743" spans="1:19">
      <c r="A743" s="18">
        <v>2</v>
      </c>
      <c r="B743" s="1114" t="s">
        <v>54</v>
      </c>
      <c r="C743" s="1114"/>
      <c r="D743" s="1114"/>
      <c r="E743" s="3"/>
      <c r="F743" s="330"/>
      <c r="G743" s="330"/>
      <c r="H743" s="330"/>
      <c r="I743" s="13"/>
      <c r="J743" s="330"/>
      <c r="K743" s="18">
        <v>2</v>
      </c>
      <c r="L743" s="1114" t="s">
        <v>54</v>
      </c>
      <c r="M743" s="1114"/>
      <c r="N743" s="1114"/>
      <c r="O743" s="3"/>
      <c r="P743" s="330"/>
      <c r="Q743" s="330"/>
      <c r="R743" s="330"/>
      <c r="S743" s="13"/>
    </row>
    <row r="744" spans="1:19">
      <c r="A744" s="18"/>
      <c r="B744" s="1114"/>
      <c r="C744" s="1114"/>
      <c r="D744" s="1114"/>
      <c r="E744" s="20" t="s">
        <v>37</v>
      </c>
      <c r="F744" s="16"/>
      <c r="G744" s="16"/>
      <c r="H744" s="16"/>
      <c r="I744" s="13"/>
      <c r="J744" s="330"/>
      <c r="K744" s="18"/>
      <c r="L744" s="1114"/>
      <c r="M744" s="1114"/>
      <c r="N744" s="1114"/>
      <c r="O744" s="20" t="s">
        <v>37</v>
      </c>
      <c r="P744" s="16"/>
      <c r="Q744" s="16"/>
      <c r="R744" s="16"/>
      <c r="S744" s="13"/>
    </row>
    <row r="745" spans="1:19">
      <c r="A745" s="18"/>
      <c r="B745" s="3"/>
      <c r="C745" s="3"/>
      <c r="D745" s="3"/>
      <c r="E745" s="3"/>
      <c r="F745" s="330"/>
      <c r="G745" s="330"/>
      <c r="H745" s="330"/>
      <c r="I745" s="13"/>
      <c r="J745" s="330"/>
      <c r="K745" s="18"/>
      <c r="L745" s="3"/>
      <c r="M745" s="3"/>
      <c r="N745" s="3"/>
      <c r="O745" s="3"/>
      <c r="P745" s="330"/>
      <c r="Q745" s="330"/>
      <c r="R745" s="330"/>
      <c r="S745" s="13"/>
    </row>
    <row r="746" spans="1:19">
      <c r="A746" s="18">
        <v>3</v>
      </c>
      <c r="B746" s="1112" t="s">
        <v>55</v>
      </c>
      <c r="C746" s="1112"/>
      <c r="D746" s="1112"/>
      <c r="E746" s="20" t="s">
        <v>37</v>
      </c>
      <c r="F746" s="16"/>
      <c r="G746" s="16"/>
      <c r="H746" s="16"/>
      <c r="I746" s="13"/>
      <c r="J746" s="330"/>
      <c r="K746" s="18">
        <v>3</v>
      </c>
      <c r="L746" s="1112" t="s">
        <v>55</v>
      </c>
      <c r="M746" s="1112"/>
      <c r="N746" s="1112"/>
      <c r="O746" s="15" t="str">
        <f>E746</f>
        <v>N/A</v>
      </c>
      <c r="P746" s="16"/>
      <c r="Q746" s="16"/>
      <c r="R746" s="16"/>
      <c r="S746" s="13"/>
    </row>
    <row r="747" spans="1:19">
      <c r="A747" s="18"/>
      <c r="B747" s="3"/>
      <c r="C747" s="3"/>
      <c r="D747" s="3"/>
      <c r="E747" s="3"/>
      <c r="F747" s="330"/>
      <c r="G747" s="330"/>
      <c r="H747" s="330"/>
      <c r="I747" s="13"/>
      <c r="J747" s="330"/>
      <c r="K747" s="18"/>
      <c r="L747" s="3"/>
      <c r="M747" s="3"/>
      <c r="N747" s="3"/>
      <c r="O747" s="3"/>
      <c r="P747" s="330"/>
      <c r="Q747" s="330"/>
      <c r="R747" s="330"/>
      <c r="S747" s="13"/>
    </row>
    <row r="748" spans="1:19">
      <c r="A748" s="18">
        <v>4</v>
      </c>
      <c r="B748" s="1112" t="s">
        <v>56</v>
      </c>
      <c r="C748" s="1112"/>
      <c r="D748" s="1112"/>
      <c r="E748" s="20" t="s">
        <v>57</v>
      </c>
      <c r="F748" s="16"/>
      <c r="G748" s="16"/>
      <c r="H748" s="16"/>
      <c r="I748" s="13"/>
      <c r="J748" s="330"/>
      <c r="K748" s="18">
        <v>4</v>
      </c>
      <c r="L748" s="1112" t="s">
        <v>56</v>
      </c>
      <c r="M748" s="1112"/>
      <c r="N748" s="1112"/>
      <c r="O748" s="20" t="s">
        <v>57</v>
      </c>
      <c r="P748" s="16"/>
      <c r="Q748" s="16"/>
      <c r="R748" s="16"/>
      <c r="S748" s="13"/>
    </row>
    <row r="749" spans="1:19">
      <c r="A749" s="18"/>
      <c r="B749" s="3"/>
      <c r="C749" s="3"/>
      <c r="D749" s="3"/>
      <c r="E749" s="3"/>
      <c r="F749" s="330"/>
      <c r="G749" s="330"/>
      <c r="H749" s="330"/>
      <c r="I749" s="13"/>
      <c r="J749" s="330"/>
      <c r="K749" s="18"/>
      <c r="L749" s="3"/>
      <c r="M749" s="3"/>
      <c r="N749" s="3"/>
      <c r="O749" s="3"/>
      <c r="P749" s="330"/>
      <c r="Q749" s="330"/>
      <c r="R749" s="330"/>
      <c r="S749" s="13"/>
    </row>
    <row r="750" spans="1:19">
      <c r="A750" s="18">
        <v>5</v>
      </c>
      <c r="B750" s="1112" t="s">
        <v>58</v>
      </c>
      <c r="C750" s="1112"/>
      <c r="D750" s="1112"/>
      <c r="E750" s="274">
        <f>'0422Master'!AM32</f>
        <v>43615.627747999999</v>
      </c>
      <c r="F750" s="330"/>
      <c r="G750" s="330"/>
      <c r="H750" s="330"/>
      <c r="I750" s="13"/>
      <c r="J750" s="330"/>
      <c r="K750" s="18">
        <v>5</v>
      </c>
      <c r="L750" s="1112" t="s">
        <v>58</v>
      </c>
      <c r="M750" s="1112"/>
      <c r="N750" s="1112"/>
      <c r="O750" s="274">
        <f>E750</f>
        <v>43615.627747999999</v>
      </c>
      <c r="P750" s="330"/>
      <c r="Q750" s="330"/>
      <c r="R750" s="330"/>
      <c r="S750" s="13"/>
    </row>
    <row r="751" spans="1:19">
      <c r="A751" s="18"/>
      <c r="B751" s="3"/>
      <c r="C751" s="3"/>
      <c r="D751" s="275" t="s">
        <v>59</v>
      </c>
      <c r="E751" s="275" t="s">
        <v>31</v>
      </c>
      <c r="F751" s="275" t="s">
        <v>33</v>
      </c>
      <c r="G751" s="275" t="s">
        <v>34</v>
      </c>
      <c r="H751" s="275" t="s">
        <v>378</v>
      </c>
      <c r="I751" s="273" t="s">
        <v>379</v>
      </c>
      <c r="J751" s="330"/>
      <c r="K751" s="18"/>
      <c r="L751" s="3"/>
      <c r="M751" s="3"/>
      <c r="N751" s="275" t="s">
        <v>59</v>
      </c>
      <c r="O751" s="275" t="s">
        <v>31</v>
      </c>
      <c r="P751" s="275" t="s">
        <v>33</v>
      </c>
      <c r="Q751" s="275" t="s">
        <v>34</v>
      </c>
      <c r="R751" s="275" t="s">
        <v>378</v>
      </c>
      <c r="S751" s="273" t="s">
        <v>379</v>
      </c>
    </row>
    <row r="752" spans="1:19">
      <c r="A752" s="18">
        <v>6</v>
      </c>
      <c r="B752" s="732" t="s">
        <v>60</v>
      </c>
      <c r="C752" s="732"/>
      <c r="D752" s="276">
        <f>'0422Master'!AO32</f>
        <v>1800</v>
      </c>
      <c r="E752" s="276">
        <f>'0422Master'!AN1215</f>
        <v>0</v>
      </c>
      <c r="F752" s="277">
        <f>'0422Master'!AP32</f>
        <v>200</v>
      </c>
      <c r="G752" s="276">
        <f>'0422Master'!AQ32</f>
        <v>0</v>
      </c>
      <c r="H752" s="277">
        <f>'0422Master'!AR32</f>
        <v>283</v>
      </c>
      <c r="I752" s="277">
        <f>'0422Master'!AS1215</f>
        <v>0</v>
      </c>
      <c r="J752" s="330"/>
      <c r="K752" s="18">
        <v>6</v>
      </c>
      <c r="L752" s="732" t="s">
        <v>60</v>
      </c>
      <c r="M752" s="732"/>
      <c r="N752" s="276">
        <f t="shared" ref="N752" si="56">D752</f>
        <v>1800</v>
      </c>
      <c r="O752" s="276">
        <f t="shared" ref="O752" si="57">E752</f>
        <v>0</v>
      </c>
      <c r="P752" s="277">
        <f t="shared" ref="P752" si="58">F752</f>
        <v>200</v>
      </c>
      <c r="Q752" s="276">
        <f t="shared" ref="Q752" si="59">G752</f>
        <v>0</v>
      </c>
      <c r="R752" s="277">
        <f t="shared" ref="R752" si="60">H752</f>
        <v>283</v>
      </c>
      <c r="S752" s="277">
        <f t="shared" ref="S752" si="61">I752</f>
        <v>0</v>
      </c>
    </row>
    <row r="753" spans="1:19">
      <c r="A753" s="18"/>
      <c r="B753" s="3"/>
      <c r="C753" s="3"/>
      <c r="D753" s="3"/>
      <c r="E753" s="3"/>
      <c r="F753" s="330"/>
      <c r="G753" s="330"/>
      <c r="H753" s="330"/>
      <c r="I753" s="13"/>
      <c r="J753" s="330"/>
      <c r="K753" s="18"/>
      <c r="L753" s="3"/>
      <c r="M753" s="3"/>
      <c r="N753" s="3"/>
      <c r="O753" s="3"/>
      <c r="P753" s="330"/>
      <c r="Q753" s="330"/>
      <c r="R753" s="330"/>
      <c r="S753" s="13"/>
    </row>
    <row r="754" spans="1:19">
      <c r="A754" s="18">
        <v>7</v>
      </c>
      <c r="B754" s="1112" t="s">
        <v>61</v>
      </c>
      <c r="C754" s="1112"/>
      <c r="D754" s="1112"/>
      <c r="E754" s="21">
        <f>E750-D752-E752-F752-G752-H752</f>
        <v>41332.627747999999</v>
      </c>
      <c r="F754" s="16"/>
      <c r="G754" s="16"/>
      <c r="H754" s="16"/>
      <c r="I754" s="13"/>
      <c r="J754" s="330"/>
      <c r="K754" s="18">
        <v>7</v>
      </c>
      <c r="L754" s="1112" t="s">
        <v>61</v>
      </c>
      <c r="M754" s="1112"/>
      <c r="N754" s="1112"/>
      <c r="O754" s="21">
        <f>E754</f>
        <v>41332.627747999999</v>
      </c>
      <c r="P754" s="16"/>
      <c r="Q754" s="16"/>
      <c r="R754" s="16"/>
      <c r="S754" s="13"/>
    </row>
    <row r="755" spans="1:19">
      <c r="A755" s="12"/>
      <c r="B755" s="330"/>
      <c r="C755" s="330"/>
      <c r="D755" s="330"/>
      <c r="E755" s="330"/>
      <c r="F755" s="330"/>
      <c r="G755" s="330"/>
      <c r="H755" s="330"/>
      <c r="I755" s="13"/>
      <c r="J755" s="330"/>
      <c r="K755" s="12"/>
      <c r="L755" s="330"/>
      <c r="M755" s="330"/>
      <c r="N755" s="330"/>
      <c r="O755" s="330"/>
      <c r="P755" s="330"/>
      <c r="Q755" s="330"/>
      <c r="R755" s="330"/>
      <c r="S755" s="13"/>
    </row>
    <row r="756" spans="1:19">
      <c r="A756" s="12"/>
      <c r="B756" s="330"/>
      <c r="C756" s="330"/>
      <c r="D756" s="330"/>
      <c r="E756" s="330"/>
      <c r="F756" s="330"/>
      <c r="G756" s="330"/>
      <c r="H756" s="330"/>
      <c r="I756" s="13"/>
      <c r="J756" s="330"/>
      <c r="K756" s="12"/>
      <c r="L756" s="330"/>
      <c r="M756" s="330"/>
      <c r="N756" s="330"/>
      <c r="O756" s="330"/>
      <c r="P756" s="330"/>
      <c r="Q756" s="330"/>
      <c r="R756" s="330"/>
      <c r="S756" s="13"/>
    </row>
    <row r="757" spans="1:19" ht="15.75" thickBot="1">
      <c r="A757" s="12"/>
      <c r="B757" s="330"/>
      <c r="C757" s="330"/>
      <c r="D757" s="330"/>
      <c r="E757" s="330"/>
      <c r="F757" s="22"/>
      <c r="G757" s="22"/>
      <c r="H757" s="22"/>
      <c r="I757" s="23"/>
      <c r="J757" s="330"/>
      <c r="K757" s="12"/>
      <c r="L757" s="330"/>
      <c r="M757" s="330"/>
      <c r="N757" s="330"/>
      <c r="O757" s="330"/>
      <c r="P757" s="22"/>
      <c r="Q757" s="22"/>
      <c r="R757" s="22"/>
      <c r="S757" s="23"/>
    </row>
    <row r="758" spans="1:19" ht="15.75" thickBot="1">
      <c r="A758" s="24"/>
      <c r="B758" s="22"/>
      <c r="C758" s="22"/>
      <c r="D758" s="22"/>
      <c r="E758" s="22"/>
      <c r="F758" s="1110" t="s">
        <v>62</v>
      </c>
      <c r="G758" s="1110"/>
      <c r="H758" s="1110"/>
      <c r="I758" s="1111"/>
      <c r="J758" s="330"/>
      <c r="K758" s="24"/>
      <c r="L758" s="22"/>
      <c r="M758" s="22"/>
      <c r="N758" s="22"/>
      <c r="O758" s="22"/>
      <c r="P758" s="1110" t="s">
        <v>62</v>
      </c>
      <c r="Q758" s="1110"/>
      <c r="R758" s="1110"/>
      <c r="S758" s="1111"/>
    </row>
    <row r="759" spans="1:19">
      <c r="A759" s="330"/>
      <c r="B759" s="330"/>
      <c r="C759" s="330"/>
      <c r="D759" s="330"/>
      <c r="E759" s="330"/>
      <c r="F759" s="330"/>
      <c r="G759" s="330"/>
      <c r="H759" s="330"/>
      <c r="I759" s="330"/>
      <c r="J759" s="330"/>
      <c r="K759" s="330"/>
      <c r="L759" s="330"/>
      <c r="M759" s="330"/>
      <c r="N759" s="330"/>
      <c r="O759" s="330"/>
      <c r="P759" s="330"/>
      <c r="Q759" s="330"/>
      <c r="R759" s="330"/>
      <c r="S759" s="330"/>
    </row>
    <row r="760" spans="1:19">
      <c r="A760" s="330"/>
      <c r="B760" s="330"/>
      <c r="C760" s="330"/>
      <c r="D760" s="330"/>
      <c r="E760" s="330"/>
      <c r="F760" s="330"/>
      <c r="G760" s="330"/>
      <c r="H760" s="330"/>
      <c r="I760" s="330"/>
      <c r="J760" s="330"/>
      <c r="K760" s="330"/>
      <c r="L760" s="330"/>
      <c r="M760" s="330"/>
      <c r="N760" s="330"/>
      <c r="O760" s="330"/>
      <c r="P760" s="330"/>
      <c r="Q760" s="330"/>
      <c r="R760" s="330"/>
      <c r="S760" s="330"/>
    </row>
    <row r="761" spans="1:19">
      <c r="A761" s="330"/>
      <c r="B761" s="330"/>
      <c r="C761" s="330"/>
      <c r="D761" s="330"/>
      <c r="E761" s="330"/>
      <c r="F761" s="330"/>
      <c r="G761" s="330"/>
      <c r="H761" s="330"/>
      <c r="I761" s="330"/>
      <c r="J761" s="330"/>
      <c r="K761" s="330"/>
      <c r="L761" s="330"/>
      <c r="M761" s="330"/>
      <c r="N761" s="330"/>
      <c r="O761" s="330"/>
      <c r="P761" s="330"/>
      <c r="Q761" s="330"/>
      <c r="R761" s="330"/>
      <c r="S761" s="330"/>
    </row>
    <row r="762" spans="1:19">
      <c r="A762" s="330"/>
      <c r="B762" s="330"/>
      <c r="C762" s="330"/>
      <c r="D762" s="330"/>
      <c r="E762" s="330"/>
      <c r="F762" s="330"/>
      <c r="G762" s="330"/>
      <c r="H762" s="330"/>
      <c r="I762" s="330"/>
      <c r="J762" s="330"/>
      <c r="K762" s="330"/>
      <c r="L762" s="330"/>
      <c r="M762" s="330"/>
      <c r="N762" s="330"/>
      <c r="O762" s="330"/>
      <c r="P762" s="330"/>
      <c r="Q762" s="330"/>
      <c r="R762" s="330"/>
      <c r="S762" s="330"/>
    </row>
    <row r="763" spans="1:19">
      <c r="A763" s="330"/>
      <c r="B763" s="330"/>
      <c r="C763" s="330"/>
      <c r="D763" s="330"/>
      <c r="E763" s="330"/>
      <c r="F763" s="330"/>
      <c r="G763" s="330"/>
      <c r="H763" s="330"/>
      <c r="I763" s="330"/>
      <c r="J763" s="330"/>
      <c r="K763" s="330"/>
      <c r="L763" s="330"/>
      <c r="M763" s="330"/>
      <c r="N763" s="330"/>
      <c r="O763" s="330"/>
      <c r="P763" s="330"/>
      <c r="Q763" s="330"/>
      <c r="R763" s="330"/>
      <c r="S763" s="330"/>
    </row>
    <row r="764" spans="1:19">
      <c r="A764" s="330"/>
      <c r="B764" s="330"/>
      <c r="C764" s="330"/>
      <c r="D764" s="330"/>
      <c r="E764" s="330"/>
      <c r="F764" s="330"/>
      <c r="G764" s="330"/>
      <c r="H764" s="330"/>
      <c r="I764" s="330"/>
      <c r="J764" s="330"/>
      <c r="K764" s="330"/>
      <c r="L764" s="330"/>
      <c r="M764" s="330"/>
      <c r="N764" s="330"/>
      <c r="O764" s="330"/>
      <c r="P764" s="330"/>
      <c r="Q764" s="330"/>
      <c r="R764" s="330"/>
      <c r="S764" s="330"/>
    </row>
    <row r="765" spans="1:19">
      <c r="A765" s="330"/>
      <c r="B765" s="330"/>
      <c r="C765" s="330"/>
      <c r="D765" s="330"/>
      <c r="E765" s="330"/>
      <c r="F765" s="330"/>
      <c r="G765" s="330"/>
      <c r="H765" s="330"/>
      <c r="I765" s="330"/>
      <c r="J765" s="330"/>
      <c r="K765" s="330"/>
      <c r="L765" s="330"/>
      <c r="M765" s="330"/>
      <c r="N765" s="330"/>
      <c r="O765" s="330"/>
      <c r="P765" s="330"/>
      <c r="Q765" s="330"/>
      <c r="R765" s="330"/>
      <c r="S765" s="330"/>
    </row>
    <row r="766" spans="1:19">
      <c r="A766" s="330"/>
      <c r="B766" s="330"/>
      <c r="C766" s="330"/>
      <c r="D766" s="330"/>
      <c r="E766" s="330"/>
      <c r="F766" s="330"/>
      <c r="G766" s="330"/>
      <c r="H766" s="330"/>
      <c r="I766" s="330"/>
      <c r="J766" s="330"/>
      <c r="K766" s="330"/>
      <c r="L766" s="330"/>
      <c r="M766" s="330"/>
      <c r="N766" s="330"/>
      <c r="O766" s="330"/>
      <c r="P766" s="330"/>
      <c r="Q766" s="330"/>
      <c r="R766" s="330"/>
      <c r="S766" s="330"/>
    </row>
    <row r="767" spans="1:19">
      <c r="A767" s="330"/>
      <c r="B767" s="330"/>
      <c r="C767" s="330"/>
      <c r="D767" s="330"/>
      <c r="E767" s="330"/>
      <c r="F767" s="330"/>
      <c r="G767" s="330"/>
      <c r="H767" s="330"/>
      <c r="I767" s="330"/>
      <c r="J767" s="330"/>
      <c r="K767" s="330"/>
      <c r="L767" s="330"/>
      <c r="M767" s="330"/>
      <c r="N767" s="330"/>
      <c r="O767" s="330"/>
      <c r="P767" s="330"/>
      <c r="Q767" s="330"/>
      <c r="R767" s="330"/>
      <c r="S767" s="330"/>
    </row>
    <row r="768" spans="1:19">
      <c r="A768" s="330"/>
      <c r="B768" s="330"/>
      <c r="C768" s="330"/>
      <c r="D768" s="330"/>
      <c r="E768" s="330"/>
      <c r="F768" s="330"/>
      <c r="G768" s="330"/>
      <c r="H768" s="330"/>
      <c r="I768" s="330"/>
      <c r="J768" s="330"/>
      <c r="K768" s="330"/>
      <c r="L768" s="330"/>
      <c r="M768" s="330"/>
      <c r="N768" s="330"/>
      <c r="O768" s="330"/>
      <c r="P768" s="330"/>
      <c r="Q768" s="330"/>
      <c r="R768" s="330"/>
      <c r="S768" s="330"/>
    </row>
    <row r="769" spans="1:19">
      <c r="A769" s="330"/>
      <c r="B769" s="330"/>
      <c r="C769" s="330"/>
      <c r="D769" s="330"/>
      <c r="E769" s="330"/>
      <c r="F769" s="330"/>
      <c r="G769" s="330"/>
      <c r="H769" s="330"/>
      <c r="I769" s="330"/>
      <c r="J769" s="330"/>
      <c r="K769" s="330"/>
      <c r="L769" s="330"/>
      <c r="M769" s="330"/>
      <c r="N769" s="330"/>
      <c r="O769" s="330"/>
      <c r="P769" s="330"/>
      <c r="Q769" s="330"/>
      <c r="R769" s="330"/>
      <c r="S769" s="330"/>
    </row>
    <row r="770" spans="1:19">
      <c r="A770" s="330"/>
      <c r="B770" s="330"/>
      <c r="C770" s="330"/>
      <c r="D770" s="330"/>
      <c r="E770" s="330"/>
      <c r="F770" s="330"/>
      <c r="G770" s="330"/>
      <c r="H770" s="330"/>
      <c r="I770" s="330"/>
      <c r="J770" s="330"/>
      <c r="K770" s="330"/>
      <c r="L770" s="330"/>
      <c r="M770" s="330"/>
      <c r="N770" s="330"/>
      <c r="O770" s="330"/>
      <c r="P770" s="330"/>
      <c r="Q770" s="330"/>
      <c r="R770" s="330"/>
      <c r="S770" s="330"/>
    </row>
    <row r="771" spans="1:19">
      <c r="A771" s="330"/>
      <c r="B771" s="330"/>
      <c r="C771" s="330"/>
      <c r="D771" s="330"/>
      <c r="E771" s="330"/>
      <c r="F771" s="330"/>
      <c r="G771" s="330"/>
      <c r="H771" s="330"/>
      <c r="I771" s="330"/>
      <c r="J771" s="330"/>
      <c r="K771" s="330"/>
      <c r="L771" s="330"/>
      <c r="M771" s="330"/>
      <c r="N771" s="330"/>
      <c r="O771" s="330"/>
      <c r="P771" s="330"/>
      <c r="Q771" s="330"/>
      <c r="R771" s="330"/>
      <c r="S771" s="330"/>
    </row>
    <row r="772" spans="1:19" ht="15.75" thickBot="1">
      <c r="A772" s="330"/>
      <c r="B772" s="330"/>
      <c r="C772" s="330"/>
      <c r="D772" s="330"/>
      <c r="E772" s="330"/>
      <c r="F772" s="330"/>
      <c r="G772" s="330"/>
      <c r="H772" s="330"/>
      <c r="I772" s="330"/>
      <c r="J772" s="330"/>
      <c r="K772" s="330"/>
      <c r="L772" s="330"/>
      <c r="M772" s="330"/>
      <c r="N772" s="330"/>
      <c r="O772" s="330"/>
      <c r="P772" s="330"/>
      <c r="Q772" s="330"/>
      <c r="R772" s="330"/>
      <c r="S772" s="330"/>
    </row>
    <row r="773" spans="1:19" ht="26.25">
      <c r="A773" s="1116" t="s">
        <v>707</v>
      </c>
      <c r="B773" s="1117"/>
      <c r="C773" s="1117"/>
      <c r="D773" s="1117"/>
      <c r="E773" s="1117"/>
      <c r="F773" s="1117"/>
      <c r="G773" s="1117"/>
      <c r="H773" s="1117"/>
      <c r="I773" s="1118"/>
      <c r="J773" s="74"/>
      <c r="K773" s="1116" t="s">
        <v>707</v>
      </c>
      <c r="L773" s="1117"/>
      <c r="M773" s="1117"/>
      <c r="N773" s="1117"/>
      <c r="O773" s="1117"/>
      <c r="P773" s="1117"/>
      <c r="Q773" s="1117"/>
      <c r="R773" s="1117"/>
      <c r="S773" s="1118"/>
    </row>
    <row r="774" spans="1:19" ht="15.75" thickBot="1">
      <c r="A774" s="1119" t="s">
        <v>708</v>
      </c>
      <c r="B774" s="1120"/>
      <c r="C774" s="1120"/>
      <c r="D774" s="1120"/>
      <c r="E774" s="1120"/>
      <c r="F774" s="1120"/>
      <c r="G774" s="1120"/>
      <c r="H774" s="1120"/>
      <c r="I774" s="1121"/>
      <c r="J774" s="22"/>
      <c r="K774" s="1119" t="s">
        <v>708</v>
      </c>
      <c r="L774" s="1120"/>
      <c r="M774" s="1120"/>
      <c r="N774" s="1120"/>
      <c r="O774" s="1120"/>
      <c r="P774" s="1120"/>
      <c r="Q774" s="1120"/>
      <c r="R774" s="1120"/>
      <c r="S774" s="1121"/>
    </row>
    <row r="775" spans="1:19">
      <c r="A775" s="12"/>
      <c r="B775" s="330"/>
      <c r="C775" s="330"/>
      <c r="D775" s="330"/>
      <c r="E775" s="330"/>
      <c r="F775" s="330"/>
      <c r="G775" s="330"/>
      <c r="H775" s="330"/>
      <c r="I775" s="13"/>
      <c r="J775" s="330"/>
      <c r="K775" s="12"/>
      <c r="L775" s="330"/>
      <c r="M775" s="330"/>
      <c r="N775" s="330"/>
      <c r="O775" s="330"/>
      <c r="P775" s="330"/>
      <c r="Q775" s="330"/>
      <c r="R775" s="330"/>
      <c r="S775" s="13"/>
    </row>
    <row r="776" spans="1:19">
      <c r="A776" s="14" t="s">
        <v>49</v>
      </c>
      <c r="B776" s="3"/>
      <c r="C776" s="3"/>
      <c r="D776" s="6" t="s">
        <v>384</v>
      </c>
      <c r="E776" s="330"/>
      <c r="F776" s="330"/>
      <c r="G776" s="330"/>
      <c r="H776" s="330"/>
      <c r="I776" s="13"/>
      <c r="J776" s="330"/>
      <c r="K776" s="14" t="s">
        <v>49</v>
      </c>
      <c r="L776" s="3"/>
      <c r="M776" s="3"/>
      <c r="N776" s="6" t="str">
        <f>D776</f>
        <v>Burgeon IT Services Pvt.Ltd.</v>
      </c>
      <c r="O776" s="330"/>
      <c r="P776" s="330"/>
      <c r="Q776" s="330"/>
      <c r="R776" s="330"/>
      <c r="S776" s="13"/>
    </row>
    <row r="777" spans="1:19">
      <c r="A777" s="14"/>
      <c r="B777" s="3" t="s">
        <v>385</v>
      </c>
      <c r="C777" s="3"/>
      <c r="D777" s="3"/>
      <c r="E777" s="330"/>
      <c r="F777" s="330"/>
      <c r="G777" s="330"/>
      <c r="H777" s="330"/>
      <c r="I777" s="13"/>
      <c r="J777" s="330"/>
      <c r="K777" s="14"/>
      <c r="L777" s="3" t="str">
        <f>B777</f>
        <v>Siri Mansion LIGB 436 Dr.A S Rao Nagar,Hyderabad</v>
      </c>
      <c r="M777" s="3"/>
      <c r="N777" s="3"/>
      <c r="O777" s="330"/>
      <c r="P777" s="330"/>
      <c r="Q777" s="330"/>
      <c r="R777" s="330"/>
      <c r="S777" s="13"/>
    </row>
    <row r="778" spans="1:19">
      <c r="A778" s="14"/>
      <c r="B778" s="3">
        <f>'0422Master'!F1249</f>
        <v>0</v>
      </c>
      <c r="C778" s="3"/>
      <c r="D778" s="3"/>
      <c r="E778" s="3"/>
      <c r="F778" s="330"/>
      <c r="G778" s="330"/>
      <c r="H778" s="330"/>
      <c r="I778" s="13"/>
      <c r="J778" s="330"/>
      <c r="K778" s="14"/>
      <c r="L778" s="3">
        <f>B778</f>
        <v>0</v>
      </c>
      <c r="M778" s="3"/>
      <c r="N778" s="3"/>
      <c r="O778" s="3"/>
      <c r="P778" s="330"/>
      <c r="Q778" s="330"/>
      <c r="R778" s="330"/>
      <c r="S778" s="13"/>
    </row>
    <row r="779" spans="1:19">
      <c r="A779" s="1113" t="s">
        <v>50</v>
      </c>
      <c r="B779" s="1114"/>
      <c r="C779" s="1114"/>
      <c r="D779" s="1114"/>
      <c r="E779" s="3"/>
      <c r="F779" s="330"/>
      <c r="G779" s="330"/>
      <c r="H779" s="330"/>
      <c r="I779" s="13"/>
      <c r="J779" s="330"/>
      <c r="K779" s="1113" t="s">
        <v>50</v>
      </c>
      <c r="L779" s="1114"/>
      <c r="M779" s="1114"/>
      <c r="N779" s="1114"/>
      <c r="O779" s="3"/>
      <c r="P779" s="330"/>
      <c r="Q779" s="330"/>
      <c r="R779" s="330"/>
      <c r="S779" s="13"/>
    </row>
    <row r="780" spans="1:19">
      <c r="A780" s="1113"/>
      <c r="B780" s="1114"/>
      <c r="C780" s="1114"/>
      <c r="D780" s="1114"/>
      <c r="E780" s="15" t="str">
        <f>'0422Master'!B33</f>
        <v>Mani Krishna Nandineedi</v>
      </c>
      <c r="F780" s="16"/>
      <c r="G780" s="16"/>
      <c r="H780" s="16" t="str">
        <f>'0422Master'!E33</f>
        <v>N Srinivasu</v>
      </c>
      <c r="I780" s="13"/>
      <c r="J780" s="330"/>
      <c r="K780" s="1113"/>
      <c r="L780" s="1114"/>
      <c r="M780" s="1114"/>
      <c r="N780" s="1114"/>
      <c r="O780" s="15" t="str">
        <f>E780</f>
        <v>Mani Krishna Nandineedi</v>
      </c>
      <c r="P780" s="16"/>
      <c r="Q780" s="16"/>
      <c r="R780" s="16" t="str">
        <f>H780</f>
        <v>N Srinivasu</v>
      </c>
      <c r="S780" s="13"/>
    </row>
    <row r="781" spans="1:19">
      <c r="A781" s="14"/>
      <c r="B781" s="3"/>
      <c r="C781" s="3"/>
      <c r="D781" s="3"/>
      <c r="E781" s="3"/>
      <c r="F781" s="330"/>
      <c r="G781" s="330"/>
      <c r="H781" s="330"/>
      <c r="I781" s="13"/>
      <c r="J781" s="330"/>
      <c r="K781" s="14"/>
      <c r="L781" s="3"/>
      <c r="M781" s="3"/>
      <c r="N781" s="3"/>
      <c r="O781" s="3"/>
      <c r="P781" s="330"/>
      <c r="Q781" s="330"/>
      <c r="R781" s="330"/>
      <c r="S781" s="13"/>
    </row>
    <row r="782" spans="1:19">
      <c r="A782" s="1115" t="s">
        <v>51</v>
      </c>
      <c r="B782" s="1112"/>
      <c r="C782" s="1112"/>
      <c r="D782" s="1112"/>
      <c r="E782" s="15" t="s">
        <v>374</v>
      </c>
      <c r="F782" s="16"/>
      <c r="G782" s="16"/>
      <c r="H782" s="16"/>
      <c r="I782" s="13"/>
      <c r="J782" s="330"/>
      <c r="K782" s="1115" t="s">
        <v>51</v>
      </c>
      <c r="L782" s="1112"/>
      <c r="M782" s="1112"/>
      <c r="N782" s="1112"/>
      <c r="O782" s="15" t="str">
        <f>E782</f>
        <v>IT SUPPORTIVE SERVICES</v>
      </c>
      <c r="P782" s="16"/>
      <c r="Q782" s="16"/>
      <c r="R782" s="16"/>
      <c r="S782" s="13"/>
    </row>
    <row r="783" spans="1:19">
      <c r="A783" s="14"/>
      <c r="B783" s="3"/>
      <c r="C783" s="3"/>
      <c r="D783" s="3"/>
      <c r="E783" s="3"/>
      <c r="F783" s="330"/>
      <c r="G783" s="330"/>
      <c r="H783" s="330"/>
      <c r="I783" s="13"/>
      <c r="J783" s="330"/>
      <c r="K783" s="14"/>
      <c r="L783" s="3"/>
      <c r="M783" s="3"/>
      <c r="N783" s="3"/>
      <c r="O783" s="3"/>
      <c r="P783" s="330"/>
      <c r="Q783" s="330"/>
      <c r="R783" s="330"/>
      <c r="S783" s="13"/>
    </row>
    <row r="784" spans="1:19">
      <c r="A784" s="1115" t="s">
        <v>52</v>
      </c>
      <c r="B784" s="1112"/>
      <c r="C784" s="1112"/>
      <c r="D784" s="1112"/>
      <c r="E784" s="17">
        <f>'0422Master'!D10</f>
        <v>44652</v>
      </c>
      <c r="F784" s="16"/>
      <c r="G784" s="16"/>
      <c r="H784" s="16"/>
      <c r="I784" s="13"/>
      <c r="J784" s="330"/>
      <c r="K784" s="1115" t="s">
        <v>52</v>
      </c>
      <c r="L784" s="1112"/>
      <c r="M784" s="1112"/>
      <c r="N784" s="1112"/>
      <c r="O784" s="17">
        <f>E784</f>
        <v>44652</v>
      </c>
      <c r="P784" s="16"/>
      <c r="Q784" s="16"/>
      <c r="R784" s="16"/>
      <c r="S784" s="13"/>
    </row>
    <row r="785" spans="1:19">
      <c r="A785" s="14"/>
      <c r="B785" s="3"/>
      <c r="C785" s="3"/>
      <c r="D785" s="3"/>
      <c r="E785" s="3"/>
      <c r="F785" s="330"/>
      <c r="G785" s="330"/>
      <c r="H785" s="330"/>
      <c r="I785" s="13"/>
      <c r="J785" s="330"/>
      <c r="K785" s="14"/>
      <c r="L785" s="3"/>
      <c r="M785" s="3"/>
      <c r="N785" s="3"/>
      <c r="O785" s="3"/>
      <c r="P785" s="330"/>
      <c r="Q785" s="330"/>
      <c r="R785" s="330"/>
      <c r="S785" s="13"/>
    </row>
    <row r="786" spans="1:19">
      <c r="A786" s="18">
        <v>1</v>
      </c>
      <c r="B786" s="1112" t="s">
        <v>53</v>
      </c>
      <c r="C786" s="1112"/>
      <c r="D786" s="1112"/>
      <c r="E786" s="19">
        <f>'0422Master'!W33</f>
        <v>30</v>
      </c>
      <c r="F786" s="16"/>
      <c r="G786" s="16"/>
      <c r="H786" s="16"/>
      <c r="I786" s="13"/>
      <c r="J786" s="330"/>
      <c r="K786" s="18">
        <v>1</v>
      </c>
      <c r="L786" s="1112" t="s">
        <v>53</v>
      </c>
      <c r="M786" s="1112"/>
      <c r="N786" s="1112"/>
      <c r="O786" s="19">
        <f>E786</f>
        <v>30</v>
      </c>
      <c r="P786" s="16"/>
      <c r="Q786" s="16"/>
      <c r="R786" s="16"/>
      <c r="S786" s="13"/>
    </row>
    <row r="787" spans="1:19">
      <c r="A787" s="18"/>
      <c r="B787" s="3"/>
      <c r="C787" s="3"/>
      <c r="D787" s="3"/>
      <c r="E787" s="3"/>
      <c r="F787" s="330"/>
      <c r="G787" s="330"/>
      <c r="H787" s="330"/>
      <c r="I787" s="13"/>
      <c r="J787" s="330"/>
      <c r="K787" s="18"/>
      <c r="L787" s="3"/>
      <c r="M787" s="3"/>
      <c r="N787" s="3"/>
      <c r="O787" s="3"/>
      <c r="P787" s="330"/>
      <c r="Q787" s="330"/>
      <c r="R787" s="330"/>
      <c r="S787" s="13"/>
    </row>
    <row r="788" spans="1:19">
      <c r="A788" s="18">
        <v>2</v>
      </c>
      <c r="B788" s="1114" t="s">
        <v>54</v>
      </c>
      <c r="C788" s="1114"/>
      <c r="D788" s="1114"/>
      <c r="E788" s="3"/>
      <c r="F788" s="330"/>
      <c r="G788" s="330"/>
      <c r="H788" s="330"/>
      <c r="I788" s="13"/>
      <c r="J788" s="330"/>
      <c r="K788" s="18">
        <v>2</v>
      </c>
      <c r="L788" s="1114" t="s">
        <v>54</v>
      </c>
      <c r="M788" s="1114"/>
      <c r="N788" s="1114"/>
      <c r="O788" s="3"/>
      <c r="P788" s="330"/>
      <c r="Q788" s="330"/>
      <c r="R788" s="330"/>
      <c r="S788" s="13"/>
    </row>
    <row r="789" spans="1:19">
      <c r="A789" s="18"/>
      <c r="B789" s="1114"/>
      <c r="C789" s="1114"/>
      <c r="D789" s="1114"/>
      <c r="E789" s="20" t="s">
        <v>37</v>
      </c>
      <c r="F789" s="16"/>
      <c r="G789" s="16"/>
      <c r="H789" s="16"/>
      <c r="I789" s="13"/>
      <c r="J789" s="330"/>
      <c r="K789" s="18"/>
      <c r="L789" s="1114"/>
      <c r="M789" s="1114"/>
      <c r="N789" s="1114"/>
      <c r="O789" s="20" t="s">
        <v>37</v>
      </c>
      <c r="P789" s="16"/>
      <c r="Q789" s="16"/>
      <c r="R789" s="16"/>
      <c r="S789" s="13"/>
    </row>
    <row r="790" spans="1:19">
      <c r="A790" s="18"/>
      <c r="B790" s="3"/>
      <c r="C790" s="3"/>
      <c r="D790" s="3"/>
      <c r="E790" s="3"/>
      <c r="F790" s="330"/>
      <c r="G790" s="330"/>
      <c r="H790" s="330"/>
      <c r="I790" s="13"/>
      <c r="J790" s="330"/>
      <c r="K790" s="18"/>
      <c r="L790" s="3"/>
      <c r="M790" s="3"/>
      <c r="N790" s="3"/>
      <c r="O790" s="3"/>
      <c r="P790" s="330"/>
      <c r="Q790" s="330"/>
      <c r="R790" s="330"/>
      <c r="S790" s="13"/>
    </row>
    <row r="791" spans="1:19">
      <c r="A791" s="18">
        <v>3</v>
      </c>
      <c r="B791" s="1112" t="s">
        <v>55</v>
      </c>
      <c r="C791" s="1112"/>
      <c r="D791" s="1112"/>
      <c r="E791" s="20" t="s">
        <v>37</v>
      </c>
      <c r="F791" s="16"/>
      <c r="G791" s="16"/>
      <c r="H791" s="16"/>
      <c r="I791" s="13"/>
      <c r="J791" s="330"/>
      <c r="K791" s="18">
        <v>3</v>
      </c>
      <c r="L791" s="1112" t="s">
        <v>55</v>
      </c>
      <c r="M791" s="1112"/>
      <c r="N791" s="1112"/>
      <c r="O791" s="15" t="str">
        <f>E791</f>
        <v>N/A</v>
      </c>
      <c r="P791" s="16"/>
      <c r="Q791" s="16"/>
      <c r="R791" s="16"/>
      <c r="S791" s="13"/>
    </row>
    <row r="792" spans="1:19">
      <c r="A792" s="18"/>
      <c r="B792" s="3"/>
      <c r="C792" s="3"/>
      <c r="D792" s="3"/>
      <c r="E792" s="3"/>
      <c r="F792" s="330"/>
      <c r="G792" s="330"/>
      <c r="H792" s="330"/>
      <c r="I792" s="13"/>
      <c r="J792" s="330"/>
      <c r="K792" s="18"/>
      <c r="L792" s="3"/>
      <c r="M792" s="3"/>
      <c r="N792" s="3"/>
      <c r="O792" s="3"/>
      <c r="P792" s="330"/>
      <c r="Q792" s="330"/>
      <c r="R792" s="330"/>
      <c r="S792" s="13"/>
    </row>
    <row r="793" spans="1:19">
      <c r="A793" s="18">
        <v>4</v>
      </c>
      <c r="B793" s="1112" t="s">
        <v>56</v>
      </c>
      <c r="C793" s="1112"/>
      <c r="D793" s="1112"/>
      <c r="E793" s="20" t="s">
        <v>57</v>
      </c>
      <c r="F793" s="16"/>
      <c r="G793" s="16"/>
      <c r="H793" s="16"/>
      <c r="I793" s="13"/>
      <c r="J793" s="330"/>
      <c r="K793" s="18">
        <v>4</v>
      </c>
      <c r="L793" s="1112" t="s">
        <v>56</v>
      </c>
      <c r="M793" s="1112"/>
      <c r="N793" s="1112"/>
      <c r="O793" s="20" t="s">
        <v>57</v>
      </c>
      <c r="P793" s="16"/>
      <c r="Q793" s="16"/>
      <c r="R793" s="16"/>
      <c r="S793" s="13"/>
    </row>
    <row r="794" spans="1:19">
      <c r="A794" s="18"/>
      <c r="B794" s="3"/>
      <c r="C794" s="3"/>
      <c r="D794" s="3"/>
      <c r="E794" s="3"/>
      <c r="F794" s="330"/>
      <c r="G794" s="330"/>
      <c r="H794" s="330"/>
      <c r="I794" s="13"/>
      <c r="J794" s="330"/>
      <c r="K794" s="18"/>
      <c r="L794" s="3"/>
      <c r="M794" s="3"/>
      <c r="N794" s="3"/>
      <c r="O794" s="3"/>
      <c r="P794" s="330"/>
      <c r="Q794" s="330"/>
      <c r="R794" s="330"/>
      <c r="S794" s="13"/>
    </row>
    <row r="795" spans="1:19">
      <c r="A795" s="18">
        <v>5</v>
      </c>
      <c r="B795" s="1112" t="s">
        <v>58</v>
      </c>
      <c r="C795" s="1112"/>
      <c r="D795" s="1112"/>
      <c r="E795" s="274">
        <f>'0422Master'!AM33</f>
        <v>43276.002619999992</v>
      </c>
      <c r="F795" s="330"/>
      <c r="G795" s="330"/>
      <c r="H795" s="330"/>
      <c r="I795" s="13"/>
      <c r="J795" s="330"/>
      <c r="K795" s="18">
        <v>5</v>
      </c>
      <c r="L795" s="1112" t="s">
        <v>58</v>
      </c>
      <c r="M795" s="1112"/>
      <c r="N795" s="1112"/>
      <c r="O795" s="274">
        <f>E795</f>
        <v>43276.002619999992</v>
      </c>
      <c r="P795" s="330"/>
      <c r="Q795" s="330"/>
      <c r="R795" s="330"/>
      <c r="S795" s="13"/>
    </row>
    <row r="796" spans="1:19">
      <c r="A796" s="18"/>
      <c r="B796" s="3"/>
      <c r="C796" s="3"/>
      <c r="D796" s="275" t="s">
        <v>59</v>
      </c>
      <c r="E796" s="275" t="s">
        <v>31</v>
      </c>
      <c r="F796" s="275" t="s">
        <v>33</v>
      </c>
      <c r="G796" s="275" t="s">
        <v>34</v>
      </c>
      <c r="H796" s="275" t="s">
        <v>378</v>
      </c>
      <c r="I796" s="273" t="s">
        <v>379</v>
      </c>
      <c r="J796" s="330"/>
      <c r="K796" s="18"/>
      <c r="L796" s="3"/>
      <c r="M796" s="3"/>
      <c r="N796" s="275" t="s">
        <v>59</v>
      </c>
      <c r="O796" s="275" t="s">
        <v>31</v>
      </c>
      <c r="P796" s="275" t="s">
        <v>33</v>
      </c>
      <c r="Q796" s="275" t="s">
        <v>34</v>
      </c>
      <c r="R796" s="275" t="s">
        <v>378</v>
      </c>
      <c r="S796" s="273" t="s">
        <v>379</v>
      </c>
    </row>
    <row r="797" spans="1:19">
      <c r="A797" s="18">
        <v>6</v>
      </c>
      <c r="B797" s="732" t="s">
        <v>60</v>
      </c>
      <c r="C797" s="732"/>
      <c r="D797" s="276">
        <f>'0422Master'!AO33</f>
        <v>1800</v>
      </c>
      <c r="E797" s="276">
        <f>'0422Master'!AN1260</f>
        <v>0</v>
      </c>
      <c r="F797" s="277">
        <f>'0422Master'!AP33</f>
        <v>200</v>
      </c>
      <c r="G797" s="276">
        <f>'0422Master'!AQ33</f>
        <v>0</v>
      </c>
      <c r="H797" s="277">
        <f>'0422Master'!AR33</f>
        <v>283</v>
      </c>
      <c r="I797" s="277">
        <f>'0422Master'!AS1260</f>
        <v>0</v>
      </c>
      <c r="J797" s="330"/>
      <c r="K797" s="18">
        <v>6</v>
      </c>
      <c r="L797" s="732" t="s">
        <v>60</v>
      </c>
      <c r="M797" s="732"/>
      <c r="N797" s="276">
        <f t="shared" ref="N797" si="62">D797</f>
        <v>1800</v>
      </c>
      <c r="O797" s="276">
        <f t="shared" ref="O797" si="63">E797</f>
        <v>0</v>
      </c>
      <c r="P797" s="277">
        <f t="shared" ref="P797" si="64">F797</f>
        <v>200</v>
      </c>
      <c r="Q797" s="276">
        <f t="shared" ref="Q797" si="65">G797</f>
        <v>0</v>
      </c>
      <c r="R797" s="277">
        <f t="shared" ref="R797" si="66">H797</f>
        <v>283</v>
      </c>
      <c r="S797" s="277">
        <f t="shared" ref="S797" si="67">I797</f>
        <v>0</v>
      </c>
    </row>
    <row r="798" spans="1:19">
      <c r="A798" s="18"/>
      <c r="B798" s="3"/>
      <c r="C798" s="3"/>
      <c r="D798" s="3"/>
      <c r="E798" s="3"/>
      <c r="F798" s="330"/>
      <c r="G798" s="330"/>
      <c r="H798" s="330"/>
      <c r="I798" s="13"/>
      <c r="J798" s="330"/>
      <c r="K798" s="18"/>
      <c r="L798" s="3"/>
      <c r="M798" s="3"/>
      <c r="N798" s="3"/>
      <c r="O798" s="3"/>
      <c r="P798" s="330"/>
      <c r="Q798" s="330"/>
      <c r="R798" s="330"/>
      <c r="S798" s="13"/>
    </row>
    <row r="799" spans="1:19">
      <c r="A799" s="18">
        <v>7</v>
      </c>
      <c r="B799" s="1112" t="s">
        <v>61</v>
      </c>
      <c r="C799" s="1112"/>
      <c r="D799" s="1112"/>
      <c r="E799" s="21">
        <f>E795-D797-E797-F797-G797-H797</f>
        <v>40993.002619999992</v>
      </c>
      <c r="F799" s="16"/>
      <c r="G799" s="16"/>
      <c r="H799" s="16"/>
      <c r="I799" s="13"/>
      <c r="J799" s="330"/>
      <c r="K799" s="18">
        <v>7</v>
      </c>
      <c r="L799" s="1112" t="s">
        <v>61</v>
      </c>
      <c r="M799" s="1112"/>
      <c r="N799" s="1112"/>
      <c r="O799" s="21">
        <f>E799</f>
        <v>40993.002619999992</v>
      </c>
      <c r="P799" s="16"/>
      <c r="Q799" s="16"/>
      <c r="R799" s="16"/>
      <c r="S799" s="13"/>
    </row>
    <row r="800" spans="1:19">
      <c r="A800" s="12"/>
      <c r="B800" s="330"/>
      <c r="C800" s="330"/>
      <c r="D800" s="330"/>
      <c r="E800" s="330"/>
      <c r="F800" s="330"/>
      <c r="G800" s="330"/>
      <c r="H800" s="330"/>
      <c r="I800" s="13"/>
      <c r="J800" s="330"/>
      <c r="K800" s="12"/>
      <c r="L800" s="330"/>
      <c r="M800" s="330"/>
      <c r="N800" s="330"/>
      <c r="O800" s="330"/>
      <c r="P800" s="330"/>
      <c r="Q800" s="330"/>
      <c r="R800" s="330"/>
      <c r="S800" s="13"/>
    </row>
    <row r="801" spans="1:19">
      <c r="A801" s="12"/>
      <c r="B801" s="330"/>
      <c r="C801" s="330"/>
      <c r="D801" s="330"/>
      <c r="E801" s="330"/>
      <c r="F801" s="330"/>
      <c r="G801" s="330"/>
      <c r="H801" s="330"/>
      <c r="I801" s="13"/>
      <c r="J801" s="330"/>
      <c r="K801" s="12"/>
      <c r="L801" s="330"/>
      <c r="M801" s="330"/>
      <c r="N801" s="330"/>
      <c r="O801" s="330"/>
      <c r="P801" s="330"/>
      <c r="Q801" s="330"/>
      <c r="R801" s="330"/>
      <c r="S801" s="13"/>
    </row>
    <row r="802" spans="1:19" ht="15.75" thickBot="1">
      <c r="A802" s="12"/>
      <c r="B802" s="330"/>
      <c r="C802" s="330"/>
      <c r="D802" s="330"/>
      <c r="E802" s="330"/>
      <c r="F802" s="22"/>
      <c r="G802" s="22"/>
      <c r="H802" s="22"/>
      <c r="I802" s="23"/>
      <c r="J802" s="330"/>
      <c r="K802" s="12"/>
      <c r="L802" s="330"/>
      <c r="M802" s="330"/>
      <c r="N802" s="330"/>
      <c r="O802" s="330"/>
      <c r="P802" s="22"/>
      <c r="Q802" s="22"/>
      <c r="R802" s="22"/>
      <c r="S802" s="23"/>
    </row>
    <row r="803" spans="1:19" ht="15.75" thickBot="1">
      <c r="A803" s="24"/>
      <c r="B803" s="22"/>
      <c r="C803" s="22"/>
      <c r="D803" s="22"/>
      <c r="E803" s="22"/>
      <c r="F803" s="1110" t="s">
        <v>62</v>
      </c>
      <c r="G803" s="1110"/>
      <c r="H803" s="1110"/>
      <c r="I803" s="1111"/>
      <c r="J803" s="330"/>
      <c r="K803" s="24"/>
      <c r="L803" s="22"/>
      <c r="M803" s="22"/>
      <c r="N803" s="22"/>
      <c r="O803" s="22"/>
      <c r="P803" s="1110" t="s">
        <v>62</v>
      </c>
      <c r="Q803" s="1110"/>
      <c r="R803" s="1110"/>
      <c r="S803" s="1111"/>
    </row>
    <row r="804" spans="1:19">
      <c r="A804" s="330"/>
      <c r="B804" s="330"/>
      <c r="C804" s="330"/>
      <c r="D804" s="330"/>
      <c r="E804" s="330"/>
      <c r="F804" s="330"/>
      <c r="G804" s="330"/>
      <c r="H804" s="330"/>
      <c r="I804" s="330"/>
      <c r="J804" s="330"/>
      <c r="K804" s="330"/>
      <c r="L804" s="330"/>
      <c r="M804" s="330"/>
      <c r="N804" s="330"/>
      <c r="O804" s="330"/>
      <c r="P804" s="330"/>
      <c r="Q804" s="330"/>
      <c r="R804" s="330"/>
      <c r="S804" s="330"/>
    </row>
    <row r="805" spans="1:19">
      <c r="A805" s="330"/>
      <c r="B805" s="330"/>
      <c r="C805" s="330"/>
      <c r="D805" s="330"/>
      <c r="E805" s="330"/>
      <c r="F805" s="330"/>
      <c r="G805" s="330"/>
      <c r="H805" s="330"/>
      <c r="I805" s="330"/>
      <c r="J805" s="330"/>
      <c r="K805" s="330"/>
      <c r="L805" s="330"/>
      <c r="M805" s="330"/>
      <c r="N805" s="330"/>
      <c r="O805" s="330"/>
      <c r="P805" s="330"/>
      <c r="Q805" s="330"/>
      <c r="R805" s="330"/>
      <c r="S805" s="330"/>
    </row>
    <row r="806" spans="1:19">
      <c r="A806" s="330"/>
      <c r="B806" s="330"/>
      <c r="C806" s="330"/>
      <c r="D806" s="330"/>
      <c r="E806" s="330"/>
      <c r="F806" s="330"/>
      <c r="G806" s="330"/>
      <c r="H806" s="330"/>
      <c r="I806" s="330"/>
      <c r="J806" s="330"/>
      <c r="K806" s="330"/>
      <c r="L806" s="330"/>
      <c r="M806" s="330"/>
      <c r="N806" s="330"/>
      <c r="O806" s="330"/>
      <c r="P806" s="330"/>
      <c r="Q806" s="330"/>
      <c r="R806" s="330"/>
      <c r="S806" s="330"/>
    </row>
    <row r="807" spans="1:19">
      <c r="A807" s="330"/>
      <c r="B807" s="330"/>
      <c r="C807" s="330"/>
      <c r="D807" s="330"/>
      <c r="E807" s="330"/>
      <c r="F807" s="330"/>
      <c r="G807" s="330"/>
      <c r="H807" s="330"/>
      <c r="I807" s="330"/>
      <c r="J807" s="330"/>
      <c r="K807" s="330"/>
      <c r="L807" s="330"/>
      <c r="M807" s="330"/>
      <c r="N807" s="330"/>
      <c r="O807" s="330"/>
      <c r="P807" s="330"/>
      <c r="Q807" s="330"/>
      <c r="R807" s="330"/>
      <c r="S807" s="330"/>
    </row>
    <row r="808" spans="1:19">
      <c r="A808" s="330"/>
      <c r="B808" s="330"/>
      <c r="C808" s="330"/>
      <c r="D808" s="330"/>
      <c r="E808" s="330"/>
      <c r="F808" s="330"/>
      <c r="G808" s="330"/>
      <c r="H808" s="330"/>
      <c r="I808" s="330"/>
      <c r="J808" s="330"/>
      <c r="K808" s="330"/>
      <c r="L808" s="330"/>
      <c r="M808" s="330"/>
      <c r="N808" s="330"/>
      <c r="O808" s="330"/>
      <c r="P808" s="330"/>
      <c r="Q808" s="330"/>
      <c r="R808" s="330"/>
      <c r="S808" s="330"/>
    </row>
    <row r="809" spans="1:19">
      <c r="A809" s="330"/>
      <c r="B809" s="330"/>
      <c r="C809" s="330"/>
      <c r="D809" s="330"/>
      <c r="E809" s="330"/>
      <c r="F809" s="330"/>
      <c r="G809" s="330"/>
      <c r="H809" s="330"/>
      <c r="I809" s="330"/>
      <c r="J809" s="330"/>
      <c r="K809" s="330"/>
      <c r="L809" s="330"/>
      <c r="M809" s="330"/>
      <c r="N809" s="330"/>
      <c r="O809" s="330"/>
      <c r="P809" s="330"/>
      <c r="Q809" s="330"/>
      <c r="R809" s="330"/>
      <c r="S809" s="330"/>
    </row>
    <row r="810" spans="1:19">
      <c r="A810" s="330"/>
      <c r="B810" s="330"/>
      <c r="C810" s="330"/>
      <c r="D810" s="330"/>
      <c r="E810" s="330"/>
      <c r="F810" s="330"/>
      <c r="G810" s="330"/>
      <c r="H810" s="330"/>
      <c r="I810" s="330"/>
      <c r="J810" s="330"/>
      <c r="K810" s="330"/>
      <c r="L810" s="330"/>
      <c r="M810" s="330"/>
      <c r="N810" s="330"/>
      <c r="O810" s="330"/>
      <c r="P810" s="330"/>
      <c r="Q810" s="330"/>
      <c r="R810" s="330"/>
      <c r="S810" s="330"/>
    </row>
    <row r="811" spans="1:19">
      <c r="A811" s="330"/>
      <c r="B811" s="330"/>
      <c r="C811" s="330"/>
      <c r="D811" s="330"/>
      <c r="E811" s="330"/>
      <c r="F811" s="330"/>
      <c r="G811" s="330"/>
      <c r="H811" s="330"/>
      <c r="I811" s="330"/>
      <c r="J811" s="330"/>
      <c r="K811" s="330"/>
      <c r="L811" s="330"/>
      <c r="M811" s="330"/>
      <c r="N811" s="330"/>
      <c r="O811" s="330"/>
      <c r="P811" s="330"/>
      <c r="Q811" s="330"/>
      <c r="R811" s="330"/>
      <c r="S811" s="330"/>
    </row>
    <row r="812" spans="1:19">
      <c r="A812" s="330"/>
      <c r="B812" s="330"/>
      <c r="C812" s="330"/>
      <c r="D812" s="330"/>
      <c r="E812" s="330"/>
      <c r="F812" s="330"/>
      <c r="G812" s="330"/>
      <c r="H812" s="330"/>
      <c r="I812" s="330"/>
      <c r="J812" s="330"/>
      <c r="K812" s="330"/>
      <c r="L812" s="330"/>
      <c r="M812" s="330"/>
      <c r="N812" s="330"/>
      <c r="O812" s="330"/>
      <c r="P812" s="330"/>
      <c r="Q812" s="330"/>
      <c r="R812" s="330"/>
      <c r="S812" s="330"/>
    </row>
    <row r="813" spans="1:19">
      <c r="A813" s="330"/>
      <c r="B813" s="330"/>
      <c r="C813" s="330"/>
      <c r="D813" s="330"/>
      <c r="E813" s="330"/>
      <c r="F813" s="330"/>
      <c r="G813" s="330"/>
      <c r="H813" s="330"/>
      <c r="I813" s="330"/>
      <c r="J813" s="330"/>
      <c r="K813" s="330"/>
      <c r="L813" s="330"/>
      <c r="M813" s="330"/>
      <c r="N813" s="330"/>
      <c r="O813" s="330"/>
      <c r="P813" s="330"/>
      <c r="Q813" s="330"/>
      <c r="R813" s="330"/>
      <c r="S813" s="330"/>
    </row>
    <row r="814" spans="1:19">
      <c r="A814" s="330"/>
      <c r="B814" s="330"/>
      <c r="C814" s="330"/>
      <c r="D814" s="330"/>
      <c r="E814" s="330"/>
      <c r="F814" s="330"/>
      <c r="G814" s="330"/>
      <c r="H814" s="330"/>
      <c r="I814" s="330"/>
      <c r="J814" s="330"/>
      <c r="K814" s="330"/>
      <c r="L814" s="330"/>
      <c r="M814" s="330"/>
      <c r="N814" s="330"/>
      <c r="O814" s="330"/>
      <c r="P814" s="330"/>
      <c r="Q814" s="330"/>
      <c r="R814" s="330"/>
      <c r="S814" s="330"/>
    </row>
    <row r="815" spans="1:19">
      <c r="A815" s="330"/>
      <c r="B815" s="330"/>
      <c r="C815" s="330"/>
      <c r="D815" s="330"/>
      <c r="E815" s="330"/>
      <c r="F815" s="330"/>
      <c r="G815" s="330"/>
      <c r="H815" s="330"/>
      <c r="I815" s="330"/>
      <c r="J815" s="330"/>
      <c r="K815" s="330"/>
      <c r="L815" s="330"/>
      <c r="M815" s="330"/>
      <c r="N815" s="330"/>
      <c r="O815" s="330"/>
      <c r="P815" s="330"/>
      <c r="Q815" s="330"/>
      <c r="R815" s="330"/>
      <c r="S815" s="330"/>
    </row>
    <row r="816" spans="1:19">
      <c r="A816" s="330"/>
      <c r="B816" s="330"/>
      <c r="C816" s="330"/>
      <c r="D816" s="330"/>
      <c r="E816" s="330"/>
      <c r="F816" s="330"/>
      <c r="G816" s="330"/>
      <c r="H816" s="330"/>
      <c r="I816" s="330"/>
      <c r="J816" s="330"/>
      <c r="K816" s="330"/>
      <c r="L816" s="330"/>
      <c r="M816" s="330"/>
      <c r="N816" s="330"/>
      <c r="O816" s="330"/>
      <c r="P816" s="330"/>
      <c r="Q816" s="330"/>
      <c r="R816" s="330"/>
      <c r="S816" s="330"/>
    </row>
    <row r="817" spans="1:19" ht="15.75" thickBot="1">
      <c r="A817" s="330"/>
      <c r="B817" s="330"/>
      <c r="C817" s="330"/>
      <c r="D817" s="330"/>
      <c r="E817" s="330"/>
      <c r="F817" s="330"/>
      <c r="G817" s="330"/>
      <c r="H817" s="330"/>
      <c r="I817" s="330"/>
      <c r="J817" s="330"/>
      <c r="K817" s="330"/>
      <c r="L817" s="330"/>
      <c r="M817" s="330"/>
      <c r="N817" s="330"/>
      <c r="O817" s="330"/>
      <c r="P817" s="330"/>
      <c r="Q817" s="330"/>
      <c r="R817" s="330"/>
      <c r="S817" s="330"/>
    </row>
    <row r="818" spans="1:19" ht="26.25">
      <c r="A818" s="1116" t="s">
        <v>707</v>
      </c>
      <c r="B818" s="1117"/>
      <c r="C818" s="1117"/>
      <c r="D818" s="1117"/>
      <c r="E818" s="1117"/>
      <c r="F818" s="1117"/>
      <c r="G818" s="1117"/>
      <c r="H818" s="1117"/>
      <c r="I818" s="1118"/>
      <c r="J818" s="74"/>
      <c r="K818" s="1116" t="s">
        <v>707</v>
      </c>
      <c r="L818" s="1117"/>
      <c r="M818" s="1117"/>
      <c r="N818" s="1117"/>
      <c r="O818" s="1117"/>
      <c r="P818" s="1117"/>
      <c r="Q818" s="1117"/>
      <c r="R818" s="1117"/>
      <c r="S818" s="1118"/>
    </row>
    <row r="819" spans="1:19" ht="15.75" thickBot="1">
      <c r="A819" s="1119" t="s">
        <v>708</v>
      </c>
      <c r="B819" s="1120"/>
      <c r="C819" s="1120"/>
      <c r="D819" s="1120"/>
      <c r="E819" s="1120"/>
      <c r="F819" s="1120"/>
      <c r="G819" s="1120"/>
      <c r="H819" s="1120"/>
      <c r="I819" s="1121"/>
      <c r="J819" s="22"/>
      <c r="K819" s="1119" t="s">
        <v>708</v>
      </c>
      <c r="L819" s="1120"/>
      <c r="M819" s="1120"/>
      <c r="N819" s="1120"/>
      <c r="O819" s="1120"/>
      <c r="P819" s="1120"/>
      <c r="Q819" s="1120"/>
      <c r="R819" s="1120"/>
      <c r="S819" s="1121"/>
    </row>
    <row r="820" spans="1:19">
      <c r="A820" s="12"/>
      <c r="B820" s="330"/>
      <c r="C820" s="330"/>
      <c r="D820" s="330"/>
      <c r="E820" s="330"/>
      <c r="F820" s="330"/>
      <c r="G820" s="330"/>
      <c r="H820" s="330"/>
      <c r="I820" s="13"/>
      <c r="J820" s="330"/>
      <c r="K820" s="12"/>
      <c r="L820" s="330"/>
      <c r="M820" s="330"/>
      <c r="N820" s="330"/>
      <c r="O820" s="330"/>
      <c r="P820" s="330"/>
      <c r="Q820" s="330"/>
      <c r="R820" s="330"/>
      <c r="S820" s="13"/>
    </row>
    <row r="821" spans="1:19">
      <c r="A821" s="14" t="s">
        <v>49</v>
      </c>
      <c r="B821" s="3"/>
      <c r="C821" s="3"/>
      <c r="D821" s="6" t="s">
        <v>384</v>
      </c>
      <c r="E821" s="330"/>
      <c r="F821" s="330"/>
      <c r="G821" s="330"/>
      <c r="H821" s="330"/>
      <c r="I821" s="13"/>
      <c r="J821" s="330"/>
      <c r="K821" s="14" t="s">
        <v>49</v>
      </c>
      <c r="L821" s="3"/>
      <c r="M821" s="3"/>
      <c r="N821" s="6" t="str">
        <f>D821</f>
        <v>Burgeon IT Services Pvt.Ltd.</v>
      </c>
      <c r="O821" s="330"/>
      <c r="P821" s="330"/>
      <c r="Q821" s="330"/>
      <c r="R821" s="330"/>
      <c r="S821" s="13"/>
    </row>
    <row r="822" spans="1:19">
      <c r="A822" s="14"/>
      <c r="B822" s="3" t="s">
        <v>385</v>
      </c>
      <c r="C822" s="3"/>
      <c r="D822" s="3"/>
      <c r="E822" s="330"/>
      <c r="F822" s="330"/>
      <c r="G822" s="330"/>
      <c r="H822" s="330"/>
      <c r="I822" s="13"/>
      <c r="J822" s="330"/>
      <c r="K822" s="14"/>
      <c r="L822" s="3" t="str">
        <f>B822</f>
        <v>Siri Mansion LIGB 436 Dr.A S Rao Nagar,Hyderabad</v>
      </c>
      <c r="M822" s="3"/>
      <c r="N822" s="3"/>
      <c r="O822" s="330"/>
      <c r="P822" s="330"/>
      <c r="Q822" s="330"/>
      <c r="R822" s="330"/>
      <c r="S822" s="13"/>
    </row>
    <row r="823" spans="1:19">
      <c r="A823" s="14"/>
      <c r="B823" s="3">
        <f>'0422Master'!F1294</f>
        <v>0</v>
      </c>
      <c r="C823" s="3"/>
      <c r="D823" s="3"/>
      <c r="E823" s="3"/>
      <c r="F823" s="330"/>
      <c r="G823" s="330"/>
      <c r="H823" s="330"/>
      <c r="I823" s="13"/>
      <c r="J823" s="330"/>
      <c r="K823" s="14"/>
      <c r="L823" s="3">
        <f>B823</f>
        <v>0</v>
      </c>
      <c r="M823" s="3"/>
      <c r="N823" s="3"/>
      <c r="O823" s="3"/>
      <c r="P823" s="330"/>
      <c r="Q823" s="330"/>
      <c r="R823" s="330"/>
      <c r="S823" s="13"/>
    </row>
    <row r="824" spans="1:19" ht="15" customHeight="1">
      <c r="A824" s="1113" t="s">
        <v>50</v>
      </c>
      <c r="B824" s="1114"/>
      <c r="C824" s="1114"/>
      <c r="D824" s="1114"/>
      <c r="E824" s="3"/>
      <c r="F824" s="330"/>
      <c r="G824" s="330"/>
      <c r="H824" s="330"/>
      <c r="I824" s="13"/>
      <c r="J824" s="330"/>
      <c r="K824" s="1113" t="s">
        <v>50</v>
      </c>
      <c r="L824" s="1114"/>
      <c r="M824" s="1114"/>
      <c r="N824" s="1114"/>
      <c r="O824" s="3"/>
      <c r="P824" s="330"/>
      <c r="Q824" s="330"/>
      <c r="R824" s="330"/>
      <c r="S824" s="13"/>
    </row>
    <row r="825" spans="1:19">
      <c r="A825" s="1113"/>
      <c r="B825" s="1114"/>
      <c r="C825" s="1114"/>
      <c r="D825" s="1114"/>
      <c r="E825" s="15" t="str">
        <f>'0422Master'!B34</f>
        <v>Sushma P</v>
      </c>
      <c r="F825" s="16"/>
      <c r="G825" s="16" t="str">
        <f>'0422Master'!E34</f>
        <v>Veeraswamy</v>
      </c>
      <c r="H825" s="16"/>
      <c r="I825" s="13"/>
      <c r="J825" s="330"/>
      <c r="K825" s="1113"/>
      <c r="L825" s="1114"/>
      <c r="M825" s="1114"/>
      <c r="N825" s="1114"/>
      <c r="O825" s="15" t="str">
        <f>E825</f>
        <v>Sushma P</v>
      </c>
      <c r="P825" s="16"/>
      <c r="Q825" s="16"/>
      <c r="R825" s="16" t="str">
        <f>G825</f>
        <v>Veeraswamy</v>
      </c>
      <c r="S825" s="13"/>
    </row>
    <row r="826" spans="1:19">
      <c r="A826" s="14"/>
      <c r="B826" s="3"/>
      <c r="C826" s="3"/>
      <c r="D826" s="3"/>
      <c r="E826" s="3"/>
      <c r="F826" s="330"/>
      <c r="G826" s="330"/>
      <c r="H826" s="330"/>
      <c r="I826" s="13"/>
      <c r="J826" s="330"/>
      <c r="K826" s="14"/>
      <c r="L826" s="3"/>
      <c r="M826" s="3"/>
      <c r="N826" s="3"/>
      <c r="O826" s="3"/>
      <c r="P826" s="330"/>
      <c r="Q826" s="330"/>
      <c r="R826" s="330"/>
      <c r="S826" s="13"/>
    </row>
    <row r="827" spans="1:19">
      <c r="A827" s="1115" t="s">
        <v>51</v>
      </c>
      <c r="B827" s="1112"/>
      <c r="C827" s="1112"/>
      <c r="D827" s="1112"/>
      <c r="E827" s="15" t="s">
        <v>374</v>
      </c>
      <c r="F827" s="16"/>
      <c r="G827" s="16"/>
      <c r="H827" s="16"/>
      <c r="I827" s="13"/>
      <c r="J827" s="330"/>
      <c r="K827" s="1115" t="s">
        <v>51</v>
      </c>
      <c r="L827" s="1112"/>
      <c r="M827" s="1112"/>
      <c r="N827" s="1112"/>
      <c r="O827" s="15" t="str">
        <f>E827</f>
        <v>IT SUPPORTIVE SERVICES</v>
      </c>
      <c r="P827" s="16"/>
      <c r="Q827" s="16"/>
      <c r="R827" s="16"/>
      <c r="S827" s="13"/>
    </row>
    <row r="828" spans="1:19">
      <c r="A828" s="14"/>
      <c r="B828" s="3"/>
      <c r="C828" s="3"/>
      <c r="D828" s="3"/>
      <c r="E828" s="3"/>
      <c r="F828" s="330"/>
      <c r="G828" s="330"/>
      <c r="H828" s="330"/>
      <c r="I828" s="13"/>
      <c r="J828" s="330"/>
      <c r="K828" s="14"/>
      <c r="L828" s="3"/>
      <c r="M828" s="3"/>
      <c r="N828" s="3"/>
      <c r="O828" s="3"/>
      <c r="P828" s="330"/>
      <c r="Q828" s="330"/>
      <c r="R828" s="330"/>
      <c r="S828" s="13"/>
    </row>
    <row r="829" spans="1:19">
      <c r="A829" s="1115" t="s">
        <v>52</v>
      </c>
      <c r="B829" s="1112"/>
      <c r="C829" s="1112"/>
      <c r="D829" s="1112"/>
      <c r="E829" s="17">
        <f>'0422Master'!D10</f>
        <v>44652</v>
      </c>
      <c r="F829" s="16"/>
      <c r="G829" s="16"/>
      <c r="H829" s="16"/>
      <c r="I829" s="13"/>
      <c r="J829" s="330"/>
      <c r="K829" s="1115" t="s">
        <v>52</v>
      </c>
      <c r="L829" s="1112"/>
      <c r="M829" s="1112"/>
      <c r="N829" s="1112"/>
      <c r="O829" s="17">
        <f>E829</f>
        <v>44652</v>
      </c>
      <c r="P829" s="16"/>
      <c r="Q829" s="16"/>
      <c r="R829" s="16"/>
      <c r="S829" s="13"/>
    </row>
    <row r="830" spans="1:19">
      <c r="A830" s="14"/>
      <c r="B830" s="3"/>
      <c r="C830" s="3"/>
      <c r="D830" s="3"/>
      <c r="E830" s="3"/>
      <c r="F830" s="330"/>
      <c r="G830" s="330"/>
      <c r="H830" s="330"/>
      <c r="I830" s="13"/>
      <c r="J830" s="330"/>
      <c r="K830" s="14"/>
      <c r="L830" s="3"/>
      <c r="M830" s="3"/>
      <c r="N830" s="3"/>
      <c r="O830" s="3"/>
      <c r="P830" s="330"/>
      <c r="Q830" s="330"/>
      <c r="R830" s="330"/>
      <c r="S830" s="13"/>
    </row>
    <row r="831" spans="1:19">
      <c r="A831" s="18">
        <v>1</v>
      </c>
      <c r="B831" s="1112" t="s">
        <v>53</v>
      </c>
      <c r="C831" s="1112"/>
      <c r="D831" s="1112"/>
      <c r="E831" s="19">
        <f>'0422Master'!W34</f>
        <v>30</v>
      </c>
      <c r="F831" s="16"/>
      <c r="G831" s="16"/>
      <c r="H831" s="16"/>
      <c r="I831" s="13"/>
      <c r="J831" s="330"/>
      <c r="K831" s="18">
        <v>1</v>
      </c>
      <c r="L831" s="1112" t="s">
        <v>53</v>
      </c>
      <c r="M831" s="1112"/>
      <c r="N831" s="1112"/>
      <c r="O831" s="19">
        <f>E831</f>
        <v>30</v>
      </c>
      <c r="P831" s="16"/>
      <c r="Q831" s="16"/>
      <c r="R831" s="16"/>
      <c r="S831" s="13"/>
    </row>
    <row r="832" spans="1:19">
      <c r="A832" s="18"/>
      <c r="B832" s="3"/>
      <c r="C832" s="3"/>
      <c r="D832" s="3"/>
      <c r="E832" s="3"/>
      <c r="F832" s="330"/>
      <c r="G832" s="330"/>
      <c r="H832" s="330"/>
      <c r="I832" s="13"/>
      <c r="J832" s="330"/>
      <c r="K832" s="18"/>
      <c r="L832" s="3"/>
      <c r="M832" s="3"/>
      <c r="N832" s="3"/>
      <c r="O832" s="3"/>
      <c r="P832" s="330"/>
      <c r="Q832" s="330"/>
      <c r="R832" s="330"/>
      <c r="S832" s="13"/>
    </row>
    <row r="833" spans="1:19" ht="15" customHeight="1">
      <c r="A833" s="18">
        <v>2</v>
      </c>
      <c r="B833" s="1114" t="s">
        <v>54</v>
      </c>
      <c r="C833" s="1114"/>
      <c r="D833" s="1114"/>
      <c r="E833" s="3"/>
      <c r="F833" s="330"/>
      <c r="G833" s="330"/>
      <c r="H833" s="330"/>
      <c r="I833" s="13"/>
      <c r="J833" s="330"/>
      <c r="K833" s="18">
        <v>2</v>
      </c>
      <c r="L833" s="1114" t="s">
        <v>54</v>
      </c>
      <c r="M833" s="1114"/>
      <c r="N833" s="1114"/>
      <c r="O833" s="3"/>
      <c r="P833" s="330"/>
      <c r="Q833" s="330"/>
      <c r="R833" s="330"/>
      <c r="S833" s="13"/>
    </row>
    <row r="834" spans="1:19">
      <c r="A834" s="18"/>
      <c r="B834" s="1114"/>
      <c r="C834" s="1114"/>
      <c r="D834" s="1114"/>
      <c r="E834" s="20" t="s">
        <v>37</v>
      </c>
      <c r="F834" s="16"/>
      <c r="G834" s="16"/>
      <c r="H834" s="16"/>
      <c r="I834" s="13"/>
      <c r="J834" s="330"/>
      <c r="K834" s="18"/>
      <c r="L834" s="1114"/>
      <c r="M834" s="1114"/>
      <c r="N834" s="1114"/>
      <c r="O834" s="20" t="s">
        <v>37</v>
      </c>
      <c r="P834" s="16"/>
      <c r="Q834" s="16"/>
      <c r="R834" s="16"/>
      <c r="S834" s="13"/>
    </row>
    <row r="835" spans="1:19">
      <c r="A835" s="18"/>
      <c r="B835" s="3"/>
      <c r="C835" s="3"/>
      <c r="D835" s="3"/>
      <c r="E835" s="3"/>
      <c r="F835" s="330"/>
      <c r="G835" s="330"/>
      <c r="H835" s="330"/>
      <c r="I835" s="13"/>
      <c r="J835" s="330"/>
      <c r="K835" s="18"/>
      <c r="L835" s="3"/>
      <c r="M835" s="3"/>
      <c r="N835" s="3"/>
      <c r="O835" s="3"/>
      <c r="P835" s="330"/>
      <c r="Q835" s="330"/>
      <c r="R835" s="330"/>
      <c r="S835" s="13"/>
    </row>
    <row r="836" spans="1:19">
      <c r="A836" s="18">
        <v>3</v>
      </c>
      <c r="B836" s="1112" t="s">
        <v>55</v>
      </c>
      <c r="C836" s="1112"/>
      <c r="D836" s="1112"/>
      <c r="E836" s="20" t="s">
        <v>37</v>
      </c>
      <c r="F836" s="16"/>
      <c r="G836" s="16"/>
      <c r="H836" s="16"/>
      <c r="I836" s="13"/>
      <c r="J836" s="330"/>
      <c r="K836" s="18">
        <v>3</v>
      </c>
      <c r="L836" s="1112" t="s">
        <v>55</v>
      </c>
      <c r="M836" s="1112"/>
      <c r="N836" s="1112"/>
      <c r="O836" s="15" t="str">
        <f>E836</f>
        <v>N/A</v>
      </c>
      <c r="P836" s="16"/>
      <c r="Q836" s="16"/>
      <c r="R836" s="16"/>
      <c r="S836" s="13"/>
    </row>
    <row r="837" spans="1:19">
      <c r="A837" s="18"/>
      <c r="B837" s="3"/>
      <c r="C837" s="3"/>
      <c r="D837" s="3"/>
      <c r="E837" s="3"/>
      <c r="F837" s="330"/>
      <c r="G837" s="330"/>
      <c r="H837" s="330"/>
      <c r="I837" s="13"/>
      <c r="J837" s="330"/>
      <c r="K837" s="18"/>
      <c r="L837" s="3"/>
      <c r="M837" s="3"/>
      <c r="N837" s="3"/>
      <c r="O837" s="3"/>
      <c r="P837" s="330"/>
      <c r="Q837" s="330"/>
      <c r="R837" s="330"/>
      <c r="S837" s="13"/>
    </row>
    <row r="838" spans="1:19">
      <c r="A838" s="18">
        <v>4</v>
      </c>
      <c r="B838" s="1112" t="s">
        <v>56</v>
      </c>
      <c r="C838" s="1112"/>
      <c r="D838" s="1112"/>
      <c r="E838" s="20" t="s">
        <v>57</v>
      </c>
      <c r="F838" s="16"/>
      <c r="G838" s="16"/>
      <c r="H838" s="16"/>
      <c r="I838" s="13"/>
      <c r="J838" s="330"/>
      <c r="K838" s="18">
        <v>4</v>
      </c>
      <c r="L838" s="1112" t="s">
        <v>56</v>
      </c>
      <c r="M838" s="1112"/>
      <c r="N838" s="1112"/>
      <c r="O838" s="20" t="s">
        <v>57</v>
      </c>
      <c r="P838" s="16"/>
      <c r="Q838" s="16"/>
      <c r="R838" s="16"/>
      <c r="S838" s="13"/>
    </row>
    <row r="839" spans="1:19">
      <c r="A839" s="18"/>
      <c r="B839" s="3"/>
      <c r="C839" s="3"/>
      <c r="D839" s="3"/>
      <c r="E839" s="3"/>
      <c r="F839" s="330"/>
      <c r="G839" s="330"/>
      <c r="H839" s="330"/>
      <c r="I839" s="13"/>
      <c r="J839" s="330"/>
      <c r="K839" s="18"/>
      <c r="L839" s="3"/>
      <c r="M839" s="3"/>
      <c r="N839" s="3"/>
      <c r="O839" s="3"/>
      <c r="P839" s="330"/>
      <c r="Q839" s="330"/>
      <c r="R839" s="330"/>
      <c r="S839" s="13"/>
    </row>
    <row r="840" spans="1:19">
      <c r="A840" s="18">
        <v>5</v>
      </c>
      <c r="B840" s="1112" t="s">
        <v>58</v>
      </c>
      <c r="C840" s="1112"/>
      <c r="D840" s="1112"/>
      <c r="E840" s="274">
        <f>'0422Master'!AM34</f>
        <v>43276.002619999992</v>
      </c>
      <c r="F840" s="330"/>
      <c r="G840" s="330"/>
      <c r="H840" s="330"/>
      <c r="I840" s="13"/>
      <c r="J840" s="330"/>
      <c r="K840" s="18">
        <v>5</v>
      </c>
      <c r="L840" s="1112" t="s">
        <v>58</v>
      </c>
      <c r="M840" s="1112"/>
      <c r="N840" s="1112"/>
      <c r="O840" s="274">
        <f>E840</f>
        <v>43276.002619999992</v>
      </c>
      <c r="P840" s="330"/>
      <c r="Q840" s="330"/>
      <c r="R840" s="330"/>
      <c r="S840" s="13"/>
    </row>
    <row r="841" spans="1:19">
      <c r="A841" s="18"/>
      <c r="B841" s="3"/>
      <c r="C841" s="3"/>
      <c r="D841" s="275" t="s">
        <v>59</v>
      </c>
      <c r="E841" s="275" t="s">
        <v>31</v>
      </c>
      <c r="F841" s="275" t="s">
        <v>33</v>
      </c>
      <c r="G841" s="275" t="s">
        <v>34</v>
      </c>
      <c r="H841" s="275" t="s">
        <v>378</v>
      </c>
      <c r="I841" s="273" t="s">
        <v>379</v>
      </c>
      <c r="J841" s="330"/>
      <c r="K841" s="18"/>
      <c r="L841" s="3"/>
      <c r="M841" s="3"/>
      <c r="N841" s="275" t="s">
        <v>59</v>
      </c>
      <c r="O841" s="275" t="s">
        <v>31</v>
      </c>
      <c r="P841" s="275" t="s">
        <v>33</v>
      </c>
      <c r="Q841" s="275" t="s">
        <v>34</v>
      </c>
      <c r="R841" s="275" t="s">
        <v>378</v>
      </c>
      <c r="S841" s="273" t="s">
        <v>379</v>
      </c>
    </row>
    <row r="842" spans="1:19">
      <c r="A842" s="18">
        <v>6</v>
      </c>
      <c r="B842" s="732" t="s">
        <v>60</v>
      </c>
      <c r="C842" s="732"/>
      <c r="D842" s="276">
        <f>'0422Master'!AO34</f>
        <v>1800</v>
      </c>
      <c r="E842" s="276">
        <f>'0422Master'!AN1305</f>
        <v>0</v>
      </c>
      <c r="F842" s="277">
        <f>'0422Master'!AP34</f>
        <v>200</v>
      </c>
      <c r="G842" s="276">
        <f>'0422Master'!AQ34</f>
        <v>0</v>
      </c>
      <c r="H842" s="277">
        <f>'0422Master'!AR34</f>
        <v>283</v>
      </c>
      <c r="I842" s="277">
        <f>'0422Master'!AS1305</f>
        <v>0</v>
      </c>
      <c r="J842" s="330"/>
      <c r="K842" s="18">
        <v>6</v>
      </c>
      <c r="L842" s="732" t="s">
        <v>60</v>
      </c>
      <c r="M842" s="732"/>
      <c r="N842" s="276">
        <f t="shared" ref="N842" si="68">D842</f>
        <v>1800</v>
      </c>
      <c r="O842" s="276">
        <f t="shared" ref="O842" si="69">E842</f>
        <v>0</v>
      </c>
      <c r="P842" s="277">
        <f t="shared" ref="P842" si="70">F842</f>
        <v>200</v>
      </c>
      <c r="Q842" s="276">
        <f t="shared" ref="Q842" si="71">G842</f>
        <v>0</v>
      </c>
      <c r="R842" s="277">
        <f t="shared" ref="R842" si="72">H842</f>
        <v>283</v>
      </c>
      <c r="S842" s="277">
        <f t="shared" ref="S842" si="73">I842</f>
        <v>0</v>
      </c>
    </row>
    <row r="843" spans="1:19">
      <c r="A843" s="18"/>
      <c r="B843" s="3"/>
      <c r="C843" s="3"/>
      <c r="D843" s="3"/>
      <c r="E843" s="3"/>
      <c r="F843" s="330"/>
      <c r="G843" s="330"/>
      <c r="H843" s="330"/>
      <c r="I843" s="13"/>
      <c r="J843" s="330"/>
      <c r="K843" s="18"/>
      <c r="L843" s="3"/>
      <c r="M843" s="3"/>
      <c r="N843" s="3"/>
      <c r="O843" s="3"/>
      <c r="P843" s="330"/>
      <c r="Q843" s="330"/>
      <c r="R843" s="330"/>
      <c r="S843" s="13"/>
    </row>
    <row r="844" spans="1:19">
      <c r="A844" s="18">
        <v>7</v>
      </c>
      <c r="B844" s="1112" t="s">
        <v>61</v>
      </c>
      <c r="C844" s="1112"/>
      <c r="D844" s="1112"/>
      <c r="E844" s="21">
        <f>E840-D842-E842-F842-G842-H842</f>
        <v>40993.002619999992</v>
      </c>
      <c r="F844" s="16"/>
      <c r="G844" s="16"/>
      <c r="H844" s="16"/>
      <c r="I844" s="13"/>
      <c r="J844" s="330"/>
      <c r="K844" s="18">
        <v>7</v>
      </c>
      <c r="L844" s="1112" t="s">
        <v>61</v>
      </c>
      <c r="M844" s="1112"/>
      <c r="N844" s="1112"/>
      <c r="O844" s="21">
        <f>E844</f>
        <v>40993.002619999992</v>
      </c>
      <c r="P844" s="16"/>
      <c r="Q844" s="16"/>
      <c r="R844" s="16"/>
      <c r="S844" s="13"/>
    </row>
    <row r="845" spans="1:19">
      <c r="A845" s="12"/>
      <c r="B845" s="330"/>
      <c r="C845" s="330"/>
      <c r="D845" s="330"/>
      <c r="E845" s="330"/>
      <c r="F845" s="330"/>
      <c r="G845" s="330"/>
      <c r="H845" s="330"/>
      <c r="I845" s="13"/>
      <c r="J845" s="330"/>
      <c r="K845" s="12"/>
      <c r="L845" s="330"/>
      <c r="M845" s="330"/>
      <c r="N845" s="330"/>
      <c r="O845" s="330"/>
      <c r="P845" s="330"/>
      <c r="Q845" s="330"/>
      <c r="R845" s="330"/>
      <c r="S845" s="13"/>
    </row>
    <row r="846" spans="1:19">
      <c r="A846" s="12"/>
      <c r="B846" s="330"/>
      <c r="C846" s="330"/>
      <c r="D846" s="330"/>
      <c r="E846" s="330"/>
      <c r="F846" s="330"/>
      <c r="G846" s="330"/>
      <c r="H846" s="330"/>
      <c r="I846" s="13"/>
      <c r="J846" s="330"/>
      <c r="K846" s="12"/>
      <c r="L846" s="330"/>
      <c r="M846" s="330"/>
      <c r="N846" s="330"/>
      <c r="O846" s="330"/>
      <c r="P846" s="330"/>
      <c r="Q846" s="330"/>
      <c r="R846" s="330"/>
      <c r="S846" s="13"/>
    </row>
    <row r="847" spans="1:19" ht="15.75" thickBot="1">
      <c r="A847" s="12"/>
      <c r="B847" s="330"/>
      <c r="C847" s="330"/>
      <c r="D847" s="330"/>
      <c r="E847" s="330"/>
      <c r="F847" s="22"/>
      <c r="G847" s="22"/>
      <c r="H847" s="22"/>
      <c r="I847" s="23"/>
      <c r="J847" s="330"/>
      <c r="K847" s="12"/>
      <c r="L847" s="330"/>
      <c r="M847" s="330"/>
      <c r="N847" s="330"/>
      <c r="O847" s="330"/>
      <c r="P847" s="22"/>
      <c r="Q847" s="22"/>
      <c r="R847" s="22"/>
      <c r="S847" s="23"/>
    </row>
    <row r="848" spans="1:19" ht="15.75" thickBot="1">
      <c r="A848" s="24"/>
      <c r="B848" s="22"/>
      <c r="C848" s="22"/>
      <c r="D848" s="22"/>
      <c r="E848" s="22"/>
      <c r="F848" s="1110" t="s">
        <v>62</v>
      </c>
      <c r="G848" s="1110"/>
      <c r="H848" s="1110"/>
      <c r="I848" s="1111"/>
      <c r="J848" s="330"/>
      <c r="K848" s="24"/>
      <c r="L848" s="22"/>
      <c r="M848" s="22"/>
      <c r="N848" s="22"/>
      <c r="O848" s="22"/>
      <c r="P848" s="1110" t="s">
        <v>62</v>
      </c>
      <c r="Q848" s="1110"/>
      <c r="R848" s="1110"/>
      <c r="S848" s="1111"/>
    </row>
    <row r="849" spans="1:19">
      <c r="A849" s="330"/>
      <c r="B849" s="330"/>
      <c r="C849" s="330"/>
      <c r="D849" s="330"/>
      <c r="E849" s="330"/>
      <c r="F849" s="330"/>
      <c r="G849" s="330"/>
      <c r="H849" s="330"/>
      <c r="I849" s="330"/>
      <c r="J849" s="330"/>
      <c r="K849" s="330"/>
      <c r="L849" s="330"/>
      <c r="M849" s="330"/>
      <c r="N849" s="330"/>
      <c r="O849" s="330"/>
      <c r="P849" s="330"/>
      <c r="Q849" s="330"/>
      <c r="R849" s="330"/>
      <c r="S849" s="330"/>
    </row>
    <row r="850" spans="1:19">
      <c r="A850" s="330"/>
      <c r="B850" s="330"/>
      <c r="C850" s="330"/>
      <c r="D850" s="330"/>
      <c r="E850" s="330"/>
      <c r="F850" s="330"/>
      <c r="G850" s="330"/>
      <c r="H850" s="330"/>
      <c r="I850" s="330"/>
      <c r="J850" s="330"/>
      <c r="K850" s="330"/>
      <c r="L850" s="330"/>
      <c r="M850" s="330"/>
      <c r="N850" s="330"/>
      <c r="O850" s="330"/>
      <c r="P850" s="330"/>
      <c r="Q850" s="330"/>
      <c r="R850" s="330"/>
      <c r="S850" s="330"/>
    </row>
    <row r="851" spans="1:19">
      <c r="A851" s="330"/>
      <c r="B851" s="330"/>
      <c r="C851" s="330"/>
      <c r="D851" s="330"/>
      <c r="E851" s="330"/>
      <c r="F851" s="330"/>
      <c r="G851" s="330"/>
      <c r="H851" s="330"/>
      <c r="I851" s="330"/>
      <c r="J851" s="330"/>
      <c r="K851" s="330"/>
      <c r="L851" s="330"/>
      <c r="M851" s="330"/>
      <c r="N851" s="330"/>
      <c r="O851" s="330"/>
      <c r="P851" s="330"/>
      <c r="Q851" s="330"/>
      <c r="R851" s="330"/>
      <c r="S851" s="330"/>
    </row>
    <row r="852" spans="1:19">
      <c r="A852" s="330"/>
      <c r="B852" s="330"/>
      <c r="C852" s="330"/>
      <c r="D852" s="330"/>
      <c r="E852" s="330"/>
      <c r="F852" s="330"/>
      <c r="G852" s="330"/>
      <c r="H852" s="330"/>
      <c r="I852" s="330"/>
      <c r="J852" s="330"/>
      <c r="K852" s="330"/>
      <c r="L852" s="330"/>
      <c r="M852" s="330"/>
      <c r="N852" s="330"/>
      <c r="O852" s="330"/>
      <c r="P852" s="330"/>
      <c r="Q852" s="330"/>
      <c r="R852" s="330"/>
      <c r="S852" s="330"/>
    </row>
    <row r="853" spans="1:19">
      <c r="A853" s="330"/>
      <c r="B853" s="330"/>
      <c r="C853" s="330"/>
      <c r="D853" s="330"/>
      <c r="E853" s="330"/>
      <c r="F853" s="330"/>
      <c r="G853" s="330"/>
      <c r="H853" s="330"/>
      <c r="I853" s="330"/>
      <c r="J853" s="330"/>
      <c r="K853" s="330"/>
      <c r="L853" s="330"/>
      <c r="M853" s="330"/>
      <c r="N853" s="330"/>
      <c r="O853" s="330"/>
      <c r="P853" s="330"/>
      <c r="Q853" s="330"/>
      <c r="R853" s="330"/>
      <c r="S853" s="330"/>
    </row>
    <row r="854" spans="1:19">
      <c r="A854" s="330"/>
      <c r="B854" s="330"/>
      <c r="C854" s="330"/>
      <c r="D854" s="330"/>
      <c r="E854" s="330"/>
      <c r="F854" s="330"/>
      <c r="G854" s="330"/>
      <c r="H854" s="330"/>
      <c r="I854" s="330"/>
      <c r="J854" s="330"/>
      <c r="K854" s="330"/>
      <c r="L854" s="330"/>
      <c r="M854" s="330"/>
      <c r="N854" s="330"/>
      <c r="O854" s="330"/>
      <c r="P854" s="330"/>
      <c r="Q854" s="330"/>
      <c r="R854" s="330"/>
      <c r="S854" s="330"/>
    </row>
    <row r="855" spans="1:19">
      <c r="A855" s="330"/>
      <c r="B855" s="330"/>
      <c r="C855" s="330"/>
      <c r="D855" s="330"/>
      <c r="E855" s="330"/>
      <c r="F855" s="330"/>
      <c r="G855" s="330"/>
      <c r="H855" s="330"/>
      <c r="I855" s="330"/>
      <c r="J855" s="330"/>
      <c r="K855" s="330"/>
      <c r="L855" s="330"/>
      <c r="M855" s="330"/>
      <c r="N855" s="330"/>
      <c r="O855" s="330"/>
      <c r="P855" s="330"/>
      <c r="Q855" s="330"/>
      <c r="R855" s="330"/>
      <c r="S855" s="330"/>
    </row>
    <row r="856" spans="1:19">
      <c r="A856" s="330"/>
      <c r="B856" s="330"/>
      <c r="C856" s="330"/>
      <c r="D856" s="330"/>
      <c r="E856" s="330"/>
      <c r="F856" s="330"/>
      <c r="G856" s="330"/>
      <c r="H856" s="330"/>
      <c r="I856" s="330"/>
      <c r="J856" s="330"/>
      <c r="K856" s="330"/>
      <c r="L856" s="330"/>
      <c r="M856" s="330"/>
      <c r="N856" s="330"/>
      <c r="O856" s="330"/>
      <c r="P856" s="330"/>
      <c r="Q856" s="330"/>
      <c r="R856" s="330"/>
      <c r="S856" s="330"/>
    </row>
    <row r="857" spans="1:19">
      <c r="A857" s="330"/>
      <c r="B857" s="330"/>
      <c r="C857" s="330"/>
      <c r="D857" s="330"/>
      <c r="E857" s="330"/>
      <c r="F857" s="330"/>
      <c r="G857" s="330"/>
      <c r="H857" s="330"/>
      <c r="I857" s="330"/>
      <c r="J857" s="330"/>
      <c r="K857" s="330"/>
      <c r="L857" s="330"/>
      <c r="M857" s="330"/>
      <c r="N857" s="330"/>
      <c r="O857" s="330"/>
      <c r="P857" s="330"/>
      <c r="Q857" s="330"/>
      <c r="R857" s="330"/>
      <c r="S857" s="330"/>
    </row>
    <row r="858" spans="1:19">
      <c r="A858" s="330"/>
      <c r="B858" s="330"/>
      <c r="C858" s="330"/>
      <c r="D858" s="330"/>
      <c r="E858" s="330"/>
      <c r="F858" s="330"/>
      <c r="G858" s="330"/>
      <c r="H858" s="330"/>
      <c r="I858" s="330"/>
      <c r="J858" s="330"/>
      <c r="K858" s="330"/>
      <c r="L858" s="330"/>
      <c r="M858" s="330"/>
      <c r="N858" s="330"/>
      <c r="O858" s="330"/>
      <c r="P858" s="330"/>
      <c r="Q858" s="330"/>
      <c r="R858" s="330"/>
      <c r="S858" s="330"/>
    </row>
    <row r="859" spans="1:19">
      <c r="A859" s="330"/>
      <c r="B859" s="330"/>
      <c r="C859" s="330"/>
      <c r="D859" s="330"/>
      <c r="E859" s="330"/>
      <c r="F859" s="330"/>
      <c r="G859" s="330"/>
      <c r="H859" s="330"/>
      <c r="I859" s="330"/>
      <c r="J859" s="330"/>
      <c r="K859" s="330"/>
      <c r="L859" s="330"/>
      <c r="M859" s="330"/>
      <c r="N859" s="330"/>
      <c r="O859" s="330"/>
      <c r="P859" s="330"/>
      <c r="Q859" s="330"/>
      <c r="R859" s="330"/>
      <c r="S859" s="330"/>
    </row>
    <row r="860" spans="1:19">
      <c r="A860" s="330"/>
      <c r="B860" s="330"/>
      <c r="C860" s="330"/>
      <c r="D860" s="330"/>
      <c r="E860" s="330"/>
      <c r="F860" s="330"/>
      <c r="G860" s="330"/>
      <c r="H860" s="330"/>
      <c r="I860" s="330"/>
      <c r="J860" s="330"/>
      <c r="K860" s="330"/>
      <c r="L860" s="330"/>
      <c r="M860" s="330"/>
      <c r="N860" s="330"/>
      <c r="O860" s="330"/>
      <c r="P860" s="330"/>
      <c r="Q860" s="330"/>
      <c r="R860" s="330"/>
      <c r="S860" s="330"/>
    </row>
    <row r="861" spans="1:19">
      <c r="A861" s="330"/>
      <c r="B861" s="330"/>
      <c r="C861" s="330"/>
      <c r="D861" s="330"/>
      <c r="E861" s="330"/>
      <c r="F861" s="330"/>
      <c r="G861" s="330"/>
      <c r="H861" s="330"/>
      <c r="I861" s="330"/>
      <c r="J861" s="330"/>
      <c r="K861" s="330"/>
      <c r="L861" s="330"/>
      <c r="M861" s="330"/>
      <c r="N861" s="330"/>
      <c r="O861" s="330"/>
      <c r="P861" s="330"/>
      <c r="Q861" s="330"/>
      <c r="R861" s="330"/>
      <c r="S861" s="330"/>
    </row>
    <row r="862" spans="1:19" ht="15.75" thickBot="1">
      <c r="A862" s="330"/>
      <c r="B862" s="330"/>
      <c r="C862" s="330"/>
      <c r="D862" s="330"/>
      <c r="E862" s="330"/>
      <c r="F862" s="330"/>
      <c r="G862" s="330"/>
      <c r="H862" s="330"/>
      <c r="I862" s="330"/>
      <c r="J862" s="330"/>
      <c r="K862" s="330"/>
      <c r="L862" s="330"/>
      <c r="M862" s="330"/>
      <c r="N862" s="330"/>
      <c r="O862" s="330"/>
      <c r="P862" s="330"/>
      <c r="Q862" s="330"/>
      <c r="R862" s="330"/>
      <c r="S862" s="330"/>
    </row>
    <row r="863" spans="1:19" ht="26.25">
      <c r="A863" s="1116" t="s">
        <v>707</v>
      </c>
      <c r="B863" s="1117"/>
      <c r="C863" s="1117"/>
      <c r="D863" s="1117"/>
      <c r="E863" s="1117"/>
      <c r="F863" s="1117"/>
      <c r="G863" s="1117"/>
      <c r="H863" s="1117"/>
      <c r="I863" s="1118"/>
      <c r="J863" s="74"/>
      <c r="K863" s="1116" t="s">
        <v>707</v>
      </c>
      <c r="L863" s="1117"/>
      <c r="M863" s="1117"/>
      <c r="N863" s="1117"/>
      <c r="O863" s="1117"/>
      <c r="P863" s="1117"/>
      <c r="Q863" s="1117"/>
      <c r="R863" s="1117"/>
      <c r="S863" s="1118"/>
    </row>
    <row r="864" spans="1:19" ht="15.75" thickBot="1">
      <c r="A864" s="1119" t="s">
        <v>708</v>
      </c>
      <c r="B864" s="1120"/>
      <c r="C864" s="1120"/>
      <c r="D864" s="1120"/>
      <c r="E864" s="1120"/>
      <c r="F864" s="1120"/>
      <c r="G864" s="1120"/>
      <c r="H864" s="1120"/>
      <c r="I864" s="1121"/>
      <c r="J864" s="22"/>
      <c r="K864" s="1119" t="s">
        <v>708</v>
      </c>
      <c r="L864" s="1120"/>
      <c r="M864" s="1120"/>
      <c r="N864" s="1120"/>
      <c r="O864" s="1120"/>
      <c r="P864" s="1120"/>
      <c r="Q864" s="1120"/>
      <c r="R864" s="1120"/>
      <c r="S864" s="1121"/>
    </row>
    <row r="865" spans="1:19">
      <c r="A865" s="12"/>
      <c r="B865" s="330"/>
      <c r="C865" s="330"/>
      <c r="D865" s="330"/>
      <c r="E865" s="330"/>
      <c r="F865" s="330"/>
      <c r="G865" s="330"/>
      <c r="H865" s="330"/>
      <c r="I865" s="13"/>
      <c r="J865" s="330"/>
      <c r="K865" s="12"/>
      <c r="L865" s="330"/>
      <c r="M865" s="330"/>
      <c r="N865" s="330"/>
      <c r="O865" s="330"/>
      <c r="P865" s="330"/>
      <c r="Q865" s="330"/>
      <c r="R865" s="330"/>
      <c r="S865" s="13"/>
    </row>
    <row r="866" spans="1:19">
      <c r="A866" s="14" t="s">
        <v>49</v>
      </c>
      <c r="B866" s="3"/>
      <c r="C866" s="3"/>
      <c r="D866" s="6" t="s">
        <v>384</v>
      </c>
      <c r="E866" s="330"/>
      <c r="F866" s="330"/>
      <c r="G866" s="330"/>
      <c r="H866" s="330"/>
      <c r="I866" s="13"/>
      <c r="J866" s="330"/>
      <c r="K866" s="14" t="s">
        <v>49</v>
      </c>
      <c r="L866" s="3"/>
      <c r="M866" s="3"/>
      <c r="N866" s="6" t="str">
        <f>D866</f>
        <v>Burgeon IT Services Pvt.Ltd.</v>
      </c>
      <c r="O866" s="330"/>
      <c r="P866" s="330"/>
      <c r="Q866" s="330"/>
      <c r="R866" s="330"/>
      <c r="S866" s="13"/>
    </row>
    <row r="867" spans="1:19">
      <c r="A867" s="14"/>
      <c r="B867" s="3" t="s">
        <v>385</v>
      </c>
      <c r="C867" s="3"/>
      <c r="D867" s="3"/>
      <c r="E867" s="330"/>
      <c r="F867" s="330"/>
      <c r="G867" s="330"/>
      <c r="H867" s="330"/>
      <c r="I867" s="13"/>
      <c r="J867" s="330"/>
      <c r="K867" s="14"/>
      <c r="L867" s="3" t="str">
        <f>B867</f>
        <v>Siri Mansion LIGB 436 Dr.A S Rao Nagar,Hyderabad</v>
      </c>
      <c r="M867" s="3"/>
      <c r="N867" s="3"/>
      <c r="O867" s="330"/>
      <c r="P867" s="330"/>
      <c r="Q867" s="330"/>
      <c r="R867" s="330"/>
      <c r="S867" s="13"/>
    </row>
    <row r="868" spans="1:19">
      <c r="A868" s="14"/>
      <c r="B868" s="3">
        <f>'0422Master'!F1339</f>
        <v>0</v>
      </c>
      <c r="C868" s="3"/>
      <c r="D868" s="3"/>
      <c r="E868" s="3"/>
      <c r="F868" s="330"/>
      <c r="G868" s="330"/>
      <c r="H868" s="330"/>
      <c r="I868" s="13"/>
      <c r="J868" s="330"/>
      <c r="K868" s="14"/>
      <c r="L868" s="3">
        <f>B868</f>
        <v>0</v>
      </c>
      <c r="M868" s="3"/>
      <c r="N868" s="3"/>
      <c r="O868" s="3"/>
      <c r="P868" s="330"/>
      <c r="Q868" s="330"/>
      <c r="R868" s="330"/>
      <c r="S868" s="13"/>
    </row>
    <row r="869" spans="1:19" ht="15" customHeight="1">
      <c r="A869" s="1113" t="s">
        <v>50</v>
      </c>
      <c r="B869" s="1114"/>
      <c r="C869" s="1114"/>
      <c r="D869" s="1114"/>
      <c r="E869" s="3"/>
      <c r="F869" s="330"/>
      <c r="G869" s="330"/>
      <c r="H869" s="330"/>
      <c r="I869" s="13"/>
      <c r="J869" s="330"/>
      <c r="K869" s="1113" t="s">
        <v>50</v>
      </c>
      <c r="L869" s="1114"/>
      <c r="M869" s="1114"/>
      <c r="N869" s="1114"/>
      <c r="O869" s="3"/>
      <c r="P869" s="330"/>
      <c r="Q869" s="330"/>
      <c r="R869" s="330"/>
      <c r="S869" s="13"/>
    </row>
    <row r="870" spans="1:19">
      <c r="A870" s="1113"/>
      <c r="B870" s="1114"/>
      <c r="C870" s="1114"/>
      <c r="D870" s="1114"/>
      <c r="E870" s="15" t="str">
        <f>'0422Master'!B35</f>
        <v>susheelKumar Gandla</v>
      </c>
      <c r="F870" s="16"/>
      <c r="G870" s="16"/>
      <c r="H870" s="16" t="str">
        <f>'0422Master'!E35</f>
        <v>Narayana Gandla</v>
      </c>
      <c r="I870" s="13"/>
      <c r="J870" s="330"/>
      <c r="K870" s="1113"/>
      <c r="L870" s="1114"/>
      <c r="M870" s="1114"/>
      <c r="N870" s="1114"/>
      <c r="O870" s="15" t="str">
        <f>E870</f>
        <v>susheelKumar Gandla</v>
      </c>
      <c r="P870" s="16"/>
      <c r="Q870" s="16"/>
      <c r="R870" s="16" t="str">
        <f>H870</f>
        <v>Narayana Gandla</v>
      </c>
      <c r="S870" s="13"/>
    </row>
    <row r="871" spans="1:19">
      <c r="A871" s="14"/>
      <c r="B871" s="3"/>
      <c r="C871" s="3"/>
      <c r="D871" s="3"/>
      <c r="E871" s="3"/>
      <c r="F871" s="330"/>
      <c r="G871" s="330"/>
      <c r="H871" s="330"/>
      <c r="I871" s="13"/>
      <c r="J871" s="330"/>
      <c r="K871" s="14"/>
      <c r="L871" s="3"/>
      <c r="M871" s="3"/>
      <c r="N871" s="3"/>
      <c r="O871" s="3"/>
      <c r="P871" s="330"/>
      <c r="Q871" s="330"/>
      <c r="R871" s="330"/>
      <c r="S871" s="13"/>
    </row>
    <row r="872" spans="1:19">
      <c r="A872" s="1115" t="s">
        <v>51</v>
      </c>
      <c r="B872" s="1112"/>
      <c r="C872" s="1112"/>
      <c r="D872" s="1112"/>
      <c r="E872" s="15" t="s">
        <v>374</v>
      </c>
      <c r="F872" s="16"/>
      <c r="G872" s="16"/>
      <c r="H872" s="16"/>
      <c r="I872" s="13"/>
      <c r="J872" s="330"/>
      <c r="K872" s="1115" t="s">
        <v>51</v>
      </c>
      <c r="L872" s="1112"/>
      <c r="M872" s="1112"/>
      <c r="N872" s="1112"/>
      <c r="O872" s="15" t="str">
        <f>E872</f>
        <v>IT SUPPORTIVE SERVICES</v>
      </c>
      <c r="P872" s="16"/>
      <c r="Q872" s="16"/>
      <c r="R872" s="16"/>
      <c r="S872" s="13"/>
    </row>
    <row r="873" spans="1:19">
      <c r="A873" s="14"/>
      <c r="B873" s="3"/>
      <c r="C873" s="3"/>
      <c r="D873" s="3"/>
      <c r="E873" s="3"/>
      <c r="F873" s="330"/>
      <c r="G873" s="330"/>
      <c r="H873" s="330"/>
      <c r="I873" s="13"/>
      <c r="J873" s="330"/>
      <c r="K873" s="14"/>
      <c r="L873" s="3"/>
      <c r="M873" s="3"/>
      <c r="N873" s="3"/>
      <c r="O873" s="3"/>
      <c r="P873" s="330"/>
      <c r="Q873" s="330"/>
      <c r="R873" s="330"/>
      <c r="S873" s="13"/>
    </row>
    <row r="874" spans="1:19">
      <c r="A874" s="1115" t="s">
        <v>52</v>
      </c>
      <c r="B874" s="1112"/>
      <c r="C874" s="1112"/>
      <c r="D874" s="1112"/>
      <c r="E874" s="17">
        <f>'0422Master'!D10</f>
        <v>44652</v>
      </c>
      <c r="F874" s="16"/>
      <c r="G874" s="16"/>
      <c r="H874" s="16"/>
      <c r="I874" s="13"/>
      <c r="J874" s="330"/>
      <c r="K874" s="1115" t="s">
        <v>52</v>
      </c>
      <c r="L874" s="1112"/>
      <c r="M874" s="1112"/>
      <c r="N874" s="1112"/>
      <c r="O874" s="17">
        <f>E874</f>
        <v>44652</v>
      </c>
      <c r="P874" s="16"/>
      <c r="Q874" s="16"/>
      <c r="R874" s="16"/>
      <c r="S874" s="13"/>
    </row>
    <row r="875" spans="1:19">
      <c r="A875" s="14"/>
      <c r="B875" s="3"/>
      <c r="C875" s="3"/>
      <c r="D875" s="3"/>
      <c r="E875" s="3"/>
      <c r="F875" s="330"/>
      <c r="G875" s="330"/>
      <c r="H875" s="330"/>
      <c r="I875" s="13"/>
      <c r="J875" s="330"/>
      <c r="K875" s="14"/>
      <c r="L875" s="3"/>
      <c r="M875" s="3"/>
      <c r="N875" s="3"/>
      <c r="O875" s="3"/>
      <c r="P875" s="330"/>
      <c r="Q875" s="330"/>
      <c r="R875" s="330"/>
      <c r="S875" s="13"/>
    </row>
    <row r="876" spans="1:19">
      <c r="A876" s="18">
        <v>1</v>
      </c>
      <c r="B876" s="1112" t="s">
        <v>53</v>
      </c>
      <c r="C876" s="1112"/>
      <c r="D876" s="1112"/>
      <c r="E876" s="19">
        <f>'0422Master'!W35</f>
        <v>30</v>
      </c>
      <c r="F876" s="16"/>
      <c r="G876" s="16"/>
      <c r="H876" s="16"/>
      <c r="I876" s="13"/>
      <c r="J876" s="330"/>
      <c r="K876" s="18">
        <v>1</v>
      </c>
      <c r="L876" s="1112" t="s">
        <v>53</v>
      </c>
      <c r="M876" s="1112"/>
      <c r="N876" s="1112"/>
      <c r="O876" s="19">
        <f>E876</f>
        <v>30</v>
      </c>
      <c r="P876" s="16"/>
      <c r="Q876" s="16"/>
      <c r="R876" s="16"/>
      <c r="S876" s="13"/>
    </row>
    <row r="877" spans="1:19">
      <c r="A877" s="18"/>
      <c r="B877" s="3"/>
      <c r="C877" s="3"/>
      <c r="D877" s="3"/>
      <c r="E877" s="3"/>
      <c r="F877" s="330"/>
      <c r="G877" s="330"/>
      <c r="H877" s="330"/>
      <c r="I877" s="13"/>
      <c r="J877" s="330"/>
      <c r="K877" s="18"/>
      <c r="L877" s="3"/>
      <c r="M877" s="3"/>
      <c r="N877" s="3"/>
      <c r="O877" s="3"/>
      <c r="P877" s="330"/>
      <c r="Q877" s="330"/>
      <c r="R877" s="330"/>
      <c r="S877" s="13"/>
    </row>
    <row r="878" spans="1:19" ht="15" customHeight="1">
      <c r="A878" s="18">
        <v>2</v>
      </c>
      <c r="B878" s="1114" t="s">
        <v>54</v>
      </c>
      <c r="C878" s="1114"/>
      <c r="D878" s="1114"/>
      <c r="E878" s="3"/>
      <c r="F878" s="330"/>
      <c r="G878" s="330"/>
      <c r="H878" s="330"/>
      <c r="I878" s="13"/>
      <c r="J878" s="330"/>
      <c r="K878" s="18">
        <v>2</v>
      </c>
      <c r="L878" s="1114" t="s">
        <v>54</v>
      </c>
      <c r="M878" s="1114"/>
      <c r="N878" s="1114"/>
      <c r="O878" s="3"/>
      <c r="P878" s="330"/>
      <c r="Q878" s="330"/>
      <c r="R878" s="330"/>
      <c r="S878" s="13"/>
    </row>
    <row r="879" spans="1:19">
      <c r="A879" s="18"/>
      <c r="B879" s="1114"/>
      <c r="C879" s="1114"/>
      <c r="D879" s="1114"/>
      <c r="E879" s="20" t="s">
        <v>37</v>
      </c>
      <c r="F879" s="16"/>
      <c r="G879" s="16"/>
      <c r="H879" s="16"/>
      <c r="I879" s="13"/>
      <c r="J879" s="330"/>
      <c r="K879" s="18"/>
      <c r="L879" s="1114"/>
      <c r="M879" s="1114"/>
      <c r="N879" s="1114"/>
      <c r="O879" s="20" t="s">
        <v>37</v>
      </c>
      <c r="P879" s="16"/>
      <c r="Q879" s="16"/>
      <c r="R879" s="16"/>
      <c r="S879" s="13"/>
    </row>
    <row r="880" spans="1:19">
      <c r="A880" s="18"/>
      <c r="B880" s="3"/>
      <c r="C880" s="3"/>
      <c r="D880" s="3"/>
      <c r="E880" s="3"/>
      <c r="F880" s="330"/>
      <c r="G880" s="330"/>
      <c r="H880" s="330"/>
      <c r="I880" s="13"/>
      <c r="J880" s="330"/>
      <c r="K880" s="18"/>
      <c r="L880" s="3"/>
      <c r="M880" s="3"/>
      <c r="N880" s="3"/>
      <c r="O880" s="3"/>
      <c r="P880" s="330"/>
      <c r="Q880" s="330"/>
      <c r="R880" s="330"/>
      <c r="S880" s="13"/>
    </row>
    <row r="881" spans="1:19">
      <c r="A881" s="18">
        <v>3</v>
      </c>
      <c r="B881" s="1112" t="s">
        <v>55</v>
      </c>
      <c r="C881" s="1112"/>
      <c r="D881" s="1112"/>
      <c r="E881" s="20" t="s">
        <v>37</v>
      </c>
      <c r="F881" s="16"/>
      <c r="G881" s="16"/>
      <c r="H881" s="16"/>
      <c r="I881" s="13"/>
      <c r="J881" s="330"/>
      <c r="K881" s="18">
        <v>3</v>
      </c>
      <c r="L881" s="1112" t="s">
        <v>55</v>
      </c>
      <c r="M881" s="1112"/>
      <c r="N881" s="1112"/>
      <c r="O881" s="15" t="str">
        <f>E881</f>
        <v>N/A</v>
      </c>
      <c r="P881" s="16"/>
      <c r="Q881" s="16"/>
      <c r="R881" s="16"/>
      <c r="S881" s="13"/>
    </row>
    <row r="882" spans="1:19">
      <c r="A882" s="18"/>
      <c r="B882" s="3"/>
      <c r="C882" s="3"/>
      <c r="D882" s="3"/>
      <c r="E882" s="3"/>
      <c r="F882" s="330"/>
      <c r="G882" s="330"/>
      <c r="H882" s="330"/>
      <c r="I882" s="13"/>
      <c r="J882" s="330"/>
      <c r="K882" s="18"/>
      <c r="L882" s="3"/>
      <c r="M882" s="3"/>
      <c r="N882" s="3"/>
      <c r="O882" s="3"/>
      <c r="P882" s="330"/>
      <c r="Q882" s="330"/>
      <c r="R882" s="330"/>
      <c r="S882" s="13"/>
    </row>
    <row r="883" spans="1:19">
      <c r="A883" s="18">
        <v>4</v>
      </c>
      <c r="B883" s="1112" t="s">
        <v>56</v>
      </c>
      <c r="C883" s="1112"/>
      <c r="D883" s="1112"/>
      <c r="E883" s="20" t="s">
        <v>57</v>
      </c>
      <c r="F883" s="16"/>
      <c r="G883" s="16"/>
      <c r="H883" s="16"/>
      <c r="I883" s="13"/>
      <c r="J883" s="330"/>
      <c r="K883" s="18">
        <v>4</v>
      </c>
      <c r="L883" s="1112" t="s">
        <v>56</v>
      </c>
      <c r="M883" s="1112"/>
      <c r="N883" s="1112"/>
      <c r="O883" s="20" t="s">
        <v>57</v>
      </c>
      <c r="P883" s="16"/>
      <c r="Q883" s="16"/>
      <c r="R883" s="16"/>
      <c r="S883" s="13"/>
    </row>
    <row r="884" spans="1:19">
      <c r="A884" s="18"/>
      <c r="B884" s="3"/>
      <c r="C884" s="3"/>
      <c r="D884" s="3"/>
      <c r="E884" s="3"/>
      <c r="F884" s="330"/>
      <c r="G884" s="330"/>
      <c r="H884" s="330"/>
      <c r="I884" s="13"/>
      <c r="J884" s="330"/>
      <c r="K884" s="18"/>
      <c r="L884" s="3"/>
      <c r="M884" s="3"/>
      <c r="N884" s="3"/>
      <c r="O884" s="3"/>
      <c r="P884" s="330"/>
      <c r="Q884" s="330"/>
      <c r="R884" s="330"/>
      <c r="S884" s="13"/>
    </row>
    <row r="885" spans="1:19">
      <c r="A885" s="18">
        <v>5</v>
      </c>
      <c r="B885" s="1112" t="s">
        <v>58</v>
      </c>
      <c r="C885" s="1112"/>
      <c r="D885" s="1112"/>
      <c r="E885" s="274">
        <f>'0422Master'!AM35</f>
        <v>88276.332079999993</v>
      </c>
      <c r="F885" s="330"/>
      <c r="G885" s="330"/>
      <c r="H885" s="330"/>
      <c r="I885" s="13"/>
      <c r="J885" s="330"/>
      <c r="K885" s="18">
        <v>5</v>
      </c>
      <c r="L885" s="1112" t="s">
        <v>58</v>
      </c>
      <c r="M885" s="1112"/>
      <c r="N885" s="1112"/>
      <c r="O885" s="274">
        <f>E885</f>
        <v>88276.332079999993</v>
      </c>
      <c r="P885" s="330"/>
      <c r="Q885" s="330"/>
      <c r="R885" s="330"/>
      <c r="S885" s="13"/>
    </row>
    <row r="886" spans="1:19">
      <c r="A886" s="18"/>
      <c r="B886" s="3"/>
      <c r="C886" s="3"/>
      <c r="D886" s="275" t="s">
        <v>59</v>
      </c>
      <c r="E886" s="275" t="s">
        <v>31</v>
      </c>
      <c r="F886" s="275" t="s">
        <v>33</v>
      </c>
      <c r="G886" s="275" t="s">
        <v>34</v>
      </c>
      <c r="H886" s="275" t="s">
        <v>378</v>
      </c>
      <c r="I886" s="273" t="s">
        <v>379</v>
      </c>
      <c r="J886" s="330"/>
      <c r="K886" s="18"/>
      <c r="L886" s="3"/>
      <c r="M886" s="3"/>
      <c r="N886" s="275" t="s">
        <v>59</v>
      </c>
      <c r="O886" s="275" t="s">
        <v>31</v>
      </c>
      <c r="P886" s="275" t="s">
        <v>33</v>
      </c>
      <c r="Q886" s="275" t="s">
        <v>34</v>
      </c>
      <c r="R886" s="275" t="s">
        <v>378</v>
      </c>
      <c r="S886" s="273" t="s">
        <v>379</v>
      </c>
    </row>
    <row r="887" spans="1:19">
      <c r="A887" s="18">
        <v>6</v>
      </c>
      <c r="B887" s="732" t="s">
        <v>60</v>
      </c>
      <c r="C887" s="732"/>
      <c r="D887" s="276">
        <f>'0422Master'!AO35</f>
        <v>0</v>
      </c>
      <c r="E887" s="276">
        <v>0</v>
      </c>
      <c r="F887" s="277">
        <f>'0422Master'!AP35</f>
        <v>200</v>
      </c>
      <c r="G887" s="276">
        <f>'0422Master'!AQ35</f>
        <v>0</v>
      </c>
      <c r="H887" s="277">
        <f>'0422Master'!AR35</f>
        <v>0</v>
      </c>
      <c r="I887" s="277">
        <f>'0422Master'!AS35</f>
        <v>200</v>
      </c>
      <c r="J887" s="330"/>
      <c r="K887" s="18">
        <v>6</v>
      </c>
      <c r="L887" s="732" t="s">
        <v>60</v>
      </c>
      <c r="M887" s="732"/>
      <c r="N887" s="276">
        <f t="shared" ref="N887" si="74">D887</f>
        <v>0</v>
      </c>
      <c r="O887" s="276">
        <f t="shared" ref="O887" si="75">E887</f>
        <v>0</v>
      </c>
      <c r="P887" s="277">
        <f t="shared" ref="P887" si="76">F887</f>
        <v>200</v>
      </c>
      <c r="Q887" s="276">
        <f t="shared" ref="Q887" si="77">G887</f>
        <v>0</v>
      </c>
      <c r="R887" s="277">
        <f t="shared" ref="R887" si="78">H887</f>
        <v>0</v>
      </c>
      <c r="S887" s="277">
        <f t="shared" ref="S887" si="79">I887</f>
        <v>200</v>
      </c>
    </row>
    <row r="888" spans="1:19">
      <c r="A888" s="18"/>
      <c r="B888" s="3"/>
      <c r="C888" s="3"/>
      <c r="D888" s="3"/>
      <c r="E888" s="3"/>
      <c r="F888" s="330"/>
      <c r="G888" s="330"/>
      <c r="H888" s="330"/>
      <c r="I888" s="13"/>
      <c r="J888" s="330"/>
      <c r="K888" s="18"/>
      <c r="L888" s="3"/>
      <c r="M888" s="3"/>
      <c r="N888" s="3"/>
      <c r="O888" s="3"/>
      <c r="P888" s="330"/>
      <c r="Q888" s="330"/>
      <c r="R888" s="330"/>
      <c r="S888" s="13"/>
    </row>
    <row r="889" spans="1:19">
      <c r="A889" s="18">
        <v>7</v>
      </c>
      <c r="B889" s="1112" t="s">
        <v>61</v>
      </c>
      <c r="C889" s="1112"/>
      <c r="D889" s="1112"/>
      <c r="E889" s="21">
        <f>E885-I887</f>
        <v>88076.332079999993</v>
      </c>
      <c r="F889" s="16"/>
      <c r="G889" s="16"/>
      <c r="H889" s="16"/>
      <c r="I889" s="13"/>
      <c r="J889" s="330"/>
      <c r="K889" s="18">
        <v>7</v>
      </c>
      <c r="L889" s="1112" t="s">
        <v>61</v>
      </c>
      <c r="M889" s="1112"/>
      <c r="N889" s="1112"/>
      <c r="O889" s="21">
        <f>E889</f>
        <v>88076.332079999993</v>
      </c>
      <c r="P889" s="16"/>
      <c r="Q889" s="16"/>
      <c r="R889" s="16"/>
      <c r="S889" s="13"/>
    </row>
    <row r="890" spans="1:19">
      <c r="A890" s="12"/>
      <c r="B890" s="330"/>
      <c r="C890" s="330"/>
      <c r="D890" s="330"/>
      <c r="E890" s="330"/>
      <c r="F890" s="330"/>
      <c r="G890" s="330"/>
      <c r="H890" s="330"/>
      <c r="I890" s="13"/>
      <c r="J890" s="330"/>
      <c r="K890" s="12"/>
      <c r="L890" s="330"/>
      <c r="M890" s="330"/>
      <c r="N890" s="330"/>
      <c r="O890" s="330"/>
      <c r="P890" s="330"/>
      <c r="Q890" s="330"/>
      <c r="R890" s="330"/>
      <c r="S890" s="13"/>
    </row>
    <row r="891" spans="1:19">
      <c r="A891" s="12"/>
      <c r="B891" s="330"/>
      <c r="C891" s="330"/>
      <c r="D891" s="330"/>
      <c r="E891" s="330"/>
      <c r="F891" s="330"/>
      <c r="G891" s="330"/>
      <c r="H891" s="330"/>
      <c r="I891" s="13"/>
      <c r="J891" s="330"/>
      <c r="K891" s="12"/>
      <c r="L891" s="330"/>
      <c r="M891" s="330"/>
      <c r="N891" s="330"/>
      <c r="O891" s="330"/>
      <c r="P891" s="330"/>
      <c r="Q891" s="330"/>
      <c r="R891" s="330"/>
      <c r="S891" s="13"/>
    </row>
    <row r="892" spans="1:19" ht="15.75" thickBot="1">
      <c r="A892" s="12"/>
      <c r="B892" s="330"/>
      <c r="C892" s="330"/>
      <c r="D892" s="330"/>
      <c r="E892" s="330"/>
      <c r="F892" s="22"/>
      <c r="G892" s="22"/>
      <c r="H892" s="22"/>
      <c r="I892" s="23"/>
      <c r="J892" s="330"/>
      <c r="K892" s="12"/>
      <c r="L892" s="330"/>
      <c r="M892" s="330"/>
      <c r="N892" s="330"/>
      <c r="O892" s="330"/>
      <c r="P892" s="22"/>
      <c r="Q892" s="22"/>
      <c r="R892" s="22"/>
      <c r="S892" s="23"/>
    </row>
    <row r="893" spans="1:19" ht="15.75" thickBot="1">
      <c r="A893" s="24"/>
      <c r="B893" s="22"/>
      <c r="C893" s="22"/>
      <c r="D893" s="22"/>
      <c r="E893" s="22"/>
      <c r="F893" s="1110" t="s">
        <v>62</v>
      </c>
      <c r="G893" s="1110"/>
      <c r="H893" s="1110"/>
      <c r="I893" s="1111"/>
      <c r="J893" s="330"/>
      <c r="K893" s="24"/>
      <c r="L893" s="22"/>
      <c r="M893" s="22"/>
      <c r="N893" s="22"/>
      <c r="O893" s="22"/>
      <c r="P893" s="1110" t="s">
        <v>62</v>
      </c>
      <c r="Q893" s="1110"/>
      <c r="R893" s="1110"/>
      <c r="S893" s="1111"/>
    </row>
    <row r="894" spans="1:19">
      <c r="A894" s="330"/>
      <c r="B894" s="330"/>
      <c r="C894" s="330"/>
      <c r="D894" s="330"/>
      <c r="E894" s="330"/>
      <c r="F894" s="330"/>
      <c r="G894" s="330"/>
      <c r="H894" s="330"/>
      <c r="I894" s="330"/>
      <c r="J894" s="330"/>
      <c r="K894" s="330"/>
      <c r="L894" s="330"/>
      <c r="M894" s="330"/>
      <c r="N894" s="330"/>
      <c r="O894" s="330"/>
      <c r="P894" s="330"/>
      <c r="Q894" s="330"/>
      <c r="R894" s="330"/>
      <c r="S894" s="330"/>
    </row>
    <row r="895" spans="1:19">
      <c r="A895" s="330"/>
      <c r="B895" s="330"/>
      <c r="C895" s="330"/>
      <c r="D895" s="330"/>
      <c r="E895" s="330"/>
      <c r="F895" s="330"/>
      <c r="G895" s="330"/>
      <c r="H895" s="330"/>
      <c r="I895" s="330"/>
      <c r="J895" s="330"/>
      <c r="K895" s="330"/>
      <c r="L895" s="330"/>
      <c r="M895" s="330"/>
      <c r="N895" s="330"/>
      <c r="O895" s="330"/>
      <c r="P895" s="330"/>
      <c r="Q895" s="330"/>
      <c r="R895" s="330"/>
      <c r="S895" s="330"/>
    </row>
    <row r="896" spans="1:19">
      <c r="A896" s="330"/>
      <c r="B896" s="330"/>
      <c r="C896" s="330"/>
      <c r="D896" s="330"/>
      <c r="E896" s="330"/>
      <c r="F896" s="330"/>
      <c r="G896" s="330"/>
      <c r="H896" s="330"/>
      <c r="I896" s="330"/>
      <c r="J896" s="330"/>
      <c r="K896" s="330"/>
      <c r="L896" s="330"/>
      <c r="M896" s="330"/>
      <c r="N896" s="330"/>
      <c r="O896" s="330"/>
      <c r="P896" s="330"/>
      <c r="Q896" s="330"/>
      <c r="R896" s="330"/>
      <c r="S896" s="330"/>
    </row>
    <row r="897" spans="1:19">
      <c r="A897" s="330"/>
      <c r="B897" s="330"/>
      <c r="C897" s="330"/>
      <c r="D897" s="330"/>
      <c r="E897" s="330"/>
      <c r="F897" s="330"/>
      <c r="G897" s="330"/>
      <c r="H897" s="330"/>
      <c r="I897" s="330"/>
      <c r="J897" s="330"/>
      <c r="K897" s="330"/>
      <c r="L897" s="330"/>
      <c r="M897" s="330"/>
      <c r="N897" s="330"/>
      <c r="O897" s="330"/>
      <c r="P897" s="330"/>
      <c r="Q897" s="330"/>
      <c r="R897" s="330"/>
      <c r="S897" s="330"/>
    </row>
    <row r="898" spans="1:19">
      <c r="A898" s="330"/>
      <c r="B898" s="330"/>
      <c r="C898" s="330"/>
      <c r="D898" s="330"/>
      <c r="E898" s="330"/>
      <c r="F898" s="330"/>
      <c r="G898" s="330"/>
      <c r="H898" s="330"/>
      <c r="I898" s="330"/>
      <c r="J898" s="330"/>
      <c r="K898" s="330"/>
      <c r="L898" s="330"/>
      <c r="M898" s="330"/>
      <c r="N898" s="330"/>
      <c r="O898" s="330"/>
      <c r="P898" s="330"/>
      <c r="Q898" s="330"/>
      <c r="R898" s="330"/>
      <c r="S898" s="330"/>
    </row>
    <row r="899" spans="1:19">
      <c r="A899" s="330"/>
      <c r="B899" s="330"/>
      <c r="C899" s="330"/>
      <c r="D899" s="330"/>
      <c r="E899" s="330"/>
      <c r="F899" s="330"/>
      <c r="G899" s="330"/>
      <c r="H899" s="330"/>
      <c r="I899" s="330"/>
      <c r="J899" s="330"/>
      <c r="K899" s="330"/>
      <c r="L899" s="330"/>
      <c r="M899" s="330"/>
      <c r="N899" s="330"/>
      <c r="O899" s="330"/>
      <c r="P899" s="330"/>
      <c r="Q899" s="330"/>
      <c r="R899" s="330"/>
      <c r="S899" s="330"/>
    </row>
    <row r="900" spans="1:19">
      <c r="A900" s="330"/>
      <c r="B900" s="330"/>
      <c r="C900" s="330"/>
      <c r="D900" s="330"/>
      <c r="E900" s="330"/>
      <c r="F900" s="330"/>
      <c r="G900" s="330"/>
      <c r="H900" s="330"/>
      <c r="I900" s="330"/>
      <c r="J900" s="330"/>
      <c r="K900" s="330"/>
      <c r="L900" s="330"/>
      <c r="M900" s="330"/>
      <c r="N900" s="330"/>
      <c r="O900" s="330"/>
      <c r="P900" s="330"/>
      <c r="Q900" s="330"/>
      <c r="R900" s="330"/>
      <c r="S900" s="330"/>
    </row>
    <row r="901" spans="1:19">
      <c r="A901" s="330"/>
      <c r="B901" s="330"/>
      <c r="C901" s="330"/>
      <c r="D901" s="330"/>
      <c r="E901" s="330"/>
      <c r="F901" s="330"/>
      <c r="G901" s="330"/>
      <c r="H901" s="330"/>
      <c r="I901" s="330"/>
      <c r="J901" s="330"/>
      <c r="K901" s="330"/>
      <c r="L901" s="330"/>
      <c r="M901" s="330"/>
      <c r="N901" s="330"/>
      <c r="O901" s="330"/>
      <c r="P901" s="330"/>
      <c r="Q901" s="330"/>
      <c r="R901" s="330"/>
      <c r="S901" s="330"/>
    </row>
    <row r="902" spans="1:19">
      <c r="A902" s="330"/>
      <c r="B902" s="330"/>
      <c r="C902" s="330"/>
      <c r="D902" s="330"/>
      <c r="E902" s="330"/>
      <c r="F902" s="330"/>
      <c r="G902" s="330"/>
      <c r="H902" s="330"/>
      <c r="I902" s="330"/>
      <c r="J902" s="330"/>
      <c r="K902" s="330"/>
      <c r="L902" s="330"/>
      <c r="M902" s="330"/>
      <c r="N902" s="330"/>
      <c r="O902" s="330"/>
      <c r="P902" s="330"/>
      <c r="Q902" s="330"/>
      <c r="R902" s="330"/>
      <c r="S902" s="330"/>
    </row>
    <row r="903" spans="1:19">
      <c r="A903" s="330"/>
      <c r="B903" s="330"/>
      <c r="C903" s="330"/>
      <c r="D903" s="330"/>
      <c r="E903" s="330"/>
      <c r="F903" s="330"/>
      <c r="G903" s="330"/>
      <c r="H903" s="330"/>
      <c r="I903" s="330"/>
      <c r="J903" s="330"/>
      <c r="K903" s="330"/>
      <c r="L903" s="330"/>
      <c r="M903" s="330"/>
      <c r="N903" s="330"/>
      <c r="O903" s="330"/>
      <c r="P903" s="330"/>
      <c r="Q903" s="330"/>
      <c r="R903" s="330"/>
      <c r="S903" s="330"/>
    </row>
    <row r="904" spans="1:19">
      <c r="A904" s="330"/>
      <c r="B904" s="330"/>
      <c r="C904" s="330"/>
      <c r="D904" s="330"/>
      <c r="E904" s="330"/>
      <c r="F904" s="330"/>
      <c r="G904" s="330"/>
      <c r="H904" s="330"/>
      <c r="I904" s="330"/>
      <c r="J904" s="330"/>
      <c r="K904" s="330"/>
      <c r="L904" s="330"/>
      <c r="M904" s="330"/>
      <c r="N904" s="330"/>
      <c r="O904" s="330"/>
      <c r="P904" s="330"/>
      <c r="Q904" s="330"/>
      <c r="R904" s="330"/>
      <c r="S904" s="330"/>
    </row>
    <row r="905" spans="1:19">
      <c r="A905" s="330"/>
      <c r="B905" s="330"/>
      <c r="C905" s="330"/>
      <c r="D905" s="330"/>
      <c r="E905" s="330"/>
      <c r="F905" s="330"/>
      <c r="G905" s="330"/>
      <c r="H905" s="330"/>
      <c r="I905" s="330"/>
      <c r="J905" s="330"/>
      <c r="K905" s="330"/>
      <c r="L905" s="330"/>
      <c r="M905" s="330"/>
      <c r="N905" s="330"/>
      <c r="O905" s="330"/>
      <c r="P905" s="330"/>
      <c r="Q905" s="330"/>
      <c r="R905" s="330"/>
      <c r="S905" s="330"/>
    </row>
    <row r="906" spans="1:19">
      <c r="A906" s="330"/>
      <c r="B906" s="330"/>
      <c r="C906" s="330"/>
      <c r="D906" s="330"/>
      <c r="E906" s="330"/>
      <c r="F906" s="330"/>
      <c r="G906" s="330"/>
      <c r="H906" s="330"/>
      <c r="I906" s="330"/>
      <c r="J906" s="330"/>
      <c r="K906" s="330"/>
      <c r="L906" s="330"/>
      <c r="M906" s="330"/>
      <c r="N906" s="330"/>
      <c r="O906" s="330"/>
      <c r="P906" s="330"/>
      <c r="Q906" s="330"/>
      <c r="R906" s="330"/>
      <c r="S906" s="330"/>
    </row>
    <row r="907" spans="1:19" ht="15.75" thickBot="1">
      <c r="A907" s="330"/>
      <c r="B907" s="330"/>
      <c r="C907" s="330"/>
      <c r="D907" s="330"/>
      <c r="E907" s="330"/>
      <c r="F907" s="330"/>
      <c r="G907" s="330"/>
      <c r="H907" s="330"/>
      <c r="I907" s="330"/>
      <c r="J907" s="330"/>
      <c r="K907" s="330"/>
      <c r="L907" s="330"/>
      <c r="M907" s="330"/>
      <c r="N907" s="330"/>
      <c r="O907" s="330"/>
      <c r="P907" s="330"/>
      <c r="Q907" s="330"/>
      <c r="R907" s="330"/>
      <c r="S907" s="330"/>
    </row>
    <row r="908" spans="1:19" ht="26.25">
      <c r="A908" s="1122" t="s">
        <v>707</v>
      </c>
      <c r="B908" s="1123"/>
      <c r="C908" s="1123"/>
      <c r="D908" s="1123"/>
      <c r="E908" s="1123"/>
      <c r="F908" s="1123"/>
      <c r="G908" s="1123"/>
      <c r="H908" s="1123"/>
      <c r="I908" s="1124"/>
      <c r="J908" s="645"/>
      <c r="K908" s="1122" t="s">
        <v>707</v>
      </c>
      <c r="L908" s="1123"/>
      <c r="M908" s="1123"/>
      <c r="N908" s="1123"/>
      <c r="O908" s="1123"/>
      <c r="P908" s="1123"/>
      <c r="Q908" s="1123"/>
      <c r="R908" s="1123"/>
      <c r="S908" s="1124"/>
    </row>
    <row r="909" spans="1:19" ht="15.75" thickBot="1">
      <c r="A909" s="1119" t="s">
        <v>708</v>
      </c>
      <c r="B909" s="1120"/>
      <c r="C909" s="1120"/>
      <c r="D909" s="1120"/>
      <c r="E909" s="1120"/>
      <c r="F909" s="1120"/>
      <c r="G909" s="1120"/>
      <c r="H909" s="1120"/>
      <c r="I909" s="1121"/>
      <c r="J909" s="646"/>
      <c r="K909" s="1119" t="s">
        <v>708</v>
      </c>
      <c r="L909" s="1120"/>
      <c r="M909" s="1120"/>
      <c r="N909" s="1120"/>
      <c r="O909" s="1120"/>
      <c r="P909" s="1120"/>
      <c r="Q909" s="1120"/>
      <c r="R909" s="1120"/>
      <c r="S909" s="1121"/>
    </row>
    <row r="910" spans="1:19">
      <c r="A910" s="647"/>
      <c r="B910" s="509"/>
      <c r="C910" s="509"/>
      <c r="D910" s="509"/>
      <c r="E910" s="509"/>
      <c r="F910" s="509"/>
      <c r="G910" s="509"/>
      <c r="H910" s="509"/>
      <c r="I910" s="648"/>
      <c r="J910" s="509"/>
      <c r="K910" s="647"/>
      <c r="L910" s="509"/>
      <c r="M910" s="509"/>
      <c r="N910" s="509"/>
      <c r="O910" s="509"/>
      <c r="P910" s="509"/>
      <c r="Q910" s="509"/>
      <c r="R910" s="509"/>
      <c r="S910" s="648"/>
    </row>
    <row r="911" spans="1:19">
      <c r="A911" s="649" t="s">
        <v>49</v>
      </c>
      <c r="B911" s="650"/>
      <c r="C911" s="650"/>
      <c r="D911" s="651" t="s">
        <v>384</v>
      </c>
      <c r="E911" s="509"/>
      <c r="F911" s="509"/>
      <c r="G911" s="509"/>
      <c r="H911" s="509"/>
      <c r="I911" s="648"/>
      <c r="J911" s="509"/>
      <c r="K911" s="649" t="s">
        <v>49</v>
      </c>
      <c r="L911" s="650"/>
      <c r="M911" s="650"/>
      <c r="N911" s="651" t="str">
        <f>D911</f>
        <v>Burgeon IT Services Pvt.Ltd.</v>
      </c>
      <c r="O911" s="509"/>
      <c r="P911" s="509"/>
      <c r="Q911" s="509"/>
      <c r="R911" s="509"/>
      <c r="S911" s="648"/>
    </row>
    <row r="912" spans="1:19">
      <c r="A912" s="649"/>
      <c r="B912" s="650" t="s">
        <v>385</v>
      </c>
      <c r="C912" s="650"/>
      <c r="D912" s="650"/>
      <c r="E912" s="509"/>
      <c r="F912" s="509"/>
      <c r="G912" s="509"/>
      <c r="H912" s="509"/>
      <c r="I912" s="648"/>
      <c r="J912" s="509"/>
      <c r="K912" s="649"/>
      <c r="L912" s="650" t="str">
        <f>B912</f>
        <v>Siri Mansion LIGB 436 Dr.A S Rao Nagar,Hyderabad</v>
      </c>
      <c r="M912" s="650"/>
      <c r="N912" s="650"/>
      <c r="O912" s="509"/>
      <c r="P912" s="509"/>
      <c r="Q912" s="509"/>
      <c r="R912" s="509"/>
      <c r="S912" s="648"/>
    </row>
    <row r="913" spans="1:19">
      <c r="A913" s="649"/>
      <c r="B913" s="650">
        <f>'0422Master'!F1384</f>
        <v>0</v>
      </c>
      <c r="C913" s="650"/>
      <c r="D913" s="650"/>
      <c r="E913" s="650"/>
      <c r="F913" s="509"/>
      <c r="G913" s="509"/>
      <c r="H913" s="509"/>
      <c r="I913" s="648"/>
      <c r="J913" s="509"/>
      <c r="K913" s="649"/>
      <c r="L913" s="650">
        <f>B913</f>
        <v>0</v>
      </c>
      <c r="M913" s="650"/>
      <c r="N913" s="650"/>
      <c r="O913" s="650"/>
      <c r="P913" s="509"/>
      <c r="Q913" s="509"/>
      <c r="R913" s="509"/>
      <c r="S913" s="648"/>
    </row>
    <row r="914" spans="1:19">
      <c r="A914" s="1127" t="s">
        <v>50</v>
      </c>
      <c r="B914" s="1126"/>
      <c r="C914" s="1126"/>
      <c r="D914" s="1126"/>
      <c r="E914" s="650"/>
      <c r="F914" s="509"/>
      <c r="G914" s="509"/>
      <c r="H914" s="509"/>
      <c r="I914" s="648"/>
      <c r="J914" s="509"/>
      <c r="K914" s="1127" t="s">
        <v>50</v>
      </c>
      <c r="L914" s="1126"/>
      <c r="M914" s="1126"/>
      <c r="N914" s="1126"/>
      <c r="O914" s="650"/>
      <c r="P914" s="509"/>
      <c r="Q914" s="509"/>
      <c r="R914" s="509"/>
      <c r="S914" s="648"/>
    </row>
    <row r="915" spans="1:19">
      <c r="A915" s="1127"/>
      <c r="B915" s="1126"/>
      <c r="C915" s="1126"/>
      <c r="D915" s="1126"/>
      <c r="E915" s="652">
        <f>'0422Master'!U1395</f>
        <v>0</v>
      </c>
      <c r="F915" s="653"/>
      <c r="G915" s="653"/>
      <c r="H915" s="653"/>
      <c r="I915" s="648"/>
      <c r="J915" s="509"/>
      <c r="K915" s="1127"/>
      <c r="L915" s="1126"/>
      <c r="M915" s="1126"/>
      <c r="N915" s="1126"/>
      <c r="O915" s="652">
        <f>E915</f>
        <v>0</v>
      </c>
      <c r="P915" s="653"/>
      <c r="Q915" s="653"/>
      <c r="R915" s="653"/>
      <c r="S915" s="648"/>
    </row>
    <row r="916" spans="1:19">
      <c r="A916" s="649"/>
      <c r="B916" s="650"/>
      <c r="C916" s="650"/>
      <c r="D916" s="650"/>
      <c r="E916" s="650"/>
      <c r="F916" s="509"/>
      <c r="G916" s="509"/>
      <c r="H916" s="509"/>
      <c r="I916" s="648"/>
      <c r="J916" s="509"/>
      <c r="K916" s="649"/>
      <c r="L916" s="650"/>
      <c r="M916" s="650"/>
      <c r="N916" s="650"/>
      <c r="O916" s="650"/>
      <c r="P916" s="509"/>
      <c r="Q916" s="509"/>
      <c r="R916" s="509"/>
      <c r="S916" s="648"/>
    </row>
    <row r="917" spans="1:19">
      <c r="A917" s="1128" t="s">
        <v>51</v>
      </c>
      <c r="B917" s="1125"/>
      <c r="C917" s="1125"/>
      <c r="D917" s="1125"/>
      <c r="E917" s="650" t="s">
        <v>374</v>
      </c>
      <c r="F917" s="653"/>
      <c r="G917" s="653"/>
      <c r="H917" s="653"/>
      <c r="I917" s="648"/>
      <c r="J917" s="509"/>
      <c r="K917" s="1128" t="s">
        <v>51</v>
      </c>
      <c r="L917" s="1125"/>
      <c r="M917" s="1125"/>
      <c r="N917" s="1125"/>
      <c r="O917" s="652" t="str">
        <f>E917</f>
        <v>IT SUPPORTIVE SERVICES</v>
      </c>
      <c r="P917" s="653"/>
      <c r="Q917" s="653"/>
      <c r="R917" s="653"/>
      <c r="S917" s="648"/>
    </row>
    <row r="918" spans="1:19">
      <c r="A918" s="649"/>
      <c r="B918" s="650"/>
      <c r="C918" s="650"/>
      <c r="D918" s="650"/>
      <c r="E918" s="650"/>
      <c r="F918" s="509"/>
      <c r="G918" s="509"/>
      <c r="H918" s="509"/>
      <c r="I918" s="648"/>
      <c r="J918" s="509"/>
      <c r="K918" s="649"/>
      <c r="L918" s="650"/>
      <c r="M918" s="650"/>
      <c r="N918" s="650"/>
      <c r="O918" s="650"/>
      <c r="P918" s="509"/>
      <c r="Q918" s="509"/>
      <c r="R918" s="509"/>
      <c r="S918" s="648"/>
    </row>
    <row r="919" spans="1:19">
      <c r="A919" s="1128" t="s">
        <v>52</v>
      </c>
      <c r="B919" s="1125"/>
      <c r="C919" s="1125"/>
      <c r="D919" s="1125"/>
      <c r="E919" s="654">
        <f>'0422Master'!D1387</f>
        <v>0</v>
      </c>
      <c r="F919" s="653"/>
      <c r="G919" s="653"/>
      <c r="H919" s="653"/>
      <c r="I919" s="648"/>
      <c r="J919" s="509"/>
      <c r="K919" s="1128" t="s">
        <v>52</v>
      </c>
      <c r="L919" s="1125"/>
      <c r="M919" s="1125"/>
      <c r="N919" s="1125"/>
      <c r="O919" s="654">
        <f>E919</f>
        <v>0</v>
      </c>
      <c r="P919" s="653"/>
      <c r="Q919" s="653"/>
      <c r="R919" s="653"/>
      <c r="S919" s="648"/>
    </row>
    <row r="920" spans="1:19">
      <c r="A920" s="649"/>
      <c r="B920" s="650"/>
      <c r="C920" s="650"/>
      <c r="D920" s="650"/>
      <c r="E920" s="650"/>
      <c r="F920" s="509"/>
      <c r="G920" s="509"/>
      <c r="H920" s="509"/>
      <c r="I920" s="648"/>
      <c r="J920" s="509"/>
      <c r="K920" s="649"/>
      <c r="L920" s="650"/>
      <c r="M920" s="650"/>
      <c r="N920" s="650"/>
      <c r="O920" s="650"/>
      <c r="P920" s="509"/>
      <c r="Q920" s="509"/>
      <c r="R920" s="509"/>
      <c r="S920" s="648"/>
    </row>
    <row r="921" spans="1:19">
      <c r="A921" s="655">
        <v>1</v>
      </c>
      <c r="B921" s="1125" t="s">
        <v>53</v>
      </c>
      <c r="C921" s="1125"/>
      <c r="D921" s="1125"/>
      <c r="E921" s="656">
        <f>'0422Master'!W1395</f>
        <v>0</v>
      </c>
      <c r="F921" s="653"/>
      <c r="G921" s="653"/>
      <c r="H921" s="653"/>
      <c r="I921" s="648"/>
      <c r="J921" s="509"/>
      <c r="K921" s="655">
        <v>1</v>
      </c>
      <c r="L921" s="1125" t="s">
        <v>53</v>
      </c>
      <c r="M921" s="1125"/>
      <c r="N921" s="1125"/>
      <c r="O921" s="656">
        <f>E921</f>
        <v>0</v>
      </c>
      <c r="P921" s="653"/>
      <c r="Q921" s="653"/>
      <c r="R921" s="653"/>
      <c r="S921" s="648"/>
    </row>
    <row r="922" spans="1:19">
      <c r="A922" s="655"/>
      <c r="B922" s="650"/>
      <c r="C922" s="650"/>
      <c r="D922" s="650"/>
      <c r="E922" s="650"/>
      <c r="F922" s="509"/>
      <c r="G922" s="509"/>
      <c r="H922" s="509"/>
      <c r="I922" s="648"/>
      <c r="J922" s="509"/>
      <c r="K922" s="655"/>
      <c r="L922" s="650"/>
      <c r="M922" s="650"/>
      <c r="N922" s="650"/>
      <c r="O922" s="650"/>
      <c r="P922" s="509"/>
      <c r="Q922" s="509"/>
      <c r="R922" s="509"/>
      <c r="S922" s="648"/>
    </row>
    <row r="923" spans="1:19">
      <c r="A923" s="655">
        <v>2</v>
      </c>
      <c r="B923" s="1126" t="s">
        <v>54</v>
      </c>
      <c r="C923" s="1126"/>
      <c r="D923" s="1126"/>
      <c r="E923" s="650"/>
      <c r="F923" s="509"/>
      <c r="G923" s="509"/>
      <c r="H923" s="509"/>
      <c r="I923" s="648"/>
      <c r="J923" s="509"/>
      <c r="K923" s="655">
        <v>2</v>
      </c>
      <c r="L923" s="1126" t="s">
        <v>54</v>
      </c>
      <c r="M923" s="1126"/>
      <c r="N923" s="1126"/>
      <c r="O923" s="650"/>
      <c r="P923" s="509"/>
      <c r="Q923" s="509"/>
      <c r="R923" s="509"/>
      <c r="S923" s="648"/>
    </row>
    <row r="924" spans="1:19">
      <c r="A924" s="655"/>
      <c r="B924" s="1126"/>
      <c r="C924" s="1126"/>
      <c r="D924" s="1126"/>
      <c r="E924" s="657" t="s">
        <v>37</v>
      </c>
      <c r="F924" s="653"/>
      <c r="G924" s="653"/>
      <c r="H924" s="653"/>
      <c r="I924" s="648"/>
      <c r="J924" s="509"/>
      <c r="K924" s="655"/>
      <c r="L924" s="1126"/>
      <c r="M924" s="1126"/>
      <c r="N924" s="1126"/>
      <c r="O924" s="657" t="s">
        <v>37</v>
      </c>
      <c r="P924" s="653"/>
      <c r="Q924" s="653"/>
      <c r="R924" s="653"/>
      <c r="S924" s="648"/>
    </row>
    <row r="925" spans="1:19">
      <c r="A925" s="655"/>
      <c r="B925" s="650"/>
      <c r="C925" s="650"/>
      <c r="D925" s="650"/>
      <c r="E925" s="650"/>
      <c r="F925" s="509"/>
      <c r="G925" s="509"/>
      <c r="H925" s="509"/>
      <c r="I925" s="648"/>
      <c r="J925" s="509"/>
      <c r="K925" s="655"/>
      <c r="L925" s="650"/>
      <c r="M925" s="650"/>
      <c r="N925" s="650"/>
      <c r="O925" s="650"/>
      <c r="P925" s="509"/>
      <c r="Q925" s="509"/>
      <c r="R925" s="509"/>
      <c r="S925" s="648"/>
    </row>
    <row r="926" spans="1:19">
      <c r="A926" s="655">
        <v>3</v>
      </c>
      <c r="B926" s="1125" t="s">
        <v>55</v>
      </c>
      <c r="C926" s="1125"/>
      <c r="D926" s="1125"/>
      <c r="E926" s="657" t="s">
        <v>37</v>
      </c>
      <c r="F926" s="653"/>
      <c r="G926" s="653"/>
      <c r="H926" s="653"/>
      <c r="I926" s="648"/>
      <c r="J926" s="509"/>
      <c r="K926" s="655">
        <v>3</v>
      </c>
      <c r="L926" s="1125" t="s">
        <v>55</v>
      </c>
      <c r="M926" s="1125"/>
      <c r="N926" s="1125"/>
      <c r="O926" s="652" t="str">
        <f>E926</f>
        <v>N/A</v>
      </c>
      <c r="P926" s="653"/>
      <c r="Q926" s="653"/>
      <c r="R926" s="653"/>
      <c r="S926" s="648"/>
    </row>
    <row r="927" spans="1:19">
      <c r="A927" s="655"/>
      <c r="B927" s="650"/>
      <c r="C927" s="650"/>
      <c r="D927" s="650"/>
      <c r="E927" s="650"/>
      <c r="F927" s="509"/>
      <c r="G927" s="509"/>
      <c r="H927" s="509"/>
      <c r="I927" s="648"/>
      <c r="J927" s="509"/>
      <c r="K927" s="655"/>
      <c r="L927" s="650"/>
      <c r="M927" s="650"/>
      <c r="N927" s="650"/>
      <c r="O927" s="650"/>
      <c r="P927" s="509"/>
      <c r="Q927" s="509"/>
      <c r="R927" s="509"/>
      <c r="S927" s="648"/>
    </row>
    <row r="928" spans="1:19">
      <c r="A928" s="655">
        <v>4</v>
      </c>
      <c r="B928" s="1125" t="s">
        <v>56</v>
      </c>
      <c r="C928" s="1125"/>
      <c r="D928" s="1125"/>
      <c r="E928" s="657" t="s">
        <v>57</v>
      </c>
      <c r="F928" s="653"/>
      <c r="G928" s="653"/>
      <c r="H928" s="653"/>
      <c r="I928" s="648"/>
      <c r="J928" s="509"/>
      <c r="K928" s="655">
        <v>4</v>
      </c>
      <c r="L928" s="1125" t="s">
        <v>56</v>
      </c>
      <c r="M928" s="1125"/>
      <c r="N928" s="1125"/>
      <c r="O928" s="657" t="s">
        <v>57</v>
      </c>
      <c r="P928" s="653"/>
      <c r="Q928" s="653"/>
      <c r="R928" s="653"/>
      <c r="S928" s="648"/>
    </row>
    <row r="929" spans="1:19">
      <c r="A929" s="655"/>
      <c r="B929" s="650"/>
      <c r="C929" s="650"/>
      <c r="D929" s="650"/>
      <c r="E929" s="650"/>
      <c r="F929" s="509"/>
      <c r="G929" s="509"/>
      <c r="H929" s="509"/>
      <c r="I929" s="648"/>
      <c r="J929" s="509"/>
      <c r="K929" s="655"/>
      <c r="L929" s="650"/>
      <c r="M929" s="650"/>
      <c r="N929" s="650"/>
      <c r="O929" s="650"/>
      <c r="P929" s="509"/>
      <c r="Q929" s="509"/>
      <c r="R929" s="509"/>
      <c r="S929" s="648"/>
    </row>
    <row r="930" spans="1:19">
      <c r="A930" s="655">
        <v>5</v>
      </c>
      <c r="B930" s="1125" t="s">
        <v>58</v>
      </c>
      <c r="C930" s="1125"/>
      <c r="D930" s="1125"/>
      <c r="E930" s="658">
        <f>'0422Master'!AM1395</f>
        <v>0</v>
      </c>
      <c r="F930" s="509"/>
      <c r="G930" s="509"/>
      <c r="H930" s="509"/>
      <c r="I930" s="648"/>
      <c r="J930" s="509"/>
      <c r="K930" s="655">
        <v>5</v>
      </c>
      <c r="L930" s="1125" t="s">
        <v>58</v>
      </c>
      <c r="M930" s="1125"/>
      <c r="N930" s="1125"/>
      <c r="O930" s="658">
        <f>E930</f>
        <v>0</v>
      </c>
      <c r="P930" s="509"/>
      <c r="Q930" s="509"/>
      <c r="R930" s="509"/>
      <c r="S930" s="648"/>
    </row>
    <row r="931" spans="1:19">
      <c r="A931" s="655"/>
      <c r="B931" s="650"/>
      <c r="C931" s="650"/>
      <c r="D931" s="659" t="s">
        <v>59</v>
      </c>
      <c r="E931" s="659" t="s">
        <v>31</v>
      </c>
      <c r="F931" s="659" t="s">
        <v>33</v>
      </c>
      <c r="G931" s="659" t="s">
        <v>34</v>
      </c>
      <c r="H931" s="659" t="s">
        <v>378</v>
      </c>
      <c r="I931" s="660" t="s">
        <v>379</v>
      </c>
      <c r="J931" s="509"/>
      <c r="K931" s="655"/>
      <c r="L931" s="650"/>
      <c r="M931" s="650"/>
      <c r="N931" s="659" t="s">
        <v>59</v>
      </c>
      <c r="O931" s="659" t="s">
        <v>31</v>
      </c>
      <c r="P931" s="659" t="s">
        <v>33</v>
      </c>
      <c r="Q931" s="659" t="s">
        <v>34</v>
      </c>
      <c r="R931" s="659" t="s">
        <v>378</v>
      </c>
      <c r="S931" s="660" t="s">
        <v>379</v>
      </c>
    </row>
    <row r="932" spans="1:19">
      <c r="A932" s="655">
        <v>6</v>
      </c>
      <c r="B932" s="859" t="s">
        <v>60</v>
      </c>
      <c r="C932" s="859"/>
      <c r="D932" s="662">
        <f>'0422Master'!AO1395</f>
        <v>0</v>
      </c>
      <c r="E932" s="662">
        <f>'0422Master'!AN1395</f>
        <v>0</v>
      </c>
      <c r="F932" s="663">
        <f>'0422Master'!AP1395</f>
        <v>0</v>
      </c>
      <c r="G932" s="662">
        <f>'0422Master'!AQ1395</f>
        <v>0</v>
      </c>
      <c r="H932" s="663">
        <f>'0422Master'!AR1395</f>
        <v>0</v>
      </c>
      <c r="I932" s="663">
        <f>'0422Master'!AS1395</f>
        <v>0</v>
      </c>
      <c r="J932" s="509"/>
      <c r="K932" s="655">
        <v>6</v>
      </c>
      <c r="L932" s="859" t="s">
        <v>60</v>
      </c>
      <c r="M932" s="859"/>
      <c r="N932" s="662">
        <f t="shared" ref="N932" si="80">D932</f>
        <v>0</v>
      </c>
      <c r="O932" s="662">
        <f t="shared" ref="O932" si="81">E932</f>
        <v>0</v>
      </c>
      <c r="P932" s="663">
        <f t="shared" ref="P932" si="82">F932</f>
        <v>0</v>
      </c>
      <c r="Q932" s="662">
        <f t="shared" ref="Q932" si="83">G932</f>
        <v>0</v>
      </c>
      <c r="R932" s="663">
        <f t="shared" ref="R932" si="84">H932</f>
        <v>0</v>
      </c>
      <c r="S932" s="663">
        <f t="shared" ref="S932" si="85">I932</f>
        <v>0</v>
      </c>
    </row>
    <row r="933" spans="1:19">
      <c r="A933" s="655"/>
      <c r="B933" s="650"/>
      <c r="C933" s="650"/>
      <c r="D933" s="650"/>
      <c r="E933" s="650"/>
      <c r="F933" s="509"/>
      <c r="G933" s="509"/>
      <c r="H933" s="509"/>
      <c r="I933" s="648"/>
      <c r="J933" s="509"/>
      <c r="K933" s="655"/>
      <c r="L933" s="650"/>
      <c r="M933" s="650"/>
      <c r="N933" s="650"/>
      <c r="O933" s="650"/>
      <c r="P933" s="509"/>
      <c r="Q933" s="509"/>
      <c r="R933" s="509"/>
      <c r="S933" s="648"/>
    </row>
    <row r="934" spans="1:19">
      <c r="A934" s="655">
        <v>7</v>
      </c>
      <c r="B934" s="1125" t="s">
        <v>61</v>
      </c>
      <c r="C934" s="1125"/>
      <c r="D934" s="1125"/>
      <c r="E934" s="664">
        <f>E930-I932</f>
        <v>0</v>
      </c>
      <c r="F934" s="653"/>
      <c r="G934" s="653"/>
      <c r="H934" s="653"/>
      <c r="I934" s="648"/>
      <c r="J934" s="509"/>
      <c r="K934" s="655">
        <v>7</v>
      </c>
      <c r="L934" s="1125" t="s">
        <v>61</v>
      </c>
      <c r="M934" s="1125"/>
      <c r="N934" s="1125"/>
      <c r="O934" s="664">
        <f>E934</f>
        <v>0</v>
      </c>
      <c r="P934" s="653"/>
      <c r="Q934" s="653"/>
      <c r="R934" s="653"/>
      <c r="S934" s="648"/>
    </row>
    <row r="935" spans="1:19">
      <c r="A935" s="647"/>
      <c r="B935" s="509"/>
      <c r="C935" s="509"/>
      <c r="D935" s="509"/>
      <c r="E935" s="509"/>
      <c r="F935" s="509"/>
      <c r="G935" s="509"/>
      <c r="H935" s="509"/>
      <c r="I935" s="648"/>
      <c r="J935" s="509"/>
      <c r="K935" s="647"/>
      <c r="L935" s="509"/>
      <c r="M935" s="509"/>
      <c r="N935" s="509"/>
      <c r="O935" s="509"/>
      <c r="P935" s="509"/>
      <c r="Q935" s="509"/>
      <c r="R935" s="509"/>
      <c r="S935" s="648"/>
    </row>
    <row r="936" spans="1:19">
      <c r="A936" s="647"/>
      <c r="B936" s="509"/>
      <c r="C936" s="509"/>
      <c r="D936" s="509"/>
      <c r="E936" s="509"/>
      <c r="F936" s="509"/>
      <c r="G936" s="509"/>
      <c r="H936" s="509"/>
      <c r="I936" s="648"/>
      <c r="J936" s="509"/>
      <c r="K936" s="647"/>
      <c r="L936" s="509"/>
      <c r="M936" s="509"/>
      <c r="N936" s="509"/>
      <c r="O936" s="509"/>
      <c r="P936" s="509"/>
      <c r="Q936" s="509"/>
      <c r="R936" s="509"/>
      <c r="S936" s="648"/>
    </row>
    <row r="937" spans="1:19" ht="15.75" thickBot="1">
      <c r="A937" s="647"/>
      <c r="B937" s="509"/>
      <c r="C937" s="509"/>
      <c r="D937" s="509"/>
      <c r="E937" s="509"/>
      <c r="F937" s="646"/>
      <c r="G937" s="646"/>
      <c r="H937" s="646"/>
      <c r="I937" s="665"/>
      <c r="J937" s="509"/>
      <c r="K937" s="647"/>
      <c r="L937" s="509"/>
      <c r="M937" s="509"/>
      <c r="N937" s="509"/>
      <c r="O937" s="509"/>
      <c r="P937" s="646"/>
      <c r="Q937" s="646"/>
      <c r="R937" s="646"/>
      <c r="S937" s="665"/>
    </row>
    <row r="938" spans="1:19" ht="15.75" thickBot="1">
      <c r="A938" s="666"/>
      <c r="B938" s="646"/>
      <c r="C938" s="646"/>
      <c r="D938" s="646"/>
      <c r="E938" s="646"/>
      <c r="F938" s="1129" t="s">
        <v>62</v>
      </c>
      <c r="G938" s="1129"/>
      <c r="H938" s="1129"/>
      <c r="I938" s="1130"/>
      <c r="J938" s="509"/>
      <c r="K938" s="666"/>
      <c r="L938" s="646"/>
      <c r="M938" s="646"/>
      <c r="N938" s="646"/>
      <c r="O938" s="646"/>
      <c r="P938" s="1129" t="s">
        <v>62</v>
      </c>
      <c r="Q938" s="1129"/>
      <c r="R938" s="1129"/>
      <c r="S938" s="1130"/>
    </row>
    <row r="939" spans="1:19">
      <c r="A939" s="509"/>
      <c r="B939" s="509"/>
      <c r="C939" s="509"/>
      <c r="D939" s="509"/>
      <c r="E939" s="509"/>
      <c r="F939" s="509"/>
      <c r="G939" s="509"/>
      <c r="H939" s="509"/>
      <c r="I939" s="509"/>
      <c r="J939" s="509"/>
      <c r="K939" s="509"/>
      <c r="L939" s="509"/>
      <c r="M939" s="509"/>
      <c r="N939" s="509"/>
      <c r="O939" s="509"/>
      <c r="P939" s="509"/>
      <c r="Q939" s="509"/>
      <c r="R939" s="509"/>
      <c r="S939" s="509"/>
    </row>
    <row r="940" spans="1:19">
      <c r="A940" s="509"/>
      <c r="B940" s="509"/>
      <c r="C940" s="509"/>
      <c r="D940" s="509"/>
      <c r="E940" s="509"/>
      <c r="F940" s="509"/>
      <c r="G940" s="509"/>
      <c r="H940" s="509"/>
      <c r="I940" s="509"/>
      <c r="J940" s="509"/>
      <c r="K940" s="509"/>
      <c r="L940" s="509"/>
      <c r="M940" s="509"/>
      <c r="N940" s="509"/>
      <c r="O940" s="509"/>
      <c r="P940" s="509"/>
      <c r="Q940" s="509"/>
      <c r="R940" s="509"/>
      <c r="S940" s="509"/>
    </row>
    <row r="941" spans="1:19">
      <c r="A941" s="509"/>
      <c r="B941" s="509"/>
      <c r="C941" s="509"/>
      <c r="D941" s="509"/>
      <c r="E941" s="509"/>
      <c r="F941" s="509"/>
      <c r="G941" s="509"/>
      <c r="H941" s="509"/>
      <c r="I941" s="509"/>
      <c r="J941" s="509"/>
      <c r="K941" s="509"/>
      <c r="L941" s="509"/>
      <c r="M941" s="509"/>
      <c r="N941" s="509"/>
      <c r="O941" s="509"/>
      <c r="P941" s="509"/>
      <c r="Q941" s="509"/>
      <c r="R941" s="509"/>
      <c r="S941" s="509"/>
    </row>
    <row r="942" spans="1:19">
      <c r="A942" s="509"/>
      <c r="B942" s="509"/>
      <c r="C942" s="509"/>
      <c r="D942" s="509"/>
      <c r="E942" s="509"/>
      <c r="F942" s="509"/>
      <c r="G942" s="509"/>
      <c r="H942" s="509"/>
      <c r="I942" s="509"/>
      <c r="J942" s="509"/>
      <c r="K942" s="509"/>
      <c r="L942" s="509"/>
      <c r="M942" s="509"/>
      <c r="N942" s="509"/>
      <c r="O942" s="509"/>
      <c r="P942" s="509"/>
      <c r="Q942" s="509"/>
      <c r="R942" s="509"/>
      <c r="S942" s="509"/>
    </row>
    <row r="943" spans="1:19">
      <c r="A943" s="509"/>
      <c r="B943" s="509"/>
      <c r="C943" s="509"/>
      <c r="D943" s="509"/>
      <c r="E943" s="509"/>
      <c r="F943" s="509"/>
      <c r="G943" s="509"/>
      <c r="H943" s="509"/>
      <c r="I943" s="509"/>
      <c r="J943" s="509"/>
      <c r="K943" s="509"/>
      <c r="L943" s="509"/>
      <c r="M943" s="509"/>
      <c r="N943" s="509"/>
      <c r="O943" s="509"/>
      <c r="P943" s="509"/>
      <c r="Q943" s="509"/>
      <c r="R943" s="509"/>
      <c r="S943" s="509"/>
    </row>
    <row r="944" spans="1:19">
      <c r="A944" s="509"/>
      <c r="B944" s="509"/>
      <c r="C944" s="509"/>
      <c r="D944" s="509"/>
      <c r="E944" s="509"/>
      <c r="F944" s="509"/>
      <c r="G944" s="509"/>
      <c r="H944" s="509"/>
      <c r="I944" s="509"/>
      <c r="J944" s="509"/>
      <c r="K944" s="509"/>
      <c r="L944" s="509"/>
      <c r="M944" s="509"/>
      <c r="N944" s="509"/>
      <c r="O944" s="509"/>
      <c r="P944" s="509"/>
      <c r="Q944" s="509"/>
      <c r="R944" s="509"/>
      <c r="S944" s="509"/>
    </row>
    <row r="945" spans="1:19">
      <c r="A945" s="509"/>
      <c r="B945" s="509"/>
      <c r="C945" s="509"/>
      <c r="D945" s="509"/>
      <c r="E945" s="509"/>
      <c r="F945" s="509"/>
      <c r="G945" s="509"/>
      <c r="H945" s="509"/>
      <c r="I945" s="509"/>
      <c r="J945" s="509"/>
      <c r="K945" s="509"/>
      <c r="L945" s="509"/>
      <c r="M945" s="509"/>
      <c r="N945" s="509"/>
      <c r="O945" s="509"/>
      <c r="P945" s="509"/>
      <c r="Q945" s="509"/>
      <c r="R945" s="509"/>
      <c r="S945" s="509"/>
    </row>
    <row r="946" spans="1:19">
      <c r="A946" s="509"/>
      <c r="B946" s="509"/>
      <c r="C946" s="509"/>
      <c r="D946" s="509"/>
      <c r="E946" s="509"/>
      <c r="F946" s="509"/>
      <c r="G946" s="509"/>
      <c r="H946" s="509"/>
      <c r="I946" s="509"/>
      <c r="J946" s="509"/>
      <c r="K946" s="509"/>
      <c r="L946" s="509"/>
      <c r="M946" s="509"/>
      <c r="N946" s="509"/>
      <c r="O946" s="509"/>
      <c r="P946" s="509"/>
      <c r="Q946" s="509"/>
      <c r="R946" s="509"/>
      <c r="S946" s="509"/>
    </row>
    <row r="947" spans="1:19">
      <c r="A947" s="509"/>
      <c r="B947" s="509"/>
      <c r="C947" s="509"/>
      <c r="D947" s="509"/>
      <c r="E947" s="509"/>
      <c r="F947" s="509"/>
      <c r="G947" s="509"/>
      <c r="H947" s="509"/>
      <c r="I947" s="509"/>
      <c r="J947" s="509"/>
      <c r="K947" s="509"/>
      <c r="L947" s="509"/>
      <c r="M947" s="509"/>
      <c r="N947" s="509"/>
      <c r="O947" s="509"/>
      <c r="P947" s="509"/>
      <c r="Q947" s="509"/>
      <c r="R947" s="509"/>
      <c r="S947" s="509"/>
    </row>
    <row r="948" spans="1:19">
      <c r="A948" s="509"/>
      <c r="B948" s="509"/>
      <c r="C948" s="509"/>
      <c r="D948" s="509"/>
      <c r="E948" s="509"/>
      <c r="F948" s="509"/>
      <c r="G948" s="509"/>
      <c r="H948" s="509"/>
      <c r="I948" s="509"/>
      <c r="J948" s="509"/>
      <c r="K948" s="509"/>
      <c r="L948" s="509"/>
      <c r="M948" s="509"/>
      <c r="N948" s="509"/>
      <c r="O948" s="509"/>
      <c r="P948" s="509"/>
      <c r="Q948" s="509"/>
      <c r="R948" s="509"/>
      <c r="S948" s="509"/>
    </row>
    <row r="949" spans="1:19">
      <c r="A949" s="509"/>
      <c r="B949" s="509"/>
      <c r="C949" s="509"/>
      <c r="D949" s="509"/>
      <c r="E949" s="509"/>
      <c r="F949" s="509"/>
      <c r="G949" s="509"/>
      <c r="H949" s="509"/>
      <c r="I949" s="509"/>
      <c r="J949" s="509"/>
      <c r="K949" s="509"/>
      <c r="L949" s="509"/>
      <c r="M949" s="509"/>
      <c r="N949" s="509"/>
      <c r="O949" s="509"/>
      <c r="P949" s="509"/>
      <c r="Q949" s="509"/>
      <c r="R949" s="509"/>
      <c r="S949" s="509"/>
    </row>
    <row r="950" spans="1:19">
      <c r="A950" s="509"/>
      <c r="B950" s="509"/>
      <c r="C950" s="509"/>
      <c r="D950" s="509"/>
      <c r="E950" s="509"/>
      <c r="F950" s="509"/>
      <c r="G950" s="509"/>
      <c r="H950" s="509"/>
      <c r="I950" s="509"/>
      <c r="J950" s="509"/>
      <c r="K950" s="509"/>
      <c r="L950" s="509"/>
      <c r="M950" s="509"/>
      <c r="N950" s="509"/>
      <c r="O950" s="509"/>
      <c r="P950" s="509"/>
      <c r="Q950" s="509"/>
      <c r="R950" s="509"/>
      <c r="S950" s="509"/>
    </row>
    <row r="951" spans="1:19">
      <c r="A951" s="509"/>
      <c r="B951" s="509"/>
      <c r="C951" s="509"/>
      <c r="D951" s="509"/>
      <c r="E951" s="509"/>
      <c r="F951" s="509"/>
      <c r="G951" s="509"/>
      <c r="H951" s="509"/>
      <c r="I951" s="509"/>
      <c r="J951" s="509"/>
      <c r="K951" s="509"/>
      <c r="L951" s="509"/>
      <c r="M951" s="509"/>
      <c r="N951" s="509"/>
      <c r="O951" s="509"/>
      <c r="P951" s="509"/>
      <c r="Q951" s="509"/>
      <c r="R951" s="509"/>
      <c r="S951" s="509"/>
    </row>
    <row r="952" spans="1:19" ht="15.75" thickBot="1">
      <c r="A952" s="509"/>
      <c r="B952" s="509"/>
      <c r="C952" s="509"/>
      <c r="D952" s="509"/>
      <c r="E952" s="509"/>
      <c r="F952" s="509"/>
      <c r="G952" s="509"/>
      <c r="H952" s="509"/>
      <c r="I952" s="509"/>
      <c r="J952" s="509"/>
      <c r="K952" s="509"/>
      <c r="L952" s="509"/>
      <c r="M952" s="509"/>
      <c r="N952" s="509"/>
      <c r="O952" s="509"/>
      <c r="P952" s="509"/>
      <c r="Q952" s="509"/>
      <c r="R952" s="509"/>
      <c r="S952" s="509"/>
    </row>
    <row r="953" spans="1:19" ht="26.25">
      <c r="A953" s="1122" t="s">
        <v>707</v>
      </c>
      <c r="B953" s="1123"/>
      <c r="C953" s="1123"/>
      <c r="D953" s="1123"/>
      <c r="E953" s="1123"/>
      <c r="F953" s="1123"/>
      <c r="G953" s="1123"/>
      <c r="H953" s="1123"/>
      <c r="I953" s="1124"/>
      <c r="J953" s="645"/>
      <c r="K953" s="1122" t="s">
        <v>707</v>
      </c>
      <c r="L953" s="1123"/>
      <c r="M953" s="1123"/>
      <c r="N953" s="1123"/>
      <c r="O953" s="1123"/>
      <c r="P953" s="1123"/>
      <c r="Q953" s="1123"/>
      <c r="R953" s="1123"/>
      <c r="S953" s="1124"/>
    </row>
    <row r="954" spans="1:19" ht="15.75" thickBot="1">
      <c r="A954" s="1119" t="s">
        <v>708</v>
      </c>
      <c r="B954" s="1120"/>
      <c r="C954" s="1120"/>
      <c r="D954" s="1120"/>
      <c r="E954" s="1120"/>
      <c r="F954" s="1120"/>
      <c r="G954" s="1120"/>
      <c r="H954" s="1120"/>
      <c r="I954" s="1121"/>
      <c r="J954" s="646"/>
      <c r="K954" s="1119" t="s">
        <v>708</v>
      </c>
      <c r="L954" s="1120"/>
      <c r="M954" s="1120"/>
      <c r="N954" s="1120"/>
      <c r="O954" s="1120"/>
      <c r="P954" s="1120"/>
      <c r="Q954" s="1120"/>
      <c r="R954" s="1120"/>
      <c r="S954" s="1121"/>
    </row>
    <row r="955" spans="1:19">
      <c r="A955" s="647"/>
      <c r="B955" s="509"/>
      <c r="C955" s="509"/>
      <c r="D955" s="509"/>
      <c r="E955" s="509"/>
      <c r="F955" s="509"/>
      <c r="G955" s="509"/>
      <c r="H955" s="509"/>
      <c r="I955" s="648"/>
      <c r="J955" s="509"/>
      <c r="K955" s="647"/>
      <c r="L955" s="509"/>
      <c r="M955" s="509"/>
      <c r="N955" s="509"/>
      <c r="O955" s="509"/>
      <c r="P955" s="509"/>
      <c r="Q955" s="509"/>
      <c r="R955" s="509"/>
      <c r="S955" s="648"/>
    </row>
    <row r="956" spans="1:19">
      <c r="A956" s="649" t="s">
        <v>49</v>
      </c>
      <c r="B956" s="650"/>
      <c r="C956" s="650"/>
      <c r="D956" s="651" t="s">
        <v>384</v>
      </c>
      <c r="E956" s="509"/>
      <c r="F956" s="509"/>
      <c r="G956" s="509"/>
      <c r="H956" s="509"/>
      <c r="I956" s="648"/>
      <c r="J956" s="509"/>
      <c r="K956" s="649" t="s">
        <v>49</v>
      </c>
      <c r="L956" s="650"/>
      <c r="M956" s="650"/>
      <c r="N956" s="651" t="str">
        <f>D956</f>
        <v>Burgeon IT Services Pvt.Ltd.</v>
      </c>
      <c r="O956" s="509"/>
      <c r="P956" s="509"/>
      <c r="Q956" s="509"/>
      <c r="R956" s="509"/>
      <c r="S956" s="648"/>
    </row>
    <row r="957" spans="1:19">
      <c r="A957" s="649"/>
      <c r="B957" s="650" t="s">
        <v>385</v>
      </c>
      <c r="C957" s="650"/>
      <c r="D957" s="650"/>
      <c r="E957" s="509"/>
      <c r="F957" s="509"/>
      <c r="G957" s="509"/>
      <c r="H957" s="509"/>
      <c r="I957" s="648"/>
      <c r="J957" s="509"/>
      <c r="K957" s="649"/>
      <c r="L957" s="650" t="str">
        <f>B957</f>
        <v>Siri Mansion LIGB 436 Dr.A S Rao Nagar,Hyderabad</v>
      </c>
      <c r="M957" s="650"/>
      <c r="N957" s="650"/>
      <c r="O957" s="509"/>
      <c r="P957" s="509"/>
      <c r="Q957" s="509"/>
      <c r="R957" s="509"/>
      <c r="S957" s="648"/>
    </row>
    <row r="958" spans="1:19">
      <c r="A958" s="649"/>
      <c r="B958" s="650">
        <f>'0422Master'!F1429</f>
        <v>0</v>
      </c>
      <c r="C958" s="650"/>
      <c r="D958" s="650"/>
      <c r="E958" s="650"/>
      <c r="F958" s="509"/>
      <c r="G958" s="509"/>
      <c r="H958" s="509"/>
      <c r="I958" s="648"/>
      <c r="J958" s="509"/>
      <c r="K958" s="649"/>
      <c r="L958" s="650">
        <f>B958</f>
        <v>0</v>
      </c>
      <c r="M958" s="650"/>
      <c r="N958" s="650"/>
      <c r="O958" s="650"/>
      <c r="P958" s="509"/>
      <c r="Q958" s="509"/>
      <c r="R958" s="509"/>
      <c r="S958" s="648"/>
    </row>
    <row r="959" spans="1:19">
      <c r="A959" s="1127" t="s">
        <v>50</v>
      </c>
      <c r="B959" s="1126"/>
      <c r="C959" s="1126"/>
      <c r="D959" s="1126"/>
      <c r="E959" s="650"/>
      <c r="F959" s="509"/>
      <c r="G959" s="509"/>
      <c r="H959" s="509"/>
      <c r="I959" s="648"/>
      <c r="J959" s="509"/>
      <c r="K959" s="1127" t="s">
        <v>50</v>
      </c>
      <c r="L959" s="1126"/>
      <c r="M959" s="1126"/>
      <c r="N959" s="1126"/>
      <c r="O959" s="650"/>
      <c r="P959" s="509"/>
      <c r="Q959" s="509"/>
      <c r="R959" s="509"/>
      <c r="S959" s="648"/>
    </row>
    <row r="960" spans="1:19">
      <c r="A960" s="1127"/>
      <c r="B960" s="1126"/>
      <c r="C960" s="1126"/>
      <c r="D960" s="1126"/>
      <c r="E960" s="652">
        <f>'0422Master'!U1440</f>
        <v>0</v>
      </c>
      <c r="F960" s="653"/>
      <c r="G960" s="653"/>
      <c r="H960" s="653"/>
      <c r="I960" s="648"/>
      <c r="J960" s="509"/>
      <c r="K960" s="1127"/>
      <c r="L960" s="1126"/>
      <c r="M960" s="1126"/>
      <c r="N960" s="1126"/>
      <c r="O960" s="652">
        <f>E960</f>
        <v>0</v>
      </c>
      <c r="P960" s="653"/>
      <c r="Q960" s="653"/>
      <c r="R960" s="653"/>
      <c r="S960" s="648"/>
    </row>
    <row r="961" spans="1:19">
      <c r="A961" s="649"/>
      <c r="B961" s="650"/>
      <c r="C961" s="650"/>
      <c r="D961" s="650"/>
      <c r="E961" s="650"/>
      <c r="F961" s="509"/>
      <c r="G961" s="509"/>
      <c r="H961" s="509"/>
      <c r="I961" s="648"/>
      <c r="J961" s="509"/>
      <c r="K961" s="649"/>
      <c r="L961" s="650"/>
      <c r="M961" s="650"/>
      <c r="N961" s="650"/>
      <c r="O961" s="650"/>
      <c r="P961" s="509"/>
      <c r="Q961" s="509"/>
      <c r="R961" s="509"/>
      <c r="S961" s="648"/>
    </row>
    <row r="962" spans="1:19">
      <c r="A962" s="1128" t="s">
        <v>51</v>
      </c>
      <c r="B962" s="1125"/>
      <c r="C962" s="1125"/>
      <c r="D962" s="1125"/>
      <c r="E962" s="652" t="s">
        <v>374</v>
      </c>
      <c r="F962" s="653"/>
      <c r="G962" s="653"/>
      <c r="H962" s="653"/>
      <c r="I962" s="648"/>
      <c r="J962" s="509"/>
      <c r="K962" s="1128" t="s">
        <v>51</v>
      </c>
      <c r="L962" s="1125"/>
      <c r="M962" s="1125"/>
      <c r="N962" s="1125"/>
      <c r="O962" s="652" t="str">
        <f>E962</f>
        <v>IT SUPPORTIVE SERVICES</v>
      </c>
      <c r="P962" s="653"/>
      <c r="Q962" s="653"/>
      <c r="R962" s="653"/>
      <c r="S962" s="648"/>
    </row>
    <row r="963" spans="1:19">
      <c r="A963" s="649"/>
      <c r="B963" s="650"/>
      <c r="C963" s="650"/>
      <c r="D963" s="650"/>
      <c r="E963" s="650"/>
      <c r="F963" s="509"/>
      <c r="G963" s="509"/>
      <c r="H963" s="509"/>
      <c r="I963" s="648"/>
      <c r="J963" s="509"/>
      <c r="K963" s="649"/>
      <c r="L963" s="650"/>
      <c r="M963" s="650"/>
      <c r="N963" s="650"/>
      <c r="O963" s="650"/>
      <c r="P963" s="509"/>
      <c r="Q963" s="509"/>
      <c r="R963" s="509"/>
      <c r="S963" s="648"/>
    </row>
    <row r="964" spans="1:19">
      <c r="A964" s="1128" t="s">
        <v>52</v>
      </c>
      <c r="B964" s="1125"/>
      <c r="C964" s="1125"/>
      <c r="D964" s="1125"/>
      <c r="E964" s="654">
        <f>'0422Master'!D1432</f>
        <v>0</v>
      </c>
      <c r="F964" s="653"/>
      <c r="G964" s="653"/>
      <c r="H964" s="653"/>
      <c r="I964" s="648"/>
      <c r="J964" s="509"/>
      <c r="K964" s="1128" t="s">
        <v>52</v>
      </c>
      <c r="L964" s="1125"/>
      <c r="M964" s="1125"/>
      <c r="N964" s="1125"/>
      <c r="O964" s="654">
        <f>E964</f>
        <v>0</v>
      </c>
      <c r="P964" s="653"/>
      <c r="Q964" s="653"/>
      <c r="R964" s="653"/>
      <c r="S964" s="648"/>
    </row>
    <row r="965" spans="1:19">
      <c r="A965" s="649"/>
      <c r="B965" s="650"/>
      <c r="C965" s="650"/>
      <c r="D965" s="650"/>
      <c r="E965" s="650"/>
      <c r="F965" s="509"/>
      <c r="G965" s="509"/>
      <c r="H965" s="509"/>
      <c r="I965" s="648"/>
      <c r="J965" s="509"/>
      <c r="K965" s="649"/>
      <c r="L965" s="650"/>
      <c r="M965" s="650"/>
      <c r="N965" s="650"/>
      <c r="O965" s="650"/>
      <c r="P965" s="509"/>
      <c r="Q965" s="509"/>
      <c r="R965" s="509"/>
      <c r="S965" s="648"/>
    </row>
    <row r="966" spans="1:19">
      <c r="A966" s="655">
        <v>1</v>
      </c>
      <c r="B966" s="1125" t="s">
        <v>53</v>
      </c>
      <c r="C966" s="1125"/>
      <c r="D966" s="1125"/>
      <c r="E966" s="656">
        <f>'0422Master'!W1440</f>
        <v>0</v>
      </c>
      <c r="F966" s="653"/>
      <c r="G966" s="653"/>
      <c r="H966" s="653"/>
      <c r="I966" s="648"/>
      <c r="J966" s="509"/>
      <c r="K966" s="655">
        <v>1</v>
      </c>
      <c r="L966" s="1125" t="s">
        <v>53</v>
      </c>
      <c r="M966" s="1125"/>
      <c r="N966" s="1125"/>
      <c r="O966" s="656">
        <f>E966</f>
        <v>0</v>
      </c>
      <c r="P966" s="653"/>
      <c r="Q966" s="653"/>
      <c r="R966" s="653"/>
      <c r="S966" s="648"/>
    </row>
    <row r="967" spans="1:19">
      <c r="A967" s="655"/>
      <c r="B967" s="650"/>
      <c r="C967" s="650"/>
      <c r="D967" s="650"/>
      <c r="E967" s="650"/>
      <c r="F967" s="509"/>
      <c r="G967" s="509"/>
      <c r="H967" s="509"/>
      <c r="I967" s="648"/>
      <c r="J967" s="509"/>
      <c r="K967" s="655"/>
      <c r="L967" s="650"/>
      <c r="M967" s="650"/>
      <c r="N967" s="650"/>
      <c r="O967" s="650"/>
      <c r="P967" s="509"/>
      <c r="Q967" s="509"/>
      <c r="R967" s="509"/>
      <c r="S967" s="648"/>
    </row>
    <row r="968" spans="1:19">
      <c r="A968" s="655">
        <v>2</v>
      </c>
      <c r="B968" s="1126" t="s">
        <v>54</v>
      </c>
      <c r="C968" s="1126"/>
      <c r="D968" s="1126"/>
      <c r="E968" s="650"/>
      <c r="F968" s="509"/>
      <c r="G968" s="509"/>
      <c r="H968" s="509"/>
      <c r="I968" s="648"/>
      <c r="J968" s="509"/>
      <c r="K968" s="655">
        <v>2</v>
      </c>
      <c r="L968" s="1126" t="s">
        <v>54</v>
      </c>
      <c r="M968" s="1126"/>
      <c r="N968" s="1126"/>
      <c r="O968" s="650"/>
      <c r="P968" s="509"/>
      <c r="Q968" s="509"/>
      <c r="R968" s="509"/>
      <c r="S968" s="648"/>
    </row>
    <row r="969" spans="1:19">
      <c r="A969" s="655"/>
      <c r="B969" s="1126"/>
      <c r="C969" s="1126"/>
      <c r="D969" s="1126"/>
      <c r="E969" s="657" t="s">
        <v>37</v>
      </c>
      <c r="F969" s="653"/>
      <c r="G969" s="653"/>
      <c r="H969" s="653"/>
      <c r="I969" s="648"/>
      <c r="J969" s="509"/>
      <c r="K969" s="655"/>
      <c r="L969" s="1126"/>
      <c r="M969" s="1126"/>
      <c r="N969" s="1126"/>
      <c r="O969" s="657" t="s">
        <v>37</v>
      </c>
      <c r="P969" s="653"/>
      <c r="Q969" s="653"/>
      <c r="R969" s="653"/>
      <c r="S969" s="648"/>
    </row>
    <row r="970" spans="1:19">
      <c r="A970" s="655"/>
      <c r="B970" s="650"/>
      <c r="C970" s="650"/>
      <c r="D970" s="650"/>
      <c r="E970" s="650"/>
      <c r="F970" s="509"/>
      <c r="G970" s="509"/>
      <c r="H970" s="509"/>
      <c r="I970" s="648"/>
      <c r="J970" s="509"/>
      <c r="K970" s="655"/>
      <c r="L970" s="650"/>
      <c r="M970" s="650"/>
      <c r="N970" s="650"/>
      <c r="O970" s="650"/>
      <c r="P970" s="509"/>
      <c r="Q970" s="509"/>
      <c r="R970" s="509"/>
      <c r="S970" s="648"/>
    </row>
    <row r="971" spans="1:19">
      <c r="A971" s="655">
        <v>3</v>
      </c>
      <c r="B971" s="1125" t="s">
        <v>55</v>
      </c>
      <c r="C971" s="1125"/>
      <c r="D971" s="1125"/>
      <c r="E971" s="657" t="s">
        <v>37</v>
      </c>
      <c r="F971" s="653"/>
      <c r="G971" s="653"/>
      <c r="H971" s="653"/>
      <c r="I971" s="648"/>
      <c r="J971" s="509"/>
      <c r="K971" s="655">
        <v>3</v>
      </c>
      <c r="L971" s="1125" t="s">
        <v>55</v>
      </c>
      <c r="M971" s="1125"/>
      <c r="N971" s="1125"/>
      <c r="O971" s="652" t="str">
        <f>E971</f>
        <v>N/A</v>
      </c>
      <c r="P971" s="653"/>
      <c r="Q971" s="653"/>
      <c r="R971" s="653"/>
      <c r="S971" s="648"/>
    </row>
    <row r="972" spans="1:19">
      <c r="A972" s="655"/>
      <c r="B972" s="650"/>
      <c r="C972" s="650"/>
      <c r="D972" s="650"/>
      <c r="E972" s="650"/>
      <c r="F972" s="509"/>
      <c r="G972" s="509"/>
      <c r="H972" s="509"/>
      <c r="I972" s="648"/>
      <c r="J972" s="509"/>
      <c r="K972" s="655"/>
      <c r="L972" s="650"/>
      <c r="M972" s="650"/>
      <c r="N972" s="650"/>
      <c r="O972" s="650"/>
      <c r="P972" s="509"/>
      <c r="Q972" s="509"/>
      <c r="R972" s="509"/>
      <c r="S972" s="648"/>
    </row>
    <row r="973" spans="1:19">
      <c r="A973" s="655">
        <v>4</v>
      </c>
      <c r="B973" s="1125" t="s">
        <v>56</v>
      </c>
      <c r="C973" s="1125"/>
      <c r="D973" s="1125"/>
      <c r="E973" s="657" t="s">
        <v>57</v>
      </c>
      <c r="F973" s="653"/>
      <c r="G973" s="653"/>
      <c r="H973" s="653"/>
      <c r="I973" s="648"/>
      <c r="J973" s="509"/>
      <c r="K973" s="655">
        <v>4</v>
      </c>
      <c r="L973" s="1125" t="s">
        <v>56</v>
      </c>
      <c r="M973" s="1125"/>
      <c r="N973" s="1125"/>
      <c r="O973" s="657" t="s">
        <v>57</v>
      </c>
      <c r="P973" s="653"/>
      <c r="Q973" s="653"/>
      <c r="R973" s="653"/>
      <c r="S973" s="648"/>
    </row>
    <row r="974" spans="1:19">
      <c r="A974" s="655"/>
      <c r="B974" s="650"/>
      <c r="C974" s="650"/>
      <c r="D974" s="650"/>
      <c r="E974" s="650"/>
      <c r="F974" s="509"/>
      <c r="G974" s="509"/>
      <c r="H974" s="509"/>
      <c r="I974" s="648"/>
      <c r="J974" s="509"/>
      <c r="K974" s="655"/>
      <c r="L974" s="650"/>
      <c r="M974" s="650"/>
      <c r="N974" s="650"/>
      <c r="O974" s="650"/>
      <c r="P974" s="509"/>
      <c r="Q974" s="509"/>
      <c r="R974" s="509"/>
      <c r="S974" s="648"/>
    </row>
    <row r="975" spans="1:19">
      <c r="A975" s="655">
        <v>5</v>
      </c>
      <c r="B975" s="1125" t="s">
        <v>58</v>
      </c>
      <c r="C975" s="1125"/>
      <c r="D975" s="1125"/>
      <c r="E975" s="658">
        <f>'0422Master'!AM1440</f>
        <v>0</v>
      </c>
      <c r="F975" s="509"/>
      <c r="G975" s="509"/>
      <c r="H975" s="509"/>
      <c r="I975" s="648"/>
      <c r="J975" s="509"/>
      <c r="K975" s="655">
        <v>5</v>
      </c>
      <c r="L975" s="1125" t="s">
        <v>58</v>
      </c>
      <c r="M975" s="1125"/>
      <c r="N975" s="1125"/>
      <c r="O975" s="658">
        <f>E975</f>
        <v>0</v>
      </c>
      <c r="P975" s="509"/>
      <c r="Q975" s="509"/>
      <c r="R975" s="509"/>
      <c r="S975" s="648"/>
    </row>
    <row r="976" spans="1:19">
      <c r="A976" s="655"/>
      <c r="B976" s="650"/>
      <c r="C976" s="650"/>
      <c r="D976" s="659" t="s">
        <v>59</v>
      </c>
      <c r="E976" s="659" t="s">
        <v>31</v>
      </c>
      <c r="F976" s="659" t="s">
        <v>33</v>
      </c>
      <c r="G976" s="659" t="s">
        <v>34</v>
      </c>
      <c r="H976" s="659" t="s">
        <v>378</v>
      </c>
      <c r="I976" s="660" t="s">
        <v>379</v>
      </c>
      <c r="J976" s="509"/>
      <c r="K976" s="655"/>
      <c r="L976" s="650"/>
      <c r="M976" s="650"/>
      <c r="N976" s="659" t="s">
        <v>59</v>
      </c>
      <c r="O976" s="659" t="s">
        <v>31</v>
      </c>
      <c r="P976" s="659" t="s">
        <v>33</v>
      </c>
      <c r="Q976" s="659" t="s">
        <v>34</v>
      </c>
      <c r="R976" s="659" t="s">
        <v>378</v>
      </c>
      <c r="S976" s="660" t="s">
        <v>379</v>
      </c>
    </row>
    <row r="977" spans="1:19">
      <c r="A977" s="655">
        <v>6</v>
      </c>
      <c r="B977" s="859" t="s">
        <v>60</v>
      </c>
      <c r="C977" s="859"/>
      <c r="D977" s="662">
        <f>'0422Master'!AO1440</f>
        <v>0</v>
      </c>
      <c r="E977" s="662">
        <f>'0422Master'!AN1440</f>
        <v>0</v>
      </c>
      <c r="F977" s="663">
        <f>'0422Master'!AP1440</f>
        <v>0</v>
      </c>
      <c r="G977" s="662">
        <f>'0422Master'!AQ1440</f>
        <v>0</v>
      </c>
      <c r="H977" s="663">
        <f>'0422Master'!AR1440</f>
        <v>0</v>
      </c>
      <c r="I977" s="663">
        <f>'0422Master'!AS1440</f>
        <v>0</v>
      </c>
      <c r="J977" s="509"/>
      <c r="K977" s="655">
        <v>6</v>
      </c>
      <c r="L977" s="859" t="s">
        <v>60</v>
      </c>
      <c r="M977" s="859"/>
      <c r="N977" s="662">
        <f t="shared" ref="N977" si="86">D977</f>
        <v>0</v>
      </c>
      <c r="O977" s="662">
        <f t="shared" ref="O977" si="87">E977</f>
        <v>0</v>
      </c>
      <c r="P977" s="663">
        <f t="shared" ref="P977" si="88">F977</f>
        <v>0</v>
      </c>
      <c r="Q977" s="662">
        <f t="shared" ref="Q977" si="89">G977</f>
        <v>0</v>
      </c>
      <c r="R977" s="663">
        <f t="shared" ref="R977" si="90">H977</f>
        <v>0</v>
      </c>
      <c r="S977" s="663">
        <f t="shared" ref="S977" si="91">I977</f>
        <v>0</v>
      </c>
    </row>
    <row r="978" spans="1:19">
      <c r="A978" s="655"/>
      <c r="B978" s="650"/>
      <c r="C978" s="650"/>
      <c r="D978" s="650"/>
      <c r="E978" s="650"/>
      <c r="F978" s="509"/>
      <c r="G978" s="509"/>
      <c r="H978" s="509"/>
      <c r="I978" s="648"/>
      <c r="J978" s="509"/>
      <c r="K978" s="655"/>
      <c r="L978" s="650"/>
      <c r="M978" s="650"/>
      <c r="N978" s="650"/>
      <c r="O978" s="650"/>
      <c r="P978" s="509"/>
      <c r="Q978" s="509"/>
      <c r="R978" s="509"/>
      <c r="S978" s="648"/>
    </row>
    <row r="979" spans="1:19">
      <c r="A979" s="655">
        <v>7</v>
      </c>
      <c r="B979" s="1125" t="s">
        <v>61</v>
      </c>
      <c r="C979" s="1125"/>
      <c r="D979" s="1125"/>
      <c r="E979" s="664">
        <f>E975-I977</f>
        <v>0</v>
      </c>
      <c r="F979" s="653"/>
      <c r="G979" s="653"/>
      <c r="H979" s="653"/>
      <c r="I979" s="648"/>
      <c r="J979" s="509"/>
      <c r="K979" s="655">
        <v>7</v>
      </c>
      <c r="L979" s="1125" t="s">
        <v>61</v>
      </c>
      <c r="M979" s="1125"/>
      <c r="N979" s="1125"/>
      <c r="O979" s="664">
        <f>E979</f>
        <v>0</v>
      </c>
      <c r="P979" s="653"/>
      <c r="Q979" s="653"/>
      <c r="R979" s="653"/>
      <c r="S979" s="648"/>
    </row>
    <row r="980" spans="1:19">
      <c r="A980" s="647"/>
      <c r="B980" s="509"/>
      <c r="C980" s="509"/>
      <c r="D980" s="509"/>
      <c r="E980" s="509"/>
      <c r="F980" s="509"/>
      <c r="G980" s="509"/>
      <c r="H980" s="509"/>
      <c r="I980" s="648"/>
      <c r="J980" s="509"/>
      <c r="K980" s="647"/>
      <c r="L980" s="509"/>
      <c r="M980" s="509"/>
      <c r="N980" s="509"/>
      <c r="O980" s="509"/>
      <c r="P980" s="509"/>
      <c r="Q980" s="509"/>
      <c r="R980" s="509"/>
      <c r="S980" s="648"/>
    </row>
    <row r="981" spans="1:19">
      <c r="A981" s="647"/>
      <c r="B981" s="509"/>
      <c r="C981" s="509"/>
      <c r="D981" s="509"/>
      <c r="E981" s="509"/>
      <c r="F981" s="509"/>
      <c r="G981" s="509"/>
      <c r="H981" s="509"/>
      <c r="I981" s="648"/>
      <c r="J981" s="509"/>
      <c r="K981" s="647"/>
      <c r="L981" s="509"/>
      <c r="M981" s="509"/>
      <c r="N981" s="509"/>
      <c r="O981" s="509"/>
      <c r="P981" s="509"/>
      <c r="Q981" s="509"/>
      <c r="R981" s="509"/>
      <c r="S981" s="648"/>
    </row>
    <row r="982" spans="1:19" ht="15.75" thickBot="1">
      <c r="A982" s="647"/>
      <c r="B982" s="509"/>
      <c r="C982" s="509"/>
      <c r="D982" s="509"/>
      <c r="E982" s="509"/>
      <c r="F982" s="646"/>
      <c r="G982" s="646"/>
      <c r="H982" s="646"/>
      <c r="I982" s="665"/>
      <c r="J982" s="509"/>
      <c r="K982" s="647"/>
      <c r="L982" s="509"/>
      <c r="M982" s="509"/>
      <c r="N982" s="509"/>
      <c r="O982" s="509"/>
      <c r="P982" s="646"/>
      <c r="Q982" s="646"/>
      <c r="R982" s="646"/>
      <c r="S982" s="665"/>
    </row>
    <row r="983" spans="1:19" ht="15.75" thickBot="1">
      <c r="A983" s="666"/>
      <c r="B983" s="646"/>
      <c r="C983" s="646"/>
      <c r="D983" s="646"/>
      <c r="E983" s="646"/>
      <c r="F983" s="1129" t="s">
        <v>62</v>
      </c>
      <c r="G983" s="1129"/>
      <c r="H983" s="1129"/>
      <c r="I983" s="1130"/>
      <c r="J983" s="509"/>
      <c r="K983" s="666"/>
      <c r="L983" s="646"/>
      <c r="M983" s="646"/>
      <c r="N983" s="646"/>
      <c r="O983" s="646"/>
      <c r="P983" s="1129" t="s">
        <v>62</v>
      </c>
      <c r="Q983" s="1129"/>
      <c r="R983" s="1129"/>
      <c r="S983" s="1130"/>
    </row>
    <row r="984" spans="1:19">
      <c r="A984" s="509"/>
      <c r="B984" s="509"/>
      <c r="C984" s="509"/>
      <c r="D984" s="509"/>
      <c r="E984" s="509"/>
      <c r="F984" s="509"/>
      <c r="G984" s="509"/>
      <c r="H984" s="509"/>
      <c r="I984" s="509"/>
      <c r="J984" s="509"/>
      <c r="K984" s="509"/>
      <c r="L984" s="509"/>
      <c r="M984" s="509"/>
      <c r="N984" s="509"/>
      <c r="O984" s="509"/>
      <c r="P984" s="509"/>
      <c r="Q984" s="509"/>
      <c r="R984" s="509"/>
      <c r="S984" s="509"/>
    </row>
    <row r="985" spans="1:19">
      <c r="A985" s="509"/>
      <c r="B985" s="509"/>
      <c r="C985" s="509"/>
      <c r="D985" s="509"/>
      <c r="E985" s="509"/>
      <c r="F985" s="509"/>
      <c r="G985" s="509"/>
      <c r="H985" s="509"/>
      <c r="I985" s="509"/>
      <c r="J985" s="509"/>
      <c r="K985" s="509"/>
      <c r="L985" s="509"/>
      <c r="M985" s="509"/>
      <c r="N985" s="509"/>
      <c r="O985" s="509"/>
      <c r="P985" s="509"/>
      <c r="Q985" s="509"/>
      <c r="R985" s="509"/>
      <c r="S985" s="509"/>
    </row>
    <row r="986" spans="1:19">
      <c r="A986" s="509"/>
      <c r="B986" s="509"/>
      <c r="C986" s="509"/>
      <c r="D986" s="509"/>
      <c r="E986" s="509"/>
      <c r="F986" s="509"/>
      <c r="G986" s="509"/>
      <c r="H986" s="509"/>
      <c r="I986" s="509"/>
      <c r="J986" s="509"/>
      <c r="K986" s="509"/>
      <c r="L986" s="509"/>
      <c r="M986" s="509"/>
      <c r="N986" s="509"/>
      <c r="O986" s="509"/>
      <c r="P986" s="509"/>
      <c r="Q986" s="509"/>
      <c r="R986" s="509"/>
      <c r="S986" s="509"/>
    </row>
    <row r="987" spans="1:19">
      <c r="A987" s="509"/>
      <c r="B987" s="509"/>
      <c r="C987" s="509"/>
      <c r="D987" s="509"/>
      <c r="E987" s="509"/>
      <c r="F987" s="509"/>
      <c r="G987" s="509"/>
      <c r="H987" s="509"/>
      <c r="I987" s="509"/>
      <c r="J987" s="509"/>
      <c r="K987" s="509"/>
      <c r="L987" s="509"/>
      <c r="M987" s="509"/>
      <c r="N987" s="509"/>
      <c r="O987" s="509"/>
      <c r="P987" s="509"/>
      <c r="Q987" s="509"/>
      <c r="R987" s="509"/>
      <c r="S987" s="509"/>
    </row>
    <row r="988" spans="1:19">
      <c r="A988" s="509"/>
      <c r="B988" s="509"/>
      <c r="C988" s="509"/>
      <c r="D988" s="509"/>
      <c r="E988" s="509"/>
      <c r="F988" s="509"/>
      <c r="G988" s="509"/>
      <c r="H988" s="509"/>
      <c r="I988" s="509"/>
      <c r="J988" s="509"/>
      <c r="K988" s="509"/>
      <c r="L988" s="509"/>
      <c r="M988" s="509"/>
      <c r="N988" s="509"/>
      <c r="O988" s="509"/>
      <c r="P988" s="509"/>
      <c r="Q988" s="509"/>
      <c r="R988" s="509"/>
      <c r="S988" s="509"/>
    </row>
    <row r="989" spans="1:19">
      <c r="A989" s="509"/>
      <c r="B989" s="509"/>
      <c r="C989" s="509"/>
      <c r="D989" s="509"/>
      <c r="E989" s="509"/>
      <c r="F989" s="509"/>
      <c r="G989" s="509"/>
      <c r="H989" s="509"/>
      <c r="I989" s="509"/>
      <c r="J989" s="509"/>
      <c r="K989" s="509"/>
      <c r="L989" s="509"/>
      <c r="M989" s="509"/>
      <c r="N989" s="509"/>
      <c r="O989" s="509"/>
      <c r="P989" s="509"/>
      <c r="Q989" s="509"/>
      <c r="R989" s="509"/>
      <c r="S989" s="509"/>
    </row>
    <row r="990" spans="1:19">
      <c r="A990" s="509"/>
      <c r="B990" s="509"/>
      <c r="C990" s="509"/>
      <c r="D990" s="509"/>
      <c r="E990" s="509"/>
      <c r="F990" s="509"/>
      <c r="G990" s="509"/>
      <c r="H990" s="509"/>
      <c r="I990" s="509"/>
      <c r="J990" s="509"/>
      <c r="K990" s="509"/>
      <c r="L990" s="509"/>
      <c r="M990" s="509"/>
      <c r="N990" s="509"/>
      <c r="O990" s="509"/>
      <c r="P990" s="509"/>
      <c r="Q990" s="509"/>
      <c r="R990" s="509"/>
      <c r="S990" s="509"/>
    </row>
    <row r="991" spans="1:19">
      <c r="A991" s="509"/>
      <c r="B991" s="509"/>
      <c r="C991" s="509"/>
      <c r="D991" s="509"/>
      <c r="E991" s="509"/>
      <c r="F991" s="509"/>
      <c r="G991" s="509"/>
      <c r="H991" s="509"/>
      <c r="I991" s="509"/>
      <c r="J991" s="509"/>
      <c r="K991" s="509"/>
      <c r="L991" s="509"/>
      <c r="M991" s="509"/>
      <c r="N991" s="509"/>
      <c r="O991" s="509"/>
      <c r="P991" s="509"/>
      <c r="Q991" s="509"/>
      <c r="R991" s="509"/>
      <c r="S991" s="509"/>
    </row>
    <row r="992" spans="1:19">
      <c r="A992" s="509"/>
      <c r="B992" s="509"/>
      <c r="C992" s="509"/>
      <c r="D992" s="509"/>
      <c r="E992" s="509"/>
      <c r="F992" s="509"/>
      <c r="G992" s="509"/>
      <c r="H992" s="509"/>
      <c r="I992" s="509"/>
      <c r="J992" s="509"/>
      <c r="K992" s="509"/>
      <c r="L992" s="509"/>
      <c r="M992" s="509"/>
      <c r="N992" s="509"/>
      <c r="O992" s="509"/>
      <c r="P992" s="509"/>
      <c r="Q992" s="509"/>
      <c r="R992" s="509"/>
      <c r="S992" s="509"/>
    </row>
    <row r="993" spans="1:19">
      <c r="A993" s="509"/>
      <c r="B993" s="509"/>
      <c r="C993" s="509"/>
      <c r="D993" s="509"/>
      <c r="E993" s="509"/>
      <c r="F993" s="509"/>
      <c r="G993" s="509"/>
      <c r="H993" s="509"/>
      <c r="I993" s="509"/>
      <c r="J993" s="509"/>
      <c r="K993" s="509"/>
      <c r="L993" s="509"/>
      <c r="M993" s="509"/>
      <c r="N993" s="509"/>
      <c r="O993" s="509"/>
      <c r="P993" s="509"/>
      <c r="Q993" s="509"/>
      <c r="R993" s="509"/>
      <c r="S993" s="509"/>
    </row>
    <row r="994" spans="1:19">
      <c r="A994" s="509"/>
      <c r="B994" s="509"/>
      <c r="C994" s="509"/>
      <c r="D994" s="509"/>
      <c r="E994" s="509"/>
      <c r="F994" s="509"/>
      <c r="G994" s="509"/>
      <c r="H994" s="509"/>
      <c r="I994" s="509"/>
      <c r="J994" s="509"/>
      <c r="K994" s="509"/>
      <c r="L994" s="509"/>
      <c r="M994" s="509"/>
      <c r="N994" s="509"/>
      <c r="O994" s="509"/>
      <c r="P994" s="509"/>
      <c r="Q994" s="509"/>
      <c r="R994" s="509"/>
      <c r="S994" s="509"/>
    </row>
    <row r="995" spans="1:19">
      <c r="A995" s="509"/>
      <c r="B995" s="509"/>
      <c r="C995" s="509"/>
      <c r="D995" s="509"/>
      <c r="E995" s="509"/>
      <c r="F995" s="509"/>
      <c r="G995" s="509"/>
      <c r="H995" s="509"/>
      <c r="I995" s="509"/>
      <c r="J995" s="509"/>
      <c r="K995" s="509"/>
      <c r="L995" s="509"/>
      <c r="M995" s="509"/>
      <c r="N995" s="509"/>
      <c r="O995" s="509"/>
      <c r="P995" s="509"/>
      <c r="Q995" s="509"/>
      <c r="R995" s="509"/>
      <c r="S995" s="509"/>
    </row>
    <row r="996" spans="1:19">
      <c r="A996" s="509"/>
      <c r="B996" s="509"/>
      <c r="C996" s="509"/>
      <c r="D996" s="509"/>
      <c r="E996" s="509"/>
      <c r="F996" s="509"/>
      <c r="G996" s="509"/>
      <c r="H996" s="509"/>
      <c r="I996" s="509"/>
      <c r="J996" s="509"/>
      <c r="K996" s="509"/>
      <c r="L996" s="509"/>
      <c r="M996" s="509"/>
      <c r="N996" s="509"/>
      <c r="O996" s="509"/>
      <c r="P996" s="509"/>
      <c r="Q996" s="509"/>
      <c r="R996" s="509"/>
      <c r="S996" s="509"/>
    </row>
    <row r="997" spans="1:19" ht="15.75" thickBot="1">
      <c r="A997" s="509"/>
      <c r="B997" s="509"/>
      <c r="C997" s="509"/>
      <c r="D997" s="509"/>
      <c r="E997" s="509"/>
      <c r="F997" s="509"/>
      <c r="G997" s="509"/>
      <c r="H997" s="509"/>
      <c r="I997" s="509"/>
      <c r="J997" s="509"/>
      <c r="K997" s="509"/>
      <c r="L997" s="509"/>
      <c r="M997" s="509"/>
      <c r="N997" s="509"/>
      <c r="O997" s="509"/>
      <c r="P997" s="509"/>
      <c r="Q997" s="509"/>
      <c r="R997" s="509"/>
      <c r="S997" s="509"/>
    </row>
    <row r="998" spans="1:19" ht="26.25">
      <c r="A998" s="1122" t="s">
        <v>707</v>
      </c>
      <c r="B998" s="1123"/>
      <c r="C998" s="1123"/>
      <c r="D998" s="1123"/>
      <c r="E998" s="1123"/>
      <c r="F998" s="1123"/>
      <c r="G998" s="1123"/>
      <c r="H998" s="1123"/>
      <c r="I998" s="1124"/>
      <c r="J998" s="645"/>
      <c r="K998" s="1122" t="s">
        <v>707</v>
      </c>
      <c r="L998" s="1123"/>
      <c r="M998" s="1123"/>
      <c r="N998" s="1123"/>
      <c r="O998" s="1123"/>
      <c r="P998" s="1123"/>
      <c r="Q998" s="1123"/>
      <c r="R998" s="1123"/>
      <c r="S998" s="1124"/>
    </row>
    <row r="999" spans="1:19" ht="15.75" thickBot="1">
      <c r="A999" s="1119" t="s">
        <v>708</v>
      </c>
      <c r="B999" s="1120"/>
      <c r="C999" s="1120"/>
      <c r="D999" s="1120"/>
      <c r="E999" s="1120"/>
      <c r="F999" s="1120"/>
      <c r="G999" s="1120"/>
      <c r="H999" s="1120"/>
      <c r="I999" s="1121"/>
      <c r="J999" s="646"/>
      <c r="K999" s="1119" t="s">
        <v>708</v>
      </c>
      <c r="L999" s="1120"/>
      <c r="M999" s="1120"/>
      <c r="N999" s="1120"/>
      <c r="O999" s="1120"/>
      <c r="P999" s="1120"/>
      <c r="Q999" s="1120"/>
      <c r="R999" s="1120"/>
      <c r="S999" s="1121"/>
    </row>
    <row r="1000" spans="1:19">
      <c r="A1000" s="647"/>
      <c r="B1000" s="509"/>
      <c r="C1000" s="509"/>
      <c r="D1000" s="509"/>
      <c r="E1000" s="509"/>
      <c r="F1000" s="509"/>
      <c r="G1000" s="509"/>
      <c r="H1000" s="509"/>
      <c r="I1000" s="648"/>
      <c r="J1000" s="509"/>
      <c r="K1000" s="647"/>
      <c r="L1000" s="509"/>
      <c r="M1000" s="509"/>
      <c r="N1000" s="509"/>
      <c r="O1000" s="509"/>
      <c r="P1000" s="509"/>
      <c r="Q1000" s="509"/>
      <c r="R1000" s="509"/>
      <c r="S1000" s="648"/>
    </row>
    <row r="1001" spans="1:19">
      <c r="A1001" s="649" t="s">
        <v>49</v>
      </c>
      <c r="B1001" s="650"/>
      <c r="C1001" s="650"/>
      <c r="D1001" s="651" t="s">
        <v>384</v>
      </c>
      <c r="E1001" s="509"/>
      <c r="F1001" s="509"/>
      <c r="G1001" s="509"/>
      <c r="H1001" s="509"/>
      <c r="I1001" s="648"/>
      <c r="J1001" s="509"/>
      <c r="K1001" s="649" t="s">
        <v>49</v>
      </c>
      <c r="L1001" s="650"/>
      <c r="M1001" s="650"/>
      <c r="N1001" s="651" t="str">
        <f>D1001</f>
        <v>Burgeon IT Services Pvt.Ltd.</v>
      </c>
      <c r="O1001" s="509"/>
      <c r="P1001" s="509"/>
      <c r="Q1001" s="509"/>
      <c r="R1001" s="509"/>
      <c r="S1001" s="648"/>
    </row>
    <row r="1002" spans="1:19">
      <c r="A1002" s="649"/>
      <c r="B1002" s="650" t="s">
        <v>385</v>
      </c>
      <c r="C1002" s="650"/>
      <c r="D1002" s="650"/>
      <c r="E1002" s="509"/>
      <c r="F1002" s="509"/>
      <c r="G1002" s="509"/>
      <c r="H1002" s="509"/>
      <c r="I1002" s="648"/>
      <c r="J1002" s="509"/>
      <c r="K1002" s="649"/>
      <c r="L1002" s="650" t="str">
        <f>B1002</f>
        <v>Siri Mansion LIGB 436 Dr.A S Rao Nagar,Hyderabad</v>
      </c>
      <c r="M1002" s="650"/>
      <c r="N1002" s="650"/>
      <c r="O1002" s="509"/>
      <c r="P1002" s="509"/>
      <c r="Q1002" s="509"/>
      <c r="R1002" s="509"/>
      <c r="S1002" s="648"/>
    </row>
    <row r="1003" spans="1:19">
      <c r="A1003" s="649"/>
      <c r="B1003" s="650">
        <f>'0422Master'!F1474</f>
        <v>0</v>
      </c>
      <c r="C1003" s="650"/>
      <c r="D1003" s="650"/>
      <c r="E1003" s="650"/>
      <c r="F1003" s="509"/>
      <c r="G1003" s="509"/>
      <c r="H1003" s="509"/>
      <c r="I1003" s="648"/>
      <c r="J1003" s="509"/>
      <c r="K1003" s="649"/>
      <c r="L1003" s="650">
        <f>B1003</f>
        <v>0</v>
      </c>
      <c r="M1003" s="650"/>
      <c r="N1003" s="650"/>
      <c r="O1003" s="650"/>
      <c r="P1003" s="509"/>
      <c r="Q1003" s="509"/>
      <c r="R1003" s="509"/>
      <c r="S1003" s="648"/>
    </row>
    <row r="1004" spans="1:19">
      <c r="A1004" s="1127" t="s">
        <v>50</v>
      </c>
      <c r="B1004" s="1126"/>
      <c r="C1004" s="1126"/>
      <c r="D1004" s="1126"/>
      <c r="E1004" s="650"/>
      <c r="F1004" s="509"/>
      <c r="G1004" s="509"/>
      <c r="H1004" s="509"/>
      <c r="I1004" s="648"/>
      <c r="J1004" s="509"/>
      <c r="K1004" s="1127" t="s">
        <v>50</v>
      </c>
      <c r="L1004" s="1126"/>
      <c r="M1004" s="1126"/>
      <c r="N1004" s="1126"/>
      <c r="O1004" s="650"/>
      <c r="P1004" s="509"/>
      <c r="Q1004" s="509"/>
      <c r="R1004" s="509"/>
      <c r="S1004" s="648"/>
    </row>
    <row r="1005" spans="1:19">
      <c r="A1005" s="1127"/>
      <c r="B1005" s="1126"/>
      <c r="C1005" s="1126"/>
      <c r="D1005" s="1126"/>
      <c r="E1005" s="652">
        <f>'0422Master'!U1485</f>
        <v>0</v>
      </c>
      <c r="F1005" s="653"/>
      <c r="G1005" s="653"/>
      <c r="H1005" s="653"/>
      <c r="I1005" s="648"/>
      <c r="J1005" s="509"/>
      <c r="K1005" s="1127"/>
      <c r="L1005" s="1126"/>
      <c r="M1005" s="1126"/>
      <c r="N1005" s="1126"/>
      <c r="O1005" s="652">
        <f>E1005</f>
        <v>0</v>
      </c>
      <c r="P1005" s="653"/>
      <c r="Q1005" s="653"/>
      <c r="R1005" s="653"/>
      <c r="S1005" s="648"/>
    </row>
    <row r="1006" spans="1:19">
      <c r="A1006" s="649"/>
      <c r="B1006" s="650"/>
      <c r="C1006" s="650"/>
      <c r="D1006" s="650"/>
      <c r="E1006" s="650"/>
      <c r="F1006" s="509"/>
      <c r="G1006" s="509"/>
      <c r="H1006" s="509"/>
      <c r="I1006" s="648"/>
      <c r="J1006" s="509"/>
      <c r="K1006" s="649"/>
      <c r="L1006" s="650"/>
      <c r="M1006" s="650"/>
      <c r="N1006" s="650"/>
      <c r="O1006" s="650"/>
      <c r="P1006" s="509"/>
      <c r="Q1006" s="509"/>
      <c r="R1006" s="509"/>
      <c r="S1006" s="648"/>
    </row>
    <row r="1007" spans="1:19">
      <c r="A1007" s="1128" t="s">
        <v>51</v>
      </c>
      <c r="B1007" s="1125"/>
      <c r="C1007" s="1125"/>
      <c r="D1007" s="1125"/>
      <c r="E1007" s="650" t="s">
        <v>374</v>
      </c>
      <c r="F1007" s="653"/>
      <c r="G1007" s="653"/>
      <c r="H1007" s="653"/>
      <c r="I1007" s="648"/>
      <c r="J1007" s="509"/>
      <c r="K1007" s="1128" t="s">
        <v>51</v>
      </c>
      <c r="L1007" s="1125"/>
      <c r="M1007" s="1125"/>
      <c r="N1007" s="1125"/>
      <c r="O1007" s="652" t="str">
        <f>E1007</f>
        <v>IT SUPPORTIVE SERVICES</v>
      </c>
      <c r="P1007" s="653"/>
      <c r="Q1007" s="653"/>
      <c r="R1007" s="653"/>
      <c r="S1007" s="648"/>
    </row>
    <row r="1008" spans="1:19">
      <c r="A1008" s="649"/>
      <c r="B1008" s="650"/>
      <c r="C1008" s="650"/>
      <c r="D1008" s="650"/>
      <c r="E1008" s="650"/>
      <c r="F1008" s="509"/>
      <c r="G1008" s="509"/>
      <c r="H1008" s="509"/>
      <c r="I1008" s="648"/>
      <c r="J1008" s="509"/>
      <c r="K1008" s="649"/>
      <c r="L1008" s="650"/>
      <c r="M1008" s="650"/>
      <c r="N1008" s="650"/>
      <c r="O1008" s="650"/>
      <c r="P1008" s="509"/>
      <c r="Q1008" s="509"/>
      <c r="R1008" s="509"/>
      <c r="S1008" s="648"/>
    </row>
    <row r="1009" spans="1:19">
      <c r="A1009" s="1128" t="s">
        <v>52</v>
      </c>
      <c r="B1009" s="1125"/>
      <c r="C1009" s="1125"/>
      <c r="D1009" s="1125"/>
      <c r="E1009" s="654">
        <f>'0422Master'!D1477</f>
        <v>0</v>
      </c>
      <c r="F1009" s="653"/>
      <c r="G1009" s="653"/>
      <c r="H1009" s="653"/>
      <c r="I1009" s="648"/>
      <c r="J1009" s="509"/>
      <c r="K1009" s="1128" t="s">
        <v>52</v>
      </c>
      <c r="L1009" s="1125"/>
      <c r="M1009" s="1125"/>
      <c r="N1009" s="1125"/>
      <c r="O1009" s="654">
        <f>E1009</f>
        <v>0</v>
      </c>
      <c r="P1009" s="653"/>
      <c r="Q1009" s="653"/>
      <c r="R1009" s="653"/>
      <c r="S1009" s="648"/>
    </row>
    <row r="1010" spans="1:19">
      <c r="A1010" s="649"/>
      <c r="B1010" s="650"/>
      <c r="C1010" s="650"/>
      <c r="D1010" s="650"/>
      <c r="E1010" s="650"/>
      <c r="F1010" s="509"/>
      <c r="G1010" s="509"/>
      <c r="H1010" s="509"/>
      <c r="I1010" s="648"/>
      <c r="J1010" s="509"/>
      <c r="K1010" s="649"/>
      <c r="L1010" s="650"/>
      <c r="M1010" s="650"/>
      <c r="N1010" s="650"/>
      <c r="O1010" s="650"/>
      <c r="P1010" s="509"/>
      <c r="Q1010" s="509"/>
      <c r="R1010" s="509"/>
      <c r="S1010" s="648"/>
    </row>
    <row r="1011" spans="1:19">
      <c r="A1011" s="655">
        <v>1</v>
      </c>
      <c r="B1011" s="1125" t="s">
        <v>53</v>
      </c>
      <c r="C1011" s="1125"/>
      <c r="D1011" s="1125"/>
      <c r="E1011" s="656">
        <f>'0422Master'!W1485</f>
        <v>0</v>
      </c>
      <c r="F1011" s="653"/>
      <c r="G1011" s="653"/>
      <c r="H1011" s="653"/>
      <c r="I1011" s="648"/>
      <c r="J1011" s="509"/>
      <c r="K1011" s="655">
        <v>1</v>
      </c>
      <c r="L1011" s="1125" t="s">
        <v>53</v>
      </c>
      <c r="M1011" s="1125"/>
      <c r="N1011" s="1125"/>
      <c r="O1011" s="656">
        <f>E1011</f>
        <v>0</v>
      </c>
      <c r="P1011" s="653"/>
      <c r="Q1011" s="653"/>
      <c r="R1011" s="653"/>
      <c r="S1011" s="648"/>
    </row>
    <row r="1012" spans="1:19">
      <c r="A1012" s="655"/>
      <c r="B1012" s="650"/>
      <c r="C1012" s="650"/>
      <c r="D1012" s="650"/>
      <c r="E1012" s="650"/>
      <c r="F1012" s="509"/>
      <c r="G1012" s="509"/>
      <c r="H1012" s="509"/>
      <c r="I1012" s="648"/>
      <c r="J1012" s="509"/>
      <c r="K1012" s="655"/>
      <c r="L1012" s="650"/>
      <c r="M1012" s="650"/>
      <c r="N1012" s="650"/>
      <c r="O1012" s="650"/>
      <c r="P1012" s="509"/>
      <c r="Q1012" s="509"/>
      <c r="R1012" s="509"/>
      <c r="S1012" s="648"/>
    </row>
    <row r="1013" spans="1:19">
      <c r="A1013" s="655">
        <v>2</v>
      </c>
      <c r="B1013" s="1126" t="s">
        <v>54</v>
      </c>
      <c r="C1013" s="1126"/>
      <c r="D1013" s="1126"/>
      <c r="E1013" s="650"/>
      <c r="F1013" s="509"/>
      <c r="G1013" s="509"/>
      <c r="H1013" s="509"/>
      <c r="I1013" s="648"/>
      <c r="J1013" s="509"/>
      <c r="K1013" s="655">
        <v>2</v>
      </c>
      <c r="L1013" s="1126" t="s">
        <v>54</v>
      </c>
      <c r="M1013" s="1126"/>
      <c r="N1013" s="1126"/>
      <c r="O1013" s="650"/>
      <c r="P1013" s="509"/>
      <c r="Q1013" s="509"/>
      <c r="R1013" s="509"/>
      <c r="S1013" s="648"/>
    </row>
    <row r="1014" spans="1:19">
      <c r="A1014" s="655"/>
      <c r="B1014" s="1126"/>
      <c r="C1014" s="1126"/>
      <c r="D1014" s="1126"/>
      <c r="E1014" s="657" t="s">
        <v>37</v>
      </c>
      <c r="F1014" s="653"/>
      <c r="G1014" s="653"/>
      <c r="H1014" s="653"/>
      <c r="I1014" s="648"/>
      <c r="J1014" s="509"/>
      <c r="K1014" s="655"/>
      <c r="L1014" s="1126"/>
      <c r="M1014" s="1126"/>
      <c r="N1014" s="1126"/>
      <c r="O1014" s="657" t="s">
        <v>37</v>
      </c>
      <c r="P1014" s="653"/>
      <c r="Q1014" s="653"/>
      <c r="R1014" s="653"/>
      <c r="S1014" s="648"/>
    </row>
    <row r="1015" spans="1:19">
      <c r="A1015" s="655"/>
      <c r="B1015" s="650"/>
      <c r="C1015" s="650"/>
      <c r="D1015" s="650"/>
      <c r="E1015" s="650"/>
      <c r="F1015" s="509"/>
      <c r="G1015" s="509"/>
      <c r="H1015" s="509"/>
      <c r="I1015" s="648"/>
      <c r="J1015" s="509"/>
      <c r="K1015" s="655"/>
      <c r="L1015" s="650"/>
      <c r="M1015" s="650"/>
      <c r="N1015" s="650"/>
      <c r="O1015" s="650"/>
      <c r="P1015" s="509"/>
      <c r="Q1015" s="509"/>
      <c r="R1015" s="509"/>
      <c r="S1015" s="648"/>
    </row>
    <row r="1016" spans="1:19">
      <c r="A1016" s="655">
        <v>3</v>
      </c>
      <c r="B1016" s="1125" t="s">
        <v>55</v>
      </c>
      <c r="C1016" s="1125"/>
      <c r="D1016" s="1125"/>
      <c r="E1016" s="657" t="s">
        <v>37</v>
      </c>
      <c r="F1016" s="653"/>
      <c r="G1016" s="653"/>
      <c r="H1016" s="653"/>
      <c r="I1016" s="648"/>
      <c r="J1016" s="509"/>
      <c r="K1016" s="655">
        <v>3</v>
      </c>
      <c r="L1016" s="1125" t="s">
        <v>55</v>
      </c>
      <c r="M1016" s="1125"/>
      <c r="N1016" s="1125"/>
      <c r="O1016" s="652" t="str">
        <f>E1016</f>
        <v>N/A</v>
      </c>
      <c r="P1016" s="653"/>
      <c r="Q1016" s="653"/>
      <c r="R1016" s="653"/>
      <c r="S1016" s="648"/>
    </row>
    <row r="1017" spans="1:19">
      <c r="A1017" s="655"/>
      <c r="B1017" s="650"/>
      <c r="C1017" s="650"/>
      <c r="D1017" s="650"/>
      <c r="E1017" s="650"/>
      <c r="F1017" s="509"/>
      <c r="G1017" s="509"/>
      <c r="H1017" s="509"/>
      <c r="I1017" s="648"/>
      <c r="J1017" s="509"/>
      <c r="K1017" s="655"/>
      <c r="L1017" s="650"/>
      <c r="M1017" s="650"/>
      <c r="N1017" s="650"/>
      <c r="O1017" s="650"/>
      <c r="P1017" s="509"/>
      <c r="Q1017" s="509"/>
      <c r="R1017" s="509"/>
      <c r="S1017" s="648"/>
    </row>
    <row r="1018" spans="1:19">
      <c r="A1018" s="655">
        <v>4</v>
      </c>
      <c r="B1018" s="1125" t="s">
        <v>56</v>
      </c>
      <c r="C1018" s="1125"/>
      <c r="D1018" s="1125"/>
      <c r="E1018" s="657" t="s">
        <v>57</v>
      </c>
      <c r="F1018" s="653"/>
      <c r="G1018" s="653"/>
      <c r="H1018" s="653"/>
      <c r="I1018" s="648"/>
      <c r="J1018" s="509"/>
      <c r="K1018" s="655">
        <v>4</v>
      </c>
      <c r="L1018" s="1125" t="s">
        <v>56</v>
      </c>
      <c r="M1018" s="1125"/>
      <c r="N1018" s="1125"/>
      <c r="O1018" s="657" t="s">
        <v>57</v>
      </c>
      <c r="P1018" s="653"/>
      <c r="Q1018" s="653"/>
      <c r="R1018" s="653"/>
      <c r="S1018" s="648"/>
    </row>
    <row r="1019" spans="1:19">
      <c r="A1019" s="655"/>
      <c r="B1019" s="650"/>
      <c r="C1019" s="650"/>
      <c r="D1019" s="650"/>
      <c r="E1019" s="650"/>
      <c r="F1019" s="509"/>
      <c r="G1019" s="509"/>
      <c r="H1019" s="509"/>
      <c r="I1019" s="648"/>
      <c r="J1019" s="509"/>
      <c r="K1019" s="655"/>
      <c r="L1019" s="650"/>
      <c r="M1019" s="650"/>
      <c r="N1019" s="650"/>
      <c r="O1019" s="650"/>
      <c r="P1019" s="509"/>
      <c r="Q1019" s="509"/>
      <c r="R1019" s="509"/>
      <c r="S1019" s="648"/>
    </row>
    <row r="1020" spans="1:19">
      <c r="A1020" s="655">
        <v>5</v>
      </c>
      <c r="B1020" s="1125" t="s">
        <v>58</v>
      </c>
      <c r="C1020" s="1125"/>
      <c r="D1020" s="1125"/>
      <c r="E1020" s="658">
        <f>'0422Master'!AM1485</f>
        <v>0</v>
      </c>
      <c r="F1020" s="509"/>
      <c r="G1020" s="509"/>
      <c r="H1020" s="509"/>
      <c r="I1020" s="648"/>
      <c r="J1020" s="509"/>
      <c r="K1020" s="655">
        <v>5</v>
      </c>
      <c r="L1020" s="1125" t="s">
        <v>58</v>
      </c>
      <c r="M1020" s="1125"/>
      <c r="N1020" s="1125"/>
      <c r="O1020" s="658">
        <f>E1020</f>
        <v>0</v>
      </c>
      <c r="P1020" s="509"/>
      <c r="Q1020" s="509"/>
      <c r="R1020" s="509"/>
      <c r="S1020" s="648"/>
    </row>
    <row r="1021" spans="1:19">
      <c r="A1021" s="655"/>
      <c r="B1021" s="650"/>
      <c r="C1021" s="650"/>
      <c r="D1021" s="659" t="s">
        <v>59</v>
      </c>
      <c r="E1021" s="659" t="s">
        <v>31</v>
      </c>
      <c r="F1021" s="659" t="s">
        <v>33</v>
      </c>
      <c r="G1021" s="659" t="s">
        <v>34</v>
      </c>
      <c r="H1021" s="659" t="s">
        <v>378</v>
      </c>
      <c r="I1021" s="660" t="s">
        <v>379</v>
      </c>
      <c r="J1021" s="509"/>
      <c r="K1021" s="655"/>
      <c r="L1021" s="650"/>
      <c r="M1021" s="650"/>
      <c r="N1021" s="659" t="s">
        <v>59</v>
      </c>
      <c r="O1021" s="659" t="s">
        <v>31</v>
      </c>
      <c r="P1021" s="659" t="s">
        <v>33</v>
      </c>
      <c r="Q1021" s="659" t="s">
        <v>34</v>
      </c>
      <c r="R1021" s="659" t="s">
        <v>378</v>
      </c>
      <c r="S1021" s="660" t="s">
        <v>379</v>
      </c>
    </row>
    <row r="1022" spans="1:19">
      <c r="A1022" s="655">
        <v>6</v>
      </c>
      <c r="B1022" s="859" t="s">
        <v>60</v>
      </c>
      <c r="C1022" s="859"/>
      <c r="D1022" s="662">
        <f>'0422Master'!AO1485</f>
        <v>0</v>
      </c>
      <c r="E1022" s="662">
        <f>'0422Master'!AN1485</f>
        <v>0</v>
      </c>
      <c r="F1022" s="663">
        <f>'0422Master'!AP1485</f>
        <v>0</v>
      </c>
      <c r="G1022" s="662">
        <f>'0422Master'!AQ1485</f>
        <v>0</v>
      </c>
      <c r="H1022" s="663">
        <f>'0422Master'!AR1485</f>
        <v>0</v>
      </c>
      <c r="I1022" s="663">
        <f>'0422Master'!AS1485</f>
        <v>0</v>
      </c>
      <c r="J1022" s="509"/>
      <c r="K1022" s="655">
        <v>6</v>
      </c>
      <c r="L1022" s="859" t="s">
        <v>60</v>
      </c>
      <c r="M1022" s="859"/>
      <c r="N1022" s="662">
        <f t="shared" ref="N1022" si="92">D1022</f>
        <v>0</v>
      </c>
      <c r="O1022" s="662">
        <f t="shared" ref="O1022" si="93">E1022</f>
        <v>0</v>
      </c>
      <c r="P1022" s="663">
        <f t="shared" ref="P1022" si="94">F1022</f>
        <v>0</v>
      </c>
      <c r="Q1022" s="662">
        <f t="shared" ref="Q1022" si="95">G1022</f>
        <v>0</v>
      </c>
      <c r="R1022" s="663">
        <f t="shared" ref="R1022" si="96">H1022</f>
        <v>0</v>
      </c>
      <c r="S1022" s="663">
        <f t="shared" ref="S1022" si="97">I1022</f>
        <v>0</v>
      </c>
    </row>
    <row r="1023" spans="1:19">
      <c r="A1023" s="655"/>
      <c r="B1023" s="650"/>
      <c r="C1023" s="650"/>
      <c r="D1023" s="650"/>
      <c r="E1023" s="650"/>
      <c r="F1023" s="509"/>
      <c r="G1023" s="509"/>
      <c r="H1023" s="509"/>
      <c r="I1023" s="648"/>
      <c r="J1023" s="509"/>
      <c r="K1023" s="655"/>
      <c r="L1023" s="650"/>
      <c r="M1023" s="650"/>
      <c r="N1023" s="650"/>
      <c r="O1023" s="650"/>
      <c r="P1023" s="509"/>
      <c r="Q1023" s="509"/>
      <c r="R1023" s="509"/>
      <c r="S1023" s="648"/>
    </row>
    <row r="1024" spans="1:19">
      <c r="A1024" s="655">
        <v>7</v>
      </c>
      <c r="B1024" s="1125" t="s">
        <v>61</v>
      </c>
      <c r="C1024" s="1125"/>
      <c r="D1024" s="1125"/>
      <c r="E1024" s="664">
        <f>E1020-I1022</f>
        <v>0</v>
      </c>
      <c r="F1024" s="653"/>
      <c r="G1024" s="653"/>
      <c r="H1024" s="653"/>
      <c r="I1024" s="648"/>
      <c r="J1024" s="509"/>
      <c r="K1024" s="655">
        <v>7</v>
      </c>
      <c r="L1024" s="1125" t="s">
        <v>61</v>
      </c>
      <c r="M1024" s="1125"/>
      <c r="N1024" s="1125"/>
      <c r="O1024" s="664">
        <f>E1024</f>
        <v>0</v>
      </c>
      <c r="P1024" s="653"/>
      <c r="Q1024" s="653"/>
      <c r="R1024" s="653"/>
      <c r="S1024" s="648"/>
    </row>
    <row r="1025" spans="1:19">
      <c r="A1025" s="647"/>
      <c r="B1025" s="509"/>
      <c r="C1025" s="509"/>
      <c r="D1025" s="509"/>
      <c r="E1025" s="509"/>
      <c r="F1025" s="509"/>
      <c r="G1025" s="509"/>
      <c r="H1025" s="509"/>
      <c r="I1025" s="648"/>
      <c r="J1025" s="509"/>
      <c r="K1025" s="647"/>
      <c r="L1025" s="509"/>
      <c r="M1025" s="509"/>
      <c r="N1025" s="509"/>
      <c r="O1025" s="509"/>
      <c r="P1025" s="509"/>
      <c r="Q1025" s="509"/>
      <c r="R1025" s="509"/>
      <c r="S1025" s="648"/>
    </row>
    <row r="1026" spans="1:19">
      <c r="A1026" s="647"/>
      <c r="B1026" s="509"/>
      <c r="C1026" s="509"/>
      <c r="D1026" s="509"/>
      <c r="E1026" s="509"/>
      <c r="F1026" s="509"/>
      <c r="G1026" s="509"/>
      <c r="H1026" s="509"/>
      <c r="I1026" s="648"/>
      <c r="J1026" s="509"/>
      <c r="K1026" s="647"/>
      <c r="L1026" s="509"/>
      <c r="M1026" s="509"/>
      <c r="N1026" s="509"/>
      <c r="O1026" s="509"/>
      <c r="P1026" s="509"/>
      <c r="Q1026" s="509"/>
      <c r="R1026" s="509"/>
      <c r="S1026" s="648"/>
    </row>
    <row r="1027" spans="1:19" ht="15.75" thickBot="1">
      <c r="A1027" s="647"/>
      <c r="B1027" s="509"/>
      <c r="C1027" s="509"/>
      <c r="D1027" s="509"/>
      <c r="E1027" s="509"/>
      <c r="F1027" s="646"/>
      <c r="G1027" s="646"/>
      <c r="H1027" s="646"/>
      <c r="I1027" s="665"/>
      <c r="J1027" s="509"/>
      <c r="K1027" s="647"/>
      <c r="L1027" s="509"/>
      <c r="M1027" s="509"/>
      <c r="N1027" s="509"/>
      <c r="O1027" s="509"/>
      <c r="P1027" s="646"/>
      <c r="Q1027" s="646"/>
      <c r="R1027" s="646"/>
      <c r="S1027" s="665"/>
    </row>
    <row r="1028" spans="1:19" ht="15.75" thickBot="1">
      <c r="A1028" s="666"/>
      <c r="B1028" s="646"/>
      <c r="C1028" s="646"/>
      <c r="D1028" s="646"/>
      <c r="E1028" s="646"/>
      <c r="F1028" s="1129" t="s">
        <v>62</v>
      </c>
      <c r="G1028" s="1129"/>
      <c r="H1028" s="1129"/>
      <c r="I1028" s="1130"/>
      <c r="J1028" s="509"/>
      <c r="K1028" s="666"/>
      <c r="L1028" s="646"/>
      <c r="M1028" s="646"/>
      <c r="N1028" s="646"/>
      <c r="O1028" s="646"/>
      <c r="P1028" s="1129" t="s">
        <v>62</v>
      </c>
      <c r="Q1028" s="1129"/>
      <c r="R1028" s="1129"/>
      <c r="S1028" s="1130"/>
    </row>
    <row r="1029" spans="1:19">
      <c r="A1029" s="509"/>
      <c r="B1029" s="509"/>
      <c r="C1029" s="509"/>
      <c r="D1029" s="509"/>
      <c r="E1029" s="509"/>
      <c r="F1029" s="509"/>
      <c r="G1029" s="509"/>
      <c r="H1029" s="509"/>
      <c r="I1029" s="509"/>
      <c r="J1029" s="509"/>
      <c r="K1029" s="509"/>
      <c r="L1029" s="509"/>
      <c r="M1029" s="509"/>
      <c r="N1029" s="509"/>
      <c r="O1029" s="509"/>
      <c r="P1029" s="509"/>
      <c r="Q1029" s="509"/>
      <c r="R1029" s="509"/>
      <c r="S1029" s="509"/>
    </row>
    <row r="1030" spans="1:19">
      <c r="A1030" s="509"/>
      <c r="B1030" s="509"/>
      <c r="C1030" s="509"/>
      <c r="D1030" s="509"/>
      <c r="E1030" s="509"/>
      <c r="F1030" s="509"/>
      <c r="G1030" s="509"/>
      <c r="H1030" s="509"/>
      <c r="I1030" s="509"/>
      <c r="J1030" s="509"/>
      <c r="K1030" s="509"/>
      <c r="L1030" s="509"/>
      <c r="M1030" s="509"/>
      <c r="N1030" s="509"/>
      <c r="O1030" s="509"/>
      <c r="P1030" s="509"/>
      <c r="Q1030" s="509"/>
      <c r="R1030" s="509"/>
      <c r="S1030" s="509"/>
    </row>
    <row r="1031" spans="1:19">
      <c r="A1031" s="509"/>
      <c r="B1031" s="509"/>
      <c r="C1031" s="509"/>
      <c r="D1031" s="509"/>
      <c r="E1031" s="509"/>
      <c r="F1031" s="509"/>
      <c r="G1031" s="509"/>
      <c r="H1031" s="509"/>
      <c r="I1031" s="509"/>
      <c r="J1031" s="509"/>
      <c r="K1031" s="509"/>
      <c r="L1031" s="509"/>
      <c r="M1031" s="509"/>
      <c r="N1031" s="509"/>
      <c r="O1031" s="509"/>
      <c r="P1031" s="509"/>
      <c r="Q1031" s="509"/>
      <c r="R1031" s="509"/>
      <c r="S1031" s="509"/>
    </row>
    <row r="1032" spans="1:19">
      <c r="A1032" s="509"/>
      <c r="B1032" s="509"/>
      <c r="C1032" s="509"/>
      <c r="D1032" s="509"/>
      <c r="E1032" s="509"/>
      <c r="F1032" s="509"/>
      <c r="G1032" s="509"/>
      <c r="H1032" s="509"/>
      <c r="I1032" s="509"/>
      <c r="J1032" s="509"/>
      <c r="K1032" s="509"/>
      <c r="L1032" s="509"/>
      <c r="M1032" s="509"/>
      <c r="N1032" s="509"/>
      <c r="O1032" s="509"/>
      <c r="P1032" s="509"/>
      <c r="Q1032" s="509"/>
      <c r="R1032" s="509"/>
      <c r="S1032" s="509"/>
    </row>
    <row r="1033" spans="1:19">
      <c r="A1033" s="509"/>
      <c r="B1033" s="509"/>
      <c r="C1033" s="509"/>
      <c r="D1033" s="509"/>
      <c r="E1033" s="509"/>
      <c r="F1033" s="509"/>
      <c r="G1033" s="509"/>
      <c r="H1033" s="509"/>
      <c r="I1033" s="509"/>
      <c r="J1033" s="509"/>
      <c r="K1033" s="509"/>
      <c r="L1033" s="509"/>
      <c r="M1033" s="509"/>
      <c r="N1033" s="509"/>
      <c r="O1033" s="509"/>
      <c r="P1033" s="509"/>
      <c r="Q1033" s="509"/>
      <c r="R1033" s="509"/>
      <c r="S1033" s="509"/>
    </row>
    <row r="1034" spans="1:19">
      <c r="A1034" s="509"/>
      <c r="B1034" s="509"/>
      <c r="C1034" s="509"/>
      <c r="D1034" s="509"/>
      <c r="E1034" s="509"/>
      <c r="F1034" s="509"/>
      <c r="G1034" s="509"/>
      <c r="H1034" s="509"/>
      <c r="I1034" s="509"/>
      <c r="J1034" s="509"/>
      <c r="K1034" s="509"/>
      <c r="L1034" s="509"/>
      <c r="M1034" s="509"/>
      <c r="N1034" s="509"/>
      <c r="O1034" s="509"/>
      <c r="P1034" s="509"/>
      <c r="Q1034" s="509"/>
      <c r="R1034" s="509"/>
      <c r="S1034" s="509"/>
    </row>
    <row r="1035" spans="1:19">
      <c r="A1035" s="509"/>
      <c r="B1035" s="509"/>
      <c r="C1035" s="509"/>
      <c r="D1035" s="509"/>
      <c r="E1035" s="509"/>
      <c r="F1035" s="509"/>
      <c r="G1035" s="509"/>
      <c r="H1035" s="509"/>
      <c r="I1035" s="509"/>
      <c r="J1035" s="509"/>
      <c r="K1035" s="509"/>
      <c r="L1035" s="509"/>
      <c r="M1035" s="509"/>
      <c r="N1035" s="509"/>
      <c r="O1035" s="509"/>
      <c r="P1035" s="509"/>
      <c r="Q1035" s="509"/>
      <c r="R1035" s="509"/>
      <c r="S1035" s="509"/>
    </row>
    <row r="1036" spans="1:19">
      <c r="A1036" s="509"/>
      <c r="B1036" s="509"/>
      <c r="C1036" s="509"/>
      <c r="D1036" s="509"/>
      <c r="E1036" s="509"/>
      <c r="F1036" s="509"/>
      <c r="G1036" s="509"/>
      <c r="H1036" s="509"/>
      <c r="I1036" s="509"/>
      <c r="J1036" s="509"/>
      <c r="K1036" s="509"/>
      <c r="L1036" s="509"/>
      <c r="M1036" s="509"/>
      <c r="N1036" s="509"/>
      <c r="O1036" s="509"/>
      <c r="P1036" s="509"/>
      <c r="Q1036" s="509"/>
      <c r="R1036" s="509"/>
      <c r="S1036" s="509"/>
    </row>
    <row r="1037" spans="1:19">
      <c r="A1037" s="509"/>
      <c r="B1037" s="509"/>
      <c r="C1037" s="509"/>
      <c r="D1037" s="509"/>
      <c r="E1037" s="509"/>
      <c r="F1037" s="509"/>
      <c r="G1037" s="509"/>
      <c r="H1037" s="509"/>
      <c r="I1037" s="509"/>
      <c r="J1037" s="509"/>
      <c r="K1037" s="509"/>
      <c r="L1037" s="509"/>
      <c r="M1037" s="509"/>
      <c r="N1037" s="509"/>
      <c r="O1037" s="509"/>
      <c r="P1037" s="509"/>
      <c r="Q1037" s="509"/>
      <c r="R1037" s="509"/>
      <c r="S1037" s="509"/>
    </row>
    <row r="1038" spans="1:19">
      <c r="A1038" s="509"/>
      <c r="B1038" s="509"/>
      <c r="C1038" s="509"/>
      <c r="D1038" s="509"/>
      <c r="E1038" s="509"/>
      <c r="F1038" s="509"/>
      <c r="G1038" s="509"/>
      <c r="H1038" s="509"/>
      <c r="I1038" s="509"/>
      <c r="J1038" s="509"/>
      <c r="K1038" s="509"/>
      <c r="L1038" s="509"/>
      <c r="M1038" s="509"/>
      <c r="N1038" s="509"/>
      <c r="O1038" s="509"/>
      <c r="P1038" s="509"/>
      <c r="Q1038" s="509"/>
      <c r="R1038" s="509"/>
      <c r="S1038" s="509"/>
    </row>
    <row r="1039" spans="1:19">
      <c r="A1039" s="509"/>
      <c r="B1039" s="509"/>
      <c r="C1039" s="509"/>
      <c r="D1039" s="509"/>
      <c r="E1039" s="509"/>
      <c r="F1039" s="509"/>
      <c r="G1039" s="509"/>
      <c r="H1039" s="509"/>
      <c r="I1039" s="509"/>
      <c r="J1039" s="509"/>
      <c r="K1039" s="509"/>
      <c r="L1039" s="509"/>
      <c r="M1039" s="509"/>
      <c r="N1039" s="509"/>
      <c r="O1039" s="509"/>
      <c r="P1039" s="509"/>
      <c r="Q1039" s="509"/>
      <c r="R1039" s="509"/>
      <c r="S1039" s="509"/>
    </row>
    <row r="1040" spans="1:19">
      <c r="A1040" s="509"/>
      <c r="B1040" s="509"/>
      <c r="C1040" s="509"/>
      <c r="D1040" s="509"/>
      <c r="E1040" s="509"/>
      <c r="F1040" s="509"/>
      <c r="G1040" s="509"/>
      <c r="H1040" s="509"/>
      <c r="I1040" s="509"/>
      <c r="J1040" s="509"/>
      <c r="K1040" s="509"/>
      <c r="L1040" s="509"/>
      <c r="M1040" s="509"/>
      <c r="N1040" s="509"/>
      <c r="O1040" s="509"/>
      <c r="P1040" s="509"/>
      <c r="Q1040" s="509"/>
      <c r="R1040" s="509"/>
      <c r="S1040" s="509"/>
    </row>
    <row r="1041" spans="1:19">
      <c r="A1041" s="509"/>
      <c r="B1041" s="509"/>
      <c r="C1041" s="509"/>
      <c r="D1041" s="509"/>
      <c r="E1041" s="509"/>
      <c r="F1041" s="509"/>
      <c r="G1041" s="509"/>
      <c r="H1041" s="509"/>
      <c r="I1041" s="509"/>
      <c r="J1041" s="509"/>
      <c r="K1041" s="509"/>
      <c r="L1041" s="509"/>
      <c r="M1041" s="509"/>
      <c r="N1041" s="509"/>
      <c r="O1041" s="509"/>
      <c r="P1041" s="509"/>
      <c r="Q1041" s="509"/>
      <c r="R1041" s="509"/>
      <c r="S1041" s="509"/>
    </row>
    <row r="1042" spans="1:19">
      <c r="A1042" s="509"/>
      <c r="B1042" s="509"/>
      <c r="C1042" s="509"/>
      <c r="D1042" s="509"/>
      <c r="E1042" s="509"/>
      <c r="F1042" s="509"/>
      <c r="G1042" s="509"/>
      <c r="H1042" s="509"/>
      <c r="I1042" s="509"/>
      <c r="J1042" s="509"/>
      <c r="K1042" s="509"/>
      <c r="L1042" s="509"/>
      <c r="M1042" s="509"/>
      <c r="N1042" s="509"/>
      <c r="O1042" s="509"/>
      <c r="P1042" s="509"/>
      <c r="Q1042" s="509"/>
      <c r="R1042" s="509"/>
      <c r="S1042" s="509"/>
    </row>
    <row r="1043" spans="1:19">
      <c r="A1043" s="509"/>
      <c r="B1043" s="509"/>
      <c r="C1043" s="509"/>
      <c r="D1043" s="509"/>
      <c r="E1043" s="509"/>
      <c r="F1043" s="509"/>
      <c r="G1043" s="509"/>
      <c r="H1043" s="509"/>
      <c r="I1043" s="509"/>
      <c r="J1043" s="509"/>
      <c r="K1043" s="509"/>
      <c r="L1043" s="509"/>
      <c r="M1043" s="509"/>
      <c r="N1043" s="509"/>
      <c r="O1043" s="509"/>
      <c r="P1043" s="509"/>
      <c r="Q1043" s="509"/>
      <c r="R1043" s="509"/>
      <c r="S1043" s="509"/>
    </row>
    <row r="1044" spans="1:19">
      <c r="A1044" s="509"/>
      <c r="B1044" s="509"/>
      <c r="C1044" s="509"/>
      <c r="D1044" s="509"/>
      <c r="E1044" s="509"/>
      <c r="F1044" s="509"/>
      <c r="G1044" s="509"/>
      <c r="H1044" s="509"/>
      <c r="I1044" s="509"/>
      <c r="J1044" s="509"/>
      <c r="K1044" s="509"/>
      <c r="L1044" s="509"/>
      <c r="M1044" s="509"/>
      <c r="N1044" s="509"/>
      <c r="O1044" s="509"/>
      <c r="P1044" s="509"/>
      <c r="Q1044" s="509"/>
      <c r="R1044" s="509"/>
      <c r="S1044" s="509"/>
    </row>
    <row r="1045" spans="1:19">
      <c r="A1045" s="509"/>
      <c r="B1045" s="509"/>
      <c r="C1045" s="509"/>
      <c r="D1045" s="509"/>
      <c r="E1045" s="509"/>
      <c r="F1045" s="509"/>
      <c r="G1045" s="509"/>
      <c r="H1045" s="509"/>
      <c r="I1045" s="509"/>
      <c r="J1045" s="509"/>
      <c r="K1045" s="509"/>
      <c r="L1045" s="509"/>
      <c r="M1045" s="509"/>
      <c r="N1045" s="509"/>
      <c r="O1045" s="509"/>
      <c r="P1045" s="509"/>
      <c r="Q1045" s="509"/>
      <c r="R1045" s="509"/>
      <c r="S1045" s="509"/>
    </row>
    <row r="1046" spans="1:19">
      <c r="A1046" s="509"/>
      <c r="B1046" s="509"/>
      <c r="C1046" s="509"/>
      <c r="D1046" s="509"/>
      <c r="E1046" s="509"/>
      <c r="F1046" s="509"/>
      <c r="G1046" s="509"/>
      <c r="H1046" s="509"/>
      <c r="I1046" s="509"/>
      <c r="J1046" s="509"/>
      <c r="K1046" s="509"/>
      <c r="L1046" s="509"/>
      <c r="M1046" s="509"/>
      <c r="N1046" s="509"/>
      <c r="O1046" s="509"/>
      <c r="P1046" s="509"/>
      <c r="Q1046" s="509"/>
      <c r="R1046" s="509"/>
      <c r="S1046" s="509"/>
    </row>
    <row r="1047" spans="1:19">
      <c r="A1047" s="509"/>
      <c r="B1047" s="509"/>
      <c r="C1047" s="509"/>
      <c r="D1047" s="509"/>
      <c r="E1047" s="509"/>
      <c r="F1047" s="509"/>
      <c r="G1047" s="509"/>
      <c r="H1047" s="509"/>
      <c r="I1047" s="509"/>
      <c r="J1047" s="509"/>
      <c r="K1047" s="509"/>
      <c r="L1047" s="509"/>
      <c r="M1047" s="509"/>
      <c r="N1047" s="509"/>
      <c r="O1047" s="509"/>
      <c r="P1047" s="509"/>
      <c r="Q1047" s="509"/>
      <c r="R1047" s="509"/>
      <c r="S1047" s="509"/>
    </row>
    <row r="1048" spans="1:19">
      <c r="A1048" s="509"/>
      <c r="B1048" s="509"/>
      <c r="C1048" s="509"/>
      <c r="D1048" s="509"/>
      <c r="E1048" s="509"/>
      <c r="F1048" s="509"/>
      <c r="G1048" s="509"/>
      <c r="H1048" s="509"/>
      <c r="I1048" s="509"/>
      <c r="J1048" s="509"/>
      <c r="K1048" s="509"/>
      <c r="L1048" s="509"/>
      <c r="M1048" s="509"/>
      <c r="N1048" s="509"/>
      <c r="O1048" s="509"/>
      <c r="P1048" s="509"/>
      <c r="Q1048" s="509"/>
      <c r="R1048" s="509"/>
      <c r="S1048" s="509"/>
    </row>
    <row r="1049" spans="1:19">
      <c r="A1049" s="509"/>
      <c r="B1049" s="509"/>
      <c r="C1049" s="509"/>
      <c r="D1049" s="509"/>
      <c r="E1049" s="509"/>
      <c r="F1049" s="509"/>
      <c r="G1049" s="509"/>
      <c r="H1049" s="509"/>
      <c r="I1049" s="509"/>
      <c r="J1049" s="509"/>
      <c r="K1049" s="509"/>
      <c r="L1049" s="509"/>
      <c r="M1049" s="509"/>
      <c r="N1049" s="509"/>
      <c r="O1049" s="509"/>
      <c r="P1049" s="509"/>
      <c r="Q1049" s="509"/>
      <c r="R1049" s="509"/>
      <c r="S1049" s="509"/>
    </row>
    <row r="1050" spans="1:19">
      <c r="A1050" s="509"/>
      <c r="B1050" s="509"/>
      <c r="C1050" s="509"/>
      <c r="D1050" s="509"/>
      <c r="E1050" s="509"/>
      <c r="F1050" s="509"/>
      <c r="G1050" s="509"/>
      <c r="H1050" s="509"/>
      <c r="I1050" s="509"/>
      <c r="J1050" s="509"/>
      <c r="K1050" s="509"/>
      <c r="L1050" s="509"/>
      <c r="M1050" s="509"/>
      <c r="N1050" s="509"/>
      <c r="O1050" s="509"/>
      <c r="P1050" s="509"/>
      <c r="Q1050" s="509"/>
      <c r="R1050" s="509"/>
      <c r="S1050" s="509"/>
    </row>
    <row r="1051" spans="1:19">
      <c r="A1051" s="509"/>
      <c r="B1051" s="509"/>
      <c r="C1051" s="509"/>
      <c r="D1051" s="509"/>
      <c r="E1051" s="509"/>
      <c r="F1051" s="509"/>
      <c r="G1051" s="509"/>
      <c r="H1051" s="509"/>
      <c r="I1051" s="509"/>
      <c r="J1051" s="509"/>
      <c r="K1051" s="509"/>
      <c r="L1051" s="509"/>
      <c r="M1051" s="509"/>
      <c r="N1051" s="509"/>
      <c r="O1051" s="509"/>
      <c r="P1051" s="509"/>
      <c r="Q1051" s="509"/>
      <c r="R1051" s="509"/>
      <c r="S1051" s="509"/>
    </row>
    <row r="1052" spans="1:19">
      <c r="A1052" s="509"/>
      <c r="B1052" s="509"/>
      <c r="C1052" s="509"/>
      <c r="D1052" s="509"/>
      <c r="E1052" s="509"/>
      <c r="F1052" s="509"/>
      <c r="G1052" s="509"/>
      <c r="H1052" s="509"/>
      <c r="I1052" s="509"/>
      <c r="J1052" s="509"/>
      <c r="K1052" s="509"/>
      <c r="L1052" s="509"/>
      <c r="M1052" s="509"/>
      <c r="N1052" s="509"/>
      <c r="O1052" s="509"/>
      <c r="P1052" s="509"/>
      <c r="Q1052" s="509"/>
      <c r="R1052" s="509"/>
      <c r="S1052" s="509"/>
    </row>
    <row r="1053" spans="1:19">
      <c r="A1053" s="509"/>
      <c r="B1053" s="509"/>
      <c r="C1053" s="509"/>
      <c r="D1053" s="509"/>
      <c r="E1053" s="509"/>
      <c r="F1053" s="509"/>
      <c r="G1053" s="509"/>
      <c r="H1053" s="509"/>
      <c r="I1053" s="509"/>
      <c r="J1053" s="509"/>
      <c r="K1053" s="509"/>
      <c r="L1053" s="509"/>
      <c r="M1053" s="509"/>
      <c r="N1053" s="509"/>
      <c r="O1053" s="509"/>
      <c r="P1053" s="509"/>
      <c r="Q1053" s="509"/>
      <c r="R1053" s="509"/>
      <c r="S1053" s="509"/>
    </row>
    <row r="1054" spans="1:19">
      <c r="A1054" s="509"/>
      <c r="B1054" s="509"/>
      <c r="C1054" s="509"/>
      <c r="D1054" s="509"/>
      <c r="E1054" s="509"/>
      <c r="F1054" s="509"/>
      <c r="G1054" s="509"/>
      <c r="H1054" s="509"/>
      <c r="I1054" s="509"/>
      <c r="J1054" s="509"/>
      <c r="K1054" s="509"/>
      <c r="L1054" s="509"/>
      <c r="M1054" s="509"/>
      <c r="N1054" s="509"/>
      <c r="O1054" s="509"/>
      <c r="P1054" s="509"/>
      <c r="Q1054" s="509"/>
      <c r="R1054" s="509"/>
      <c r="S1054" s="509"/>
    </row>
    <row r="1055" spans="1:19">
      <c r="A1055" s="509"/>
      <c r="B1055" s="509"/>
      <c r="C1055" s="509"/>
      <c r="D1055" s="509"/>
      <c r="E1055" s="509"/>
      <c r="F1055" s="509"/>
      <c r="G1055" s="509"/>
      <c r="H1055" s="509"/>
      <c r="I1055" s="509"/>
      <c r="J1055" s="509"/>
      <c r="K1055" s="509"/>
      <c r="L1055" s="509"/>
      <c r="M1055" s="509"/>
      <c r="N1055" s="509"/>
      <c r="O1055" s="509"/>
      <c r="P1055" s="509"/>
      <c r="Q1055" s="509"/>
      <c r="R1055" s="509"/>
      <c r="S1055" s="509"/>
    </row>
    <row r="1056" spans="1:19">
      <c r="A1056" s="509"/>
      <c r="B1056" s="509"/>
      <c r="C1056" s="509"/>
      <c r="D1056" s="509"/>
      <c r="E1056" s="509"/>
      <c r="F1056" s="509"/>
      <c r="G1056" s="509"/>
      <c r="H1056" s="509"/>
      <c r="I1056" s="509"/>
      <c r="J1056" s="509"/>
      <c r="K1056" s="509"/>
      <c r="L1056" s="509"/>
      <c r="M1056" s="509"/>
      <c r="N1056" s="509"/>
      <c r="O1056" s="509"/>
      <c r="P1056" s="509"/>
      <c r="Q1056" s="509"/>
      <c r="R1056" s="509"/>
      <c r="S1056" s="509"/>
    </row>
    <row r="1057" spans="1:19">
      <c r="A1057" s="509"/>
      <c r="B1057" s="509"/>
      <c r="C1057" s="509"/>
      <c r="D1057" s="509"/>
      <c r="E1057" s="509"/>
      <c r="F1057" s="509"/>
      <c r="G1057" s="509"/>
      <c r="H1057" s="509"/>
      <c r="I1057" s="509"/>
      <c r="J1057" s="509"/>
      <c r="K1057" s="509"/>
      <c r="L1057" s="509"/>
      <c r="M1057" s="509"/>
      <c r="N1057" s="509"/>
      <c r="O1057" s="509"/>
      <c r="P1057" s="509"/>
      <c r="Q1057" s="509"/>
      <c r="R1057" s="509"/>
      <c r="S1057" s="509"/>
    </row>
    <row r="1058" spans="1:19">
      <c r="A1058" s="509"/>
      <c r="B1058" s="509"/>
      <c r="C1058" s="509"/>
      <c r="D1058" s="509"/>
      <c r="E1058" s="509"/>
      <c r="F1058" s="509"/>
      <c r="G1058" s="509"/>
      <c r="H1058" s="509"/>
      <c r="I1058" s="509"/>
      <c r="J1058" s="509"/>
      <c r="K1058" s="509"/>
      <c r="L1058" s="509"/>
      <c r="M1058" s="509"/>
      <c r="N1058" s="509"/>
      <c r="O1058" s="509"/>
      <c r="P1058" s="509"/>
      <c r="Q1058" s="509"/>
      <c r="R1058" s="509"/>
      <c r="S1058" s="509"/>
    </row>
    <row r="1059" spans="1:19">
      <c r="A1059" s="509"/>
      <c r="B1059" s="509"/>
      <c r="C1059" s="509"/>
      <c r="D1059" s="509"/>
      <c r="E1059" s="509"/>
      <c r="F1059" s="509"/>
      <c r="G1059" s="509"/>
      <c r="H1059" s="509"/>
      <c r="I1059" s="509"/>
      <c r="J1059" s="509"/>
      <c r="K1059" s="509"/>
      <c r="L1059" s="509"/>
      <c r="M1059" s="509"/>
      <c r="N1059" s="509"/>
      <c r="O1059" s="509"/>
      <c r="P1059" s="509"/>
      <c r="Q1059" s="509"/>
      <c r="R1059" s="509"/>
      <c r="S1059" s="509"/>
    </row>
    <row r="1060" spans="1:19">
      <c r="A1060" s="509"/>
      <c r="B1060" s="509"/>
      <c r="C1060" s="509"/>
      <c r="D1060" s="509"/>
      <c r="E1060" s="509"/>
      <c r="F1060" s="509"/>
      <c r="G1060" s="509"/>
      <c r="H1060" s="509"/>
      <c r="I1060" s="509"/>
      <c r="J1060" s="509"/>
      <c r="K1060" s="509"/>
      <c r="L1060" s="509"/>
      <c r="M1060" s="509"/>
      <c r="N1060" s="509"/>
      <c r="O1060" s="509"/>
      <c r="P1060" s="509"/>
      <c r="Q1060" s="509"/>
      <c r="R1060" s="509"/>
      <c r="S1060" s="509"/>
    </row>
    <row r="1061" spans="1:19">
      <c r="A1061" s="509"/>
      <c r="B1061" s="509"/>
      <c r="C1061" s="509"/>
      <c r="D1061" s="509"/>
      <c r="E1061" s="509"/>
      <c r="F1061" s="509"/>
      <c r="G1061" s="509"/>
      <c r="H1061" s="509"/>
      <c r="I1061" s="509"/>
      <c r="J1061" s="509"/>
      <c r="K1061" s="509"/>
      <c r="L1061" s="509"/>
      <c r="M1061" s="509"/>
      <c r="N1061" s="509"/>
      <c r="O1061" s="509"/>
      <c r="P1061" s="509"/>
      <c r="Q1061" s="509"/>
      <c r="R1061" s="509"/>
      <c r="S1061" s="509"/>
    </row>
    <row r="1062" spans="1:19">
      <c r="A1062" s="509"/>
      <c r="B1062" s="509"/>
      <c r="C1062" s="509"/>
      <c r="D1062" s="509"/>
      <c r="E1062" s="509"/>
      <c r="F1062" s="509"/>
      <c r="G1062" s="509"/>
      <c r="H1062" s="509"/>
      <c r="I1062" s="509"/>
      <c r="J1062" s="509"/>
      <c r="K1062" s="509"/>
      <c r="L1062" s="509"/>
      <c r="M1062" s="509"/>
      <c r="N1062" s="509"/>
      <c r="O1062" s="509"/>
      <c r="P1062" s="509"/>
      <c r="Q1062" s="509"/>
      <c r="R1062" s="509"/>
      <c r="S1062" s="509"/>
    </row>
    <row r="1063" spans="1:19">
      <c r="A1063" s="509"/>
      <c r="B1063" s="509"/>
      <c r="C1063" s="509"/>
      <c r="D1063" s="509"/>
      <c r="E1063" s="509"/>
      <c r="F1063" s="509"/>
      <c r="G1063" s="509"/>
      <c r="H1063" s="509"/>
      <c r="I1063" s="509"/>
      <c r="J1063" s="509"/>
      <c r="K1063" s="509"/>
      <c r="L1063" s="509"/>
      <c r="M1063" s="509"/>
      <c r="N1063" s="509"/>
      <c r="O1063" s="509"/>
      <c r="P1063" s="509"/>
      <c r="Q1063" s="509"/>
      <c r="R1063" s="509"/>
      <c r="S1063" s="509"/>
    </row>
    <row r="1064" spans="1:19">
      <c r="A1064" s="509"/>
      <c r="B1064" s="509"/>
      <c r="C1064" s="509"/>
      <c r="D1064" s="509"/>
      <c r="E1064" s="509"/>
      <c r="F1064" s="509"/>
      <c r="G1064" s="509"/>
      <c r="H1064" s="509"/>
      <c r="I1064" s="509"/>
      <c r="J1064" s="509"/>
      <c r="K1064" s="509"/>
      <c r="L1064" s="509"/>
      <c r="M1064" s="509"/>
      <c r="N1064" s="509"/>
      <c r="O1064" s="509"/>
      <c r="P1064" s="509"/>
      <c r="Q1064" s="509"/>
      <c r="R1064" s="509"/>
      <c r="S1064" s="509"/>
    </row>
  </sheetData>
  <mergeCells count="552">
    <mergeCell ref="B1018:D1018"/>
    <mergeCell ref="L1018:N1018"/>
    <mergeCell ref="B1020:D1020"/>
    <mergeCell ref="L1020:N1020"/>
    <mergeCell ref="B1024:D1024"/>
    <mergeCell ref="L1024:N1024"/>
    <mergeCell ref="F1028:I1028"/>
    <mergeCell ref="P1028:S1028"/>
    <mergeCell ref="B973:D973"/>
    <mergeCell ref="L973:N973"/>
    <mergeCell ref="B975:D975"/>
    <mergeCell ref="L975:N975"/>
    <mergeCell ref="B979:D979"/>
    <mergeCell ref="L979:N979"/>
    <mergeCell ref="F983:I983"/>
    <mergeCell ref="P983:S983"/>
    <mergeCell ref="A998:I998"/>
    <mergeCell ref="K998:S998"/>
    <mergeCell ref="B1011:D1011"/>
    <mergeCell ref="L1011:N1011"/>
    <mergeCell ref="B1013:D1014"/>
    <mergeCell ref="L1013:N1014"/>
    <mergeCell ref="B1016:D1016"/>
    <mergeCell ref="L1016:N1016"/>
    <mergeCell ref="A953:I953"/>
    <mergeCell ref="K953:S953"/>
    <mergeCell ref="A954:I954"/>
    <mergeCell ref="K954:S954"/>
    <mergeCell ref="A959:D960"/>
    <mergeCell ref="K959:N960"/>
    <mergeCell ref="A962:D962"/>
    <mergeCell ref="K962:N962"/>
    <mergeCell ref="A964:D964"/>
    <mergeCell ref="K964:N964"/>
    <mergeCell ref="B966:D966"/>
    <mergeCell ref="L966:N966"/>
    <mergeCell ref="B968:D969"/>
    <mergeCell ref="L968:N969"/>
    <mergeCell ref="B971:D971"/>
    <mergeCell ref="L971:N971"/>
    <mergeCell ref="A1007:D1007"/>
    <mergeCell ref="K1007:N1007"/>
    <mergeCell ref="A1009:D1009"/>
    <mergeCell ref="K1009:N1009"/>
    <mergeCell ref="A999:I999"/>
    <mergeCell ref="K999:S999"/>
    <mergeCell ref="A1004:D1005"/>
    <mergeCell ref="K1004:N1005"/>
    <mergeCell ref="P938:S938"/>
    <mergeCell ref="B926:D926"/>
    <mergeCell ref="L926:N926"/>
    <mergeCell ref="B928:D928"/>
    <mergeCell ref="L928:N928"/>
    <mergeCell ref="B930:D930"/>
    <mergeCell ref="L930:N930"/>
    <mergeCell ref="B934:D934"/>
    <mergeCell ref="L934:N934"/>
    <mergeCell ref="F938:I938"/>
    <mergeCell ref="A914:D915"/>
    <mergeCell ref="K914:N915"/>
    <mergeCell ref="A917:D917"/>
    <mergeCell ref="K917:N917"/>
    <mergeCell ref="A919:D919"/>
    <mergeCell ref="K919:N919"/>
    <mergeCell ref="B921:D921"/>
    <mergeCell ref="L921:N921"/>
    <mergeCell ref="B923:D924"/>
    <mergeCell ref="L923:N924"/>
    <mergeCell ref="B885:D885"/>
    <mergeCell ref="L885:N885"/>
    <mergeCell ref="B889:D889"/>
    <mergeCell ref="L889:N889"/>
    <mergeCell ref="F893:I893"/>
    <mergeCell ref="P893:S893"/>
    <mergeCell ref="A908:I908"/>
    <mergeCell ref="K908:S908"/>
    <mergeCell ref="A909:I909"/>
    <mergeCell ref="K909:S909"/>
    <mergeCell ref="A874:D874"/>
    <mergeCell ref="K874:N874"/>
    <mergeCell ref="B876:D876"/>
    <mergeCell ref="L876:N876"/>
    <mergeCell ref="B878:D879"/>
    <mergeCell ref="L878:N879"/>
    <mergeCell ref="B881:D881"/>
    <mergeCell ref="L881:N881"/>
    <mergeCell ref="B883:D883"/>
    <mergeCell ref="L883:N883"/>
    <mergeCell ref="P848:S848"/>
    <mergeCell ref="A863:I863"/>
    <mergeCell ref="K863:S863"/>
    <mergeCell ref="A864:I864"/>
    <mergeCell ref="K864:S864"/>
    <mergeCell ref="A869:D870"/>
    <mergeCell ref="K869:N870"/>
    <mergeCell ref="A872:D872"/>
    <mergeCell ref="K872:N872"/>
    <mergeCell ref="B836:D836"/>
    <mergeCell ref="L836:N836"/>
    <mergeCell ref="B838:D838"/>
    <mergeCell ref="L838:N838"/>
    <mergeCell ref="B840:D840"/>
    <mergeCell ref="L840:N840"/>
    <mergeCell ref="B844:D844"/>
    <mergeCell ref="L844:N844"/>
    <mergeCell ref="F848:I848"/>
    <mergeCell ref="A824:D825"/>
    <mergeCell ref="K824:N825"/>
    <mergeCell ref="A827:D827"/>
    <mergeCell ref="K827:N827"/>
    <mergeCell ref="A829:D829"/>
    <mergeCell ref="K829:N829"/>
    <mergeCell ref="B831:D831"/>
    <mergeCell ref="L831:N831"/>
    <mergeCell ref="B833:D834"/>
    <mergeCell ref="L833:N834"/>
    <mergeCell ref="B795:D795"/>
    <mergeCell ref="L795:N795"/>
    <mergeCell ref="B799:D799"/>
    <mergeCell ref="L799:N799"/>
    <mergeCell ref="F803:I803"/>
    <mergeCell ref="P803:S803"/>
    <mergeCell ref="A818:I818"/>
    <mergeCell ref="K818:S818"/>
    <mergeCell ref="A819:I819"/>
    <mergeCell ref="K819:S819"/>
    <mergeCell ref="A784:D784"/>
    <mergeCell ref="K784:N784"/>
    <mergeCell ref="B786:D786"/>
    <mergeCell ref="L786:N786"/>
    <mergeCell ref="B788:D789"/>
    <mergeCell ref="L788:N789"/>
    <mergeCell ref="B791:D791"/>
    <mergeCell ref="L791:N791"/>
    <mergeCell ref="B793:D793"/>
    <mergeCell ref="L793:N793"/>
    <mergeCell ref="P758:S758"/>
    <mergeCell ref="A773:I773"/>
    <mergeCell ref="K773:S773"/>
    <mergeCell ref="A774:I774"/>
    <mergeCell ref="K774:S774"/>
    <mergeCell ref="A779:D780"/>
    <mergeCell ref="K779:N780"/>
    <mergeCell ref="A782:D782"/>
    <mergeCell ref="K782:N782"/>
    <mergeCell ref="B746:D746"/>
    <mergeCell ref="L746:N746"/>
    <mergeCell ref="B748:D748"/>
    <mergeCell ref="L748:N748"/>
    <mergeCell ref="B750:D750"/>
    <mergeCell ref="L750:N750"/>
    <mergeCell ref="B754:D754"/>
    <mergeCell ref="L754:N754"/>
    <mergeCell ref="F758:I758"/>
    <mergeCell ref="A734:D735"/>
    <mergeCell ref="K734:N735"/>
    <mergeCell ref="A737:D737"/>
    <mergeCell ref="K737:N737"/>
    <mergeCell ref="A739:D739"/>
    <mergeCell ref="K739:N739"/>
    <mergeCell ref="B741:D741"/>
    <mergeCell ref="L741:N741"/>
    <mergeCell ref="B743:D744"/>
    <mergeCell ref="L743:N744"/>
    <mergeCell ref="A728:I728"/>
    <mergeCell ref="K728:S728"/>
    <mergeCell ref="A729:I729"/>
    <mergeCell ref="K729:S729"/>
    <mergeCell ref="B703:D703"/>
    <mergeCell ref="L703:N703"/>
    <mergeCell ref="B705:D705"/>
    <mergeCell ref="L705:N705"/>
    <mergeCell ref="B709:D709"/>
    <mergeCell ref="L709:N709"/>
    <mergeCell ref="F713:I713"/>
    <mergeCell ref="P713:S713"/>
    <mergeCell ref="A692:D692"/>
    <mergeCell ref="K692:N692"/>
    <mergeCell ref="A694:D694"/>
    <mergeCell ref="K694:N694"/>
    <mergeCell ref="B696:D696"/>
    <mergeCell ref="L696:N696"/>
    <mergeCell ref="B698:D699"/>
    <mergeCell ref="L698:N699"/>
    <mergeCell ref="B701:D701"/>
    <mergeCell ref="L701:N701"/>
    <mergeCell ref="A683:I683"/>
    <mergeCell ref="K683:S683"/>
    <mergeCell ref="A684:I684"/>
    <mergeCell ref="K684:S684"/>
    <mergeCell ref="A689:D690"/>
    <mergeCell ref="K689:N690"/>
    <mergeCell ref="A334:D334"/>
    <mergeCell ref="K334:N334"/>
    <mergeCell ref="B336:D336"/>
    <mergeCell ref="L336:N336"/>
    <mergeCell ref="A324:I324"/>
    <mergeCell ref="K324:S324"/>
    <mergeCell ref="A329:D330"/>
    <mergeCell ref="K329:N330"/>
    <mergeCell ref="F353:I353"/>
    <mergeCell ref="P353:S353"/>
    <mergeCell ref="B345:D345"/>
    <mergeCell ref="L345:N345"/>
    <mergeCell ref="B349:D349"/>
    <mergeCell ref="L349:N349"/>
    <mergeCell ref="B338:D339"/>
    <mergeCell ref="L338:N339"/>
    <mergeCell ref="B341:D341"/>
    <mergeCell ref="L341:N341"/>
    <mergeCell ref="B343:D343"/>
    <mergeCell ref="L343:N343"/>
    <mergeCell ref="A332:D332"/>
    <mergeCell ref="K332:N332"/>
    <mergeCell ref="B304:D304"/>
    <mergeCell ref="L304:N304"/>
    <mergeCell ref="F308:I308"/>
    <mergeCell ref="P308:S308"/>
    <mergeCell ref="A323:I323"/>
    <mergeCell ref="K323:S323"/>
    <mergeCell ref="B298:D298"/>
    <mergeCell ref="L298:N298"/>
    <mergeCell ref="B300:D300"/>
    <mergeCell ref="L300:N300"/>
    <mergeCell ref="B293:D294"/>
    <mergeCell ref="L293:N294"/>
    <mergeCell ref="B296:D296"/>
    <mergeCell ref="L296:N296"/>
    <mergeCell ref="A284:D285"/>
    <mergeCell ref="K284:N285"/>
    <mergeCell ref="A287:D287"/>
    <mergeCell ref="K287:N287"/>
    <mergeCell ref="A289:D289"/>
    <mergeCell ref="K289:N289"/>
    <mergeCell ref="A278:I278"/>
    <mergeCell ref="K278:S278"/>
    <mergeCell ref="A279:I279"/>
    <mergeCell ref="K279:S279"/>
    <mergeCell ref="B259:D259"/>
    <mergeCell ref="L259:N259"/>
    <mergeCell ref="F263:I263"/>
    <mergeCell ref="P263:S263"/>
    <mergeCell ref="B291:D291"/>
    <mergeCell ref="L291:N291"/>
    <mergeCell ref="B253:D253"/>
    <mergeCell ref="L253:N253"/>
    <mergeCell ref="B255:D255"/>
    <mergeCell ref="L255:N255"/>
    <mergeCell ref="A244:D244"/>
    <mergeCell ref="K244:N244"/>
    <mergeCell ref="B246:D246"/>
    <mergeCell ref="L246:N246"/>
    <mergeCell ref="B248:D249"/>
    <mergeCell ref="L248:N249"/>
    <mergeCell ref="A242:D242"/>
    <mergeCell ref="K242:N242"/>
    <mergeCell ref="F218:I218"/>
    <mergeCell ref="P218:S218"/>
    <mergeCell ref="A233:I233"/>
    <mergeCell ref="K233:S233"/>
    <mergeCell ref="A234:I234"/>
    <mergeCell ref="K234:S234"/>
    <mergeCell ref="B251:D251"/>
    <mergeCell ref="L251:N251"/>
    <mergeCell ref="B214:D214"/>
    <mergeCell ref="L214:N214"/>
    <mergeCell ref="B203:D204"/>
    <mergeCell ref="L203:N204"/>
    <mergeCell ref="B206:D206"/>
    <mergeCell ref="L206:N206"/>
    <mergeCell ref="B208:D208"/>
    <mergeCell ref="L208:N208"/>
    <mergeCell ref="A239:D240"/>
    <mergeCell ref="K239:N240"/>
    <mergeCell ref="A199:D199"/>
    <mergeCell ref="K199:N199"/>
    <mergeCell ref="B201:D201"/>
    <mergeCell ref="L201:N201"/>
    <mergeCell ref="A189:I189"/>
    <mergeCell ref="K189:S189"/>
    <mergeCell ref="A194:D195"/>
    <mergeCell ref="K194:N195"/>
    <mergeCell ref="B210:D210"/>
    <mergeCell ref="L210:N210"/>
    <mergeCell ref="F173:I173"/>
    <mergeCell ref="P173:S173"/>
    <mergeCell ref="A188:I188"/>
    <mergeCell ref="K188:S188"/>
    <mergeCell ref="B163:D163"/>
    <mergeCell ref="L163:N163"/>
    <mergeCell ref="B165:D165"/>
    <mergeCell ref="L165:N165"/>
    <mergeCell ref="A197:D197"/>
    <mergeCell ref="K197:N197"/>
    <mergeCell ref="B161:D161"/>
    <mergeCell ref="L161:N161"/>
    <mergeCell ref="A149:D150"/>
    <mergeCell ref="K149:N150"/>
    <mergeCell ref="A152:D152"/>
    <mergeCell ref="K152:N152"/>
    <mergeCell ref="A154:D154"/>
    <mergeCell ref="K154:N154"/>
    <mergeCell ref="B169:D169"/>
    <mergeCell ref="L169:N169"/>
    <mergeCell ref="F125:I125"/>
    <mergeCell ref="P125:S125"/>
    <mergeCell ref="A143:I143"/>
    <mergeCell ref="K143:S143"/>
    <mergeCell ref="A144:I144"/>
    <mergeCell ref="K144:S144"/>
    <mergeCell ref="B156:D156"/>
    <mergeCell ref="L156:N156"/>
    <mergeCell ref="B158:D159"/>
    <mergeCell ref="L158:N159"/>
    <mergeCell ref="B117:D117"/>
    <mergeCell ref="L117:N117"/>
    <mergeCell ref="B121:D121"/>
    <mergeCell ref="L121:N121"/>
    <mergeCell ref="B110:D111"/>
    <mergeCell ref="L110:N111"/>
    <mergeCell ref="B113:D113"/>
    <mergeCell ref="L113:N113"/>
    <mergeCell ref="B115:D115"/>
    <mergeCell ref="L115:N115"/>
    <mergeCell ref="A104:D104"/>
    <mergeCell ref="K104:N104"/>
    <mergeCell ref="A106:D106"/>
    <mergeCell ref="K106:N106"/>
    <mergeCell ref="B108:D108"/>
    <mergeCell ref="L108:N108"/>
    <mergeCell ref="A96:I96"/>
    <mergeCell ref="K96:S96"/>
    <mergeCell ref="A101:D102"/>
    <mergeCell ref="K101:N102"/>
    <mergeCell ref="B74:D74"/>
    <mergeCell ref="L74:N74"/>
    <mergeCell ref="F78:I78"/>
    <mergeCell ref="P78:S78"/>
    <mergeCell ref="A95:I95"/>
    <mergeCell ref="K95:S95"/>
    <mergeCell ref="B68:D68"/>
    <mergeCell ref="L68:N68"/>
    <mergeCell ref="B70:D70"/>
    <mergeCell ref="L70:N70"/>
    <mergeCell ref="B63:D64"/>
    <mergeCell ref="L63:N64"/>
    <mergeCell ref="B66:D66"/>
    <mergeCell ref="L66:N66"/>
    <mergeCell ref="A54:D55"/>
    <mergeCell ref="K54:N55"/>
    <mergeCell ref="A57:D57"/>
    <mergeCell ref="K57:N57"/>
    <mergeCell ref="A59:D59"/>
    <mergeCell ref="K59:N59"/>
    <mergeCell ref="A48:I48"/>
    <mergeCell ref="K48:S48"/>
    <mergeCell ref="A49:I49"/>
    <mergeCell ref="K49:S49"/>
    <mergeCell ref="B27:D27"/>
    <mergeCell ref="L27:N27"/>
    <mergeCell ref="F31:I31"/>
    <mergeCell ref="P31:S31"/>
    <mergeCell ref="B61:D61"/>
    <mergeCell ref="L61:N61"/>
    <mergeCell ref="B19:D19"/>
    <mergeCell ref="L19:N19"/>
    <mergeCell ref="B21:D21"/>
    <mergeCell ref="L21:N21"/>
    <mergeCell ref="B23:D23"/>
    <mergeCell ref="L23:N23"/>
    <mergeCell ref="A12:D12"/>
    <mergeCell ref="K12:N12"/>
    <mergeCell ref="B14:D14"/>
    <mergeCell ref="L14:N14"/>
    <mergeCell ref="B16:D17"/>
    <mergeCell ref="L16:N17"/>
    <mergeCell ref="A7:D8"/>
    <mergeCell ref="K7:N8"/>
    <mergeCell ref="A10:D10"/>
    <mergeCell ref="K10:N10"/>
    <mergeCell ref="A1:I1"/>
    <mergeCell ref="K1:S1"/>
    <mergeCell ref="A2:I2"/>
    <mergeCell ref="K2:S2"/>
    <mergeCell ref="A368:I368"/>
    <mergeCell ref="K368:S368"/>
    <mergeCell ref="A369:I369"/>
    <mergeCell ref="K369:S369"/>
    <mergeCell ref="A374:D375"/>
    <mergeCell ref="K374:N375"/>
    <mergeCell ref="A377:D377"/>
    <mergeCell ref="K377:N377"/>
    <mergeCell ref="A379:D379"/>
    <mergeCell ref="K379:N379"/>
    <mergeCell ref="B381:D381"/>
    <mergeCell ref="L381:N381"/>
    <mergeCell ref="B383:D384"/>
    <mergeCell ref="L383:N384"/>
    <mergeCell ref="B386:D386"/>
    <mergeCell ref="L386:N386"/>
    <mergeCell ref="B388:D388"/>
    <mergeCell ref="L388:N388"/>
    <mergeCell ref="B390:D390"/>
    <mergeCell ref="L390:N390"/>
    <mergeCell ref="B394:D394"/>
    <mergeCell ref="L394:N394"/>
    <mergeCell ref="F398:I398"/>
    <mergeCell ref="P398:S398"/>
    <mergeCell ref="A413:I413"/>
    <mergeCell ref="K413:S413"/>
    <mergeCell ref="A414:I414"/>
    <mergeCell ref="K414:S414"/>
    <mergeCell ref="A419:D420"/>
    <mergeCell ref="K419:N420"/>
    <mergeCell ref="A422:D422"/>
    <mergeCell ref="K422:N422"/>
    <mergeCell ref="A424:D424"/>
    <mergeCell ref="K424:N424"/>
    <mergeCell ref="B426:D426"/>
    <mergeCell ref="L426:N426"/>
    <mergeCell ref="B428:D429"/>
    <mergeCell ref="L428:N429"/>
    <mergeCell ref="B431:D431"/>
    <mergeCell ref="L431:N431"/>
    <mergeCell ref="B433:D433"/>
    <mergeCell ref="L433:N433"/>
    <mergeCell ref="B435:D435"/>
    <mergeCell ref="L435:N435"/>
    <mergeCell ref="B439:D439"/>
    <mergeCell ref="L439:N439"/>
    <mergeCell ref="F443:I443"/>
    <mergeCell ref="P443:S443"/>
    <mergeCell ref="A458:I458"/>
    <mergeCell ref="K458:S458"/>
    <mergeCell ref="A459:I459"/>
    <mergeCell ref="K459:S459"/>
    <mergeCell ref="A464:D465"/>
    <mergeCell ref="K464:N465"/>
    <mergeCell ref="A467:D467"/>
    <mergeCell ref="K467:N467"/>
    <mergeCell ref="A469:D469"/>
    <mergeCell ref="K469:N469"/>
    <mergeCell ref="B471:D471"/>
    <mergeCell ref="L471:N471"/>
    <mergeCell ref="B473:D474"/>
    <mergeCell ref="L473:N474"/>
    <mergeCell ref="B476:D476"/>
    <mergeCell ref="L476:N476"/>
    <mergeCell ref="B478:D478"/>
    <mergeCell ref="L478:N478"/>
    <mergeCell ref="B480:D480"/>
    <mergeCell ref="L480:N480"/>
    <mergeCell ref="B484:D484"/>
    <mergeCell ref="L484:N484"/>
    <mergeCell ref="F488:I488"/>
    <mergeCell ref="P488:S488"/>
    <mergeCell ref="A503:I503"/>
    <mergeCell ref="K503:S503"/>
    <mergeCell ref="A504:I504"/>
    <mergeCell ref="K504:S504"/>
    <mergeCell ref="A509:D510"/>
    <mergeCell ref="K509:N510"/>
    <mergeCell ref="A512:D512"/>
    <mergeCell ref="K512:N512"/>
    <mergeCell ref="A514:D514"/>
    <mergeCell ref="K514:N514"/>
    <mergeCell ref="B516:D516"/>
    <mergeCell ref="L516:N516"/>
    <mergeCell ref="B518:D519"/>
    <mergeCell ref="L518:N519"/>
    <mergeCell ref="B521:D521"/>
    <mergeCell ref="L521:N521"/>
    <mergeCell ref="B523:D523"/>
    <mergeCell ref="L523:N523"/>
    <mergeCell ref="B525:D525"/>
    <mergeCell ref="L525:N525"/>
    <mergeCell ref="B529:D529"/>
    <mergeCell ref="L529:N529"/>
    <mergeCell ref="F533:I533"/>
    <mergeCell ref="P533:S533"/>
    <mergeCell ref="A548:I548"/>
    <mergeCell ref="K548:S548"/>
    <mergeCell ref="A549:I549"/>
    <mergeCell ref="K549:S549"/>
    <mergeCell ref="A554:D555"/>
    <mergeCell ref="K554:N555"/>
    <mergeCell ref="A557:D557"/>
    <mergeCell ref="K557:N557"/>
    <mergeCell ref="A559:D559"/>
    <mergeCell ref="K559:N559"/>
    <mergeCell ref="B561:D561"/>
    <mergeCell ref="L561:N561"/>
    <mergeCell ref="B563:D564"/>
    <mergeCell ref="L563:N564"/>
    <mergeCell ref="B566:D566"/>
    <mergeCell ref="L566:N566"/>
    <mergeCell ref="B568:D568"/>
    <mergeCell ref="L568:N568"/>
    <mergeCell ref="B570:D570"/>
    <mergeCell ref="L570:N570"/>
    <mergeCell ref="B574:D574"/>
    <mergeCell ref="L574:N574"/>
    <mergeCell ref="F578:I578"/>
    <mergeCell ref="P578:S578"/>
    <mergeCell ref="A593:I593"/>
    <mergeCell ref="K593:S593"/>
    <mergeCell ref="A594:I594"/>
    <mergeCell ref="K594:S594"/>
    <mergeCell ref="A599:D600"/>
    <mergeCell ref="K599:N600"/>
    <mergeCell ref="A602:D602"/>
    <mergeCell ref="K602:N602"/>
    <mergeCell ref="A604:D604"/>
    <mergeCell ref="K604:N604"/>
    <mergeCell ref="B606:D606"/>
    <mergeCell ref="L606:N606"/>
    <mergeCell ref="B608:D609"/>
    <mergeCell ref="L608:N609"/>
    <mergeCell ref="B611:D611"/>
    <mergeCell ref="L611:N611"/>
    <mergeCell ref="B613:D613"/>
    <mergeCell ref="L613:N613"/>
    <mergeCell ref="B615:D615"/>
    <mergeCell ref="L615:N615"/>
    <mergeCell ref="B619:D619"/>
    <mergeCell ref="L619:N619"/>
    <mergeCell ref="F623:I623"/>
    <mergeCell ref="P623:S623"/>
    <mergeCell ref="A638:I638"/>
    <mergeCell ref="K638:S638"/>
    <mergeCell ref="A639:I639"/>
    <mergeCell ref="K639:S639"/>
    <mergeCell ref="A644:D645"/>
    <mergeCell ref="K644:N645"/>
    <mergeCell ref="A647:D647"/>
    <mergeCell ref="K647:N647"/>
    <mergeCell ref="A649:D649"/>
    <mergeCell ref="K649:N649"/>
    <mergeCell ref="B651:D651"/>
    <mergeCell ref="L651:N651"/>
    <mergeCell ref="B653:D654"/>
    <mergeCell ref="L653:N654"/>
    <mergeCell ref="P668:S668"/>
    <mergeCell ref="B656:D656"/>
    <mergeCell ref="L656:N656"/>
    <mergeCell ref="B658:D658"/>
    <mergeCell ref="L658:N658"/>
    <mergeCell ref="B660:D660"/>
    <mergeCell ref="L660:N660"/>
    <mergeCell ref="B664:D664"/>
    <mergeCell ref="L664:N664"/>
    <mergeCell ref="F668:I668"/>
  </mergeCells>
  <pageMargins left="0.48" right="0.46" top="0.75" bottom="0.75" header="0.31" footer="0.3"/>
  <pageSetup scale="70"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40"/>
  <sheetViews>
    <sheetView topLeftCell="C1" workbookViewId="0">
      <selection activeCell="N4" sqref="N4"/>
    </sheetView>
  </sheetViews>
  <sheetFormatPr defaultRowHeight="15"/>
  <cols>
    <col min="1" max="1" width="4.42578125" customWidth="1"/>
    <col min="2" max="2" width="26.7109375" customWidth="1"/>
    <col min="3" max="3" width="19" customWidth="1"/>
    <col min="5" max="5" width="24.140625" customWidth="1"/>
    <col min="6" max="6" width="6.85546875" customWidth="1"/>
    <col min="15" max="15" width="17.85546875" bestFit="1" customWidth="1"/>
    <col min="16" max="16" width="14.7109375" customWidth="1"/>
    <col min="17" max="17" width="24.5703125" bestFit="1" customWidth="1"/>
  </cols>
  <sheetData>
    <row r="1" spans="1:18" ht="18.75">
      <c r="A1" s="1144" t="s">
        <v>136</v>
      </c>
      <c r="B1" s="1144"/>
      <c r="C1" s="1144"/>
      <c r="D1" s="1144"/>
      <c r="E1" s="1144"/>
      <c r="F1" s="1144"/>
      <c r="G1" s="1144"/>
      <c r="H1" s="1144"/>
      <c r="I1" s="1144"/>
      <c r="J1" s="1144"/>
      <c r="K1" s="1144"/>
      <c r="L1" s="1144"/>
      <c r="M1" s="1144"/>
      <c r="N1" s="1144"/>
      <c r="O1" s="1144"/>
      <c r="P1" s="1144"/>
      <c r="Q1" s="101"/>
    </row>
    <row r="2" spans="1:18">
      <c r="A2" s="5"/>
      <c r="B2" s="11"/>
      <c r="E2" s="5"/>
      <c r="F2" s="5"/>
      <c r="G2" s="5"/>
    </row>
    <row r="3" spans="1:18" ht="15.75">
      <c r="A3" s="1145" t="s">
        <v>137</v>
      </c>
      <c r="B3" s="1145"/>
      <c r="C3" s="1145"/>
      <c r="D3" s="1145"/>
      <c r="E3" s="1145"/>
      <c r="F3" s="1145"/>
      <c r="G3" s="1145"/>
      <c r="H3" s="1145"/>
      <c r="I3" s="1145"/>
      <c r="J3" s="1145"/>
      <c r="K3" s="1145"/>
      <c r="L3" s="1145"/>
      <c r="M3" s="1145"/>
      <c r="N3" s="1145"/>
      <c r="O3" s="1145"/>
      <c r="P3" s="1145"/>
      <c r="Q3" s="102"/>
    </row>
    <row r="4" spans="1:18">
      <c r="A4" s="5"/>
      <c r="B4" s="11"/>
      <c r="E4" s="5"/>
      <c r="F4" s="5"/>
      <c r="G4" s="5"/>
      <c r="K4" s="2" t="s">
        <v>386</v>
      </c>
      <c r="L4" s="7">
        <f>'0422Master'!D10</f>
        <v>44652</v>
      </c>
    </row>
    <row r="5" spans="1:18" ht="15.75">
      <c r="A5" s="103" t="s">
        <v>138</v>
      </c>
      <c r="B5" s="104"/>
      <c r="D5" t="str">
        <f>'0422Master'!F5</f>
        <v>Burgeon IT Services Pvt.Ltd.</v>
      </c>
      <c r="E5" s="105"/>
      <c r="F5" s="105"/>
      <c r="G5" s="105"/>
      <c r="H5" s="105"/>
      <c r="I5" s="105"/>
      <c r="J5" s="105"/>
      <c r="K5" s="103" t="s">
        <v>139</v>
      </c>
      <c r="L5" s="105"/>
      <c r="M5" s="105" t="s">
        <v>903</v>
      </c>
      <c r="N5" s="105"/>
      <c r="O5" s="105"/>
      <c r="P5" s="105"/>
      <c r="Q5" s="105"/>
      <c r="R5" s="105"/>
    </row>
    <row r="6" spans="1:18">
      <c r="A6" s="106" t="str">
        <f>'0422Master'!F6</f>
        <v>Siri Mansion LIGB 436 Dr.A S Rao Nagar,Hyderabad</v>
      </c>
      <c r="B6" s="107"/>
      <c r="C6" s="108"/>
      <c r="D6" s="108"/>
      <c r="E6" s="106"/>
      <c r="F6" s="106"/>
      <c r="G6" s="106"/>
      <c r="H6" s="108"/>
      <c r="I6" s="108"/>
      <c r="J6" s="108"/>
      <c r="K6" s="108"/>
      <c r="L6" s="108"/>
      <c r="M6" s="108"/>
      <c r="N6" s="108"/>
      <c r="O6" s="108"/>
      <c r="P6" s="108"/>
      <c r="Q6" s="108"/>
      <c r="R6" s="108"/>
    </row>
    <row r="7" spans="1:18">
      <c r="A7" s="1146" t="s">
        <v>140</v>
      </c>
      <c r="B7" s="1148" t="s">
        <v>141</v>
      </c>
      <c r="C7" s="1148" t="s">
        <v>142</v>
      </c>
      <c r="D7" s="1143" t="s">
        <v>143</v>
      </c>
      <c r="E7" s="1143" t="s">
        <v>144</v>
      </c>
      <c r="F7" s="1143" t="s">
        <v>145</v>
      </c>
      <c r="G7" s="1143" t="s">
        <v>492</v>
      </c>
      <c r="H7" s="1143" t="s">
        <v>146</v>
      </c>
      <c r="I7" s="1149" t="s">
        <v>147</v>
      </c>
      <c r="J7" s="1149"/>
      <c r="K7" s="1149"/>
      <c r="L7" s="1143" t="s">
        <v>148</v>
      </c>
      <c r="M7" s="1143" t="s">
        <v>149</v>
      </c>
      <c r="N7" s="1143" t="s">
        <v>150</v>
      </c>
      <c r="O7" s="1143" t="s">
        <v>151</v>
      </c>
      <c r="P7" s="1143" t="s">
        <v>152</v>
      </c>
      <c r="Q7" s="588"/>
      <c r="R7" s="109"/>
    </row>
    <row r="8" spans="1:18" s="968" customFormat="1" ht="108">
      <c r="A8" s="1147"/>
      <c r="B8" s="1148"/>
      <c r="C8" s="1148"/>
      <c r="D8" s="1143"/>
      <c r="E8" s="1143"/>
      <c r="F8" s="1143"/>
      <c r="G8" s="1143"/>
      <c r="H8" s="1143"/>
      <c r="I8" s="965" t="s">
        <v>153</v>
      </c>
      <c r="J8" s="965" t="s">
        <v>154</v>
      </c>
      <c r="K8" s="965" t="s">
        <v>155</v>
      </c>
      <c r="L8" s="1143"/>
      <c r="M8" s="1143"/>
      <c r="N8" s="1143"/>
      <c r="O8" s="1143"/>
      <c r="P8" s="1143"/>
      <c r="Q8" s="966" t="s">
        <v>156</v>
      </c>
      <c r="R8" s="967"/>
    </row>
    <row r="9" spans="1:18">
      <c r="A9" s="110">
        <v>1</v>
      </c>
      <c r="B9" s="111">
        <v>2</v>
      </c>
      <c r="C9" s="110">
        <v>3</v>
      </c>
      <c r="D9" s="589">
        <v>4</v>
      </c>
      <c r="E9" s="589">
        <v>5</v>
      </c>
      <c r="F9" s="589">
        <v>6</v>
      </c>
      <c r="G9" s="589"/>
      <c r="H9" s="589">
        <v>8</v>
      </c>
      <c r="I9" s="589">
        <v>9</v>
      </c>
      <c r="J9" s="589">
        <v>10</v>
      </c>
      <c r="K9" s="589">
        <v>11</v>
      </c>
      <c r="L9" s="589">
        <v>12</v>
      </c>
      <c r="M9" s="589">
        <v>13</v>
      </c>
      <c r="N9" s="589">
        <v>14</v>
      </c>
      <c r="O9" s="589">
        <v>15</v>
      </c>
      <c r="P9" s="589">
        <v>16</v>
      </c>
      <c r="Q9" s="589"/>
      <c r="R9" s="5"/>
    </row>
    <row r="10" spans="1:18" s="330" customFormat="1" ht="32.25" customHeight="1">
      <c r="A10" s="514">
        <v>1</v>
      </c>
      <c r="B10" s="300" t="str">
        <f>'0422Master'!B16</f>
        <v>Shaikh Mohammed Sartaj</v>
      </c>
      <c r="C10" s="301" t="str">
        <f>'0422Master'!E16</f>
        <v>Shaikh Mohammad Rafique</v>
      </c>
      <c r="D10" s="590" t="s">
        <v>157</v>
      </c>
      <c r="E10" s="591" t="str">
        <f>'0422Master'!F16</f>
        <v>Network Security Admin</v>
      </c>
      <c r="F10" s="591">
        <f>'0422Master'!W16</f>
        <v>30</v>
      </c>
      <c r="G10" s="591">
        <f>'0422Master'!AM16</f>
        <v>88276.332079999993</v>
      </c>
      <c r="H10" s="591">
        <f>'0422Master'!AI16</f>
        <v>1554.6089999999999</v>
      </c>
      <c r="I10" s="590" t="s">
        <v>37</v>
      </c>
      <c r="J10" s="590" t="s">
        <v>37</v>
      </c>
      <c r="K10" s="590" t="s">
        <v>37</v>
      </c>
      <c r="L10" s="590" t="s">
        <v>37</v>
      </c>
      <c r="M10" s="591">
        <f t="shared" ref="M10" si="0">H10</f>
        <v>1554.6089999999999</v>
      </c>
      <c r="N10" s="591">
        <f t="shared" ref="N10" si="1">H10</f>
        <v>1554.6089999999999</v>
      </c>
      <c r="O10" s="592" t="str">
        <f>'0422Master'!AU16</f>
        <v>05.05.2022</v>
      </c>
      <c r="P10" s="593" t="str">
        <f>'0422Master'!AV16</f>
        <v>HDFC BANK</v>
      </c>
      <c r="Q10" s="594" t="str">
        <f>'0422Master'!AW16</f>
        <v>50100405646907</v>
      </c>
      <c r="R10" s="11"/>
    </row>
    <row r="11" spans="1:18" ht="22.15" customHeight="1">
      <c r="A11" s="514">
        <v>2</v>
      </c>
      <c r="B11" s="300" t="str">
        <f>'0422Master'!B17</f>
        <v>Moin Ahemad Jahur Ahemad Kumarkiri</v>
      </c>
      <c r="C11" s="301" t="str">
        <f>'0422Master'!E17</f>
        <v>Jahur Ahemad Kumarkiri</v>
      </c>
      <c r="D11" s="590" t="s">
        <v>157</v>
      </c>
      <c r="E11" s="591" t="str">
        <f>'0422Master'!F17</f>
        <v>Infrastructure Lead</v>
      </c>
      <c r="F11" s="591">
        <f>'0422Master'!W17</f>
        <v>30</v>
      </c>
      <c r="G11" s="591">
        <f>'0422Master'!AM17</f>
        <v>156275.79902000001</v>
      </c>
      <c r="H11" s="591">
        <f>'0422Master'!AI17</f>
        <v>1554.6089999999999</v>
      </c>
      <c r="I11" s="590" t="s">
        <v>37</v>
      </c>
      <c r="J11" s="590" t="s">
        <v>37</v>
      </c>
      <c r="K11" s="590" t="s">
        <v>37</v>
      </c>
      <c r="L11" s="590" t="s">
        <v>37</v>
      </c>
      <c r="M11" s="591">
        <f t="shared" ref="M11:M29" si="2">H11</f>
        <v>1554.6089999999999</v>
      </c>
      <c r="N11" s="591">
        <f t="shared" ref="N11:N29" si="3">H11</f>
        <v>1554.6089999999999</v>
      </c>
      <c r="O11" s="592" t="str">
        <f>'0422Master'!AU17</f>
        <v>05.05.2022</v>
      </c>
      <c r="P11" s="593" t="str">
        <f>'0422Master'!AV17</f>
        <v>HDFC BANK</v>
      </c>
      <c r="Q11" s="594" t="str">
        <f>'0422Master'!AW17</f>
        <v>50100103229547</v>
      </c>
    </row>
    <row r="12" spans="1:18" s="330" customFormat="1" ht="32.25" customHeight="1">
      <c r="A12" s="514">
        <v>3</v>
      </c>
      <c r="B12" s="300" t="str">
        <f>'0422Master'!B18</f>
        <v>Savana Saritha Dora</v>
      </c>
      <c r="C12" s="301" t="str">
        <f>'0422Master'!E18</f>
        <v>Laxman gupta</v>
      </c>
      <c r="D12" s="590" t="s">
        <v>157</v>
      </c>
      <c r="E12" s="591" t="str">
        <f>'0422Master'!F18</f>
        <v xml:space="preserve">ASSISTANT PROJECT MANAGER </v>
      </c>
      <c r="F12" s="591">
        <f>'0422Master'!W18</f>
        <v>30</v>
      </c>
      <c r="G12" s="591">
        <f>'0422Master'!AM18</f>
        <v>61275.702859999998</v>
      </c>
      <c r="H12" s="591">
        <f>'0422Master'!AI18</f>
        <v>1554.6089999999999</v>
      </c>
      <c r="I12" s="590" t="s">
        <v>37</v>
      </c>
      <c r="J12" s="590" t="s">
        <v>37</v>
      </c>
      <c r="K12" s="590" t="s">
        <v>37</v>
      </c>
      <c r="L12" s="590" t="s">
        <v>37</v>
      </c>
      <c r="M12" s="591">
        <f t="shared" si="2"/>
        <v>1554.6089999999999</v>
      </c>
      <c r="N12" s="591">
        <f t="shared" si="3"/>
        <v>1554.6089999999999</v>
      </c>
      <c r="O12" s="592" t="str">
        <f>'0422Master'!AU18</f>
        <v>05.05.2022</v>
      </c>
      <c r="P12" s="593" t="str">
        <f>'0422Master'!AV18</f>
        <v>SBI</v>
      </c>
      <c r="Q12" s="594">
        <f>'0422Master'!AW18</f>
        <v>20101763786</v>
      </c>
      <c r="R12" s="11"/>
    </row>
    <row r="13" spans="1:18" ht="23.45" customHeight="1">
      <c r="A13" s="514">
        <v>4</v>
      </c>
      <c r="B13" s="300" t="str">
        <f>'0422Master'!B19</f>
        <v xml:space="preserve">Mandar Shetty </v>
      </c>
      <c r="C13" s="301" t="str">
        <f>'0422Master'!E19</f>
        <v>Vijay Shetty</v>
      </c>
      <c r="D13" s="590" t="s">
        <v>157</v>
      </c>
      <c r="E13" s="591" t="str">
        <f>'0422Master'!F19</f>
        <v>Project Manager</v>
      </c>
      <c r="F13" s="591">
        <f>'0422Master'!W19</f>
        <v>30</v>
      </c>
      <c r="G13" s="591">
        <f>'0422Master'!AM19</f>
        <v>114275.77922</v>
      </c>
      <c r="H13" s="591">
        <f>'0422Master'!AI19</f>
        <v>1554.6089999999999</v>
      </c>
      <c r="I13" s="590" t="s">
        <v>37</v>
      </c>
      <c r="J13" s="590" t="s">
        <v>37</v>
      </c>
      <c r="K13" s="590" t="s">
        <v>37</v>
      </c>
      <c r="L13" s="590" t="s">
        <v>37</v>
      </c>
      <c r="M13" s="591">
        <f t="shared" si="2"/>
        <v>1554.6089999999999</v>
      </c>
      <c r="N13" s="591">
        <f t="shared" si="3"/>
        <v>1554.6089999999999</v>
      </c>
      <c r="O13" s="592" t="str">
        <f>'0422Master'!AU19</f>
        <v>05.05.2022</v>
      </c>
      <c r="P13" s="593" t="str">
        <f>'0422Master'!AV19</f>
        <v>Axis Bank</v>
      </c>
      <c r="Q13" s="594" t="str">
        <f>'0422Master'!AW19</f>
        <v>910010033970009</v>
      </c>
    </row>
    <row r="14" spans="1:18" s="330" customFormat="1" ht="23.45" customHeight="1">
      <c r="A14" s="514">
        <v>5</v>
      </c>
      <c r="B14" s="300" t="str">
        <f>'0422Master'!B20</f>
        <v xml:space="preserve">Vivek Dongre </v>
      </c>
      <c r="C14" s="301" t="str">
        <f>'0422Master'!E20</f>
        <v>Purushottam Dongre</v>
      </c>
      <c r="D14" s="590" t="s">
        <v>157</v>
      </c>
      <c r="E14" s="591" t="str">
        <f>'0422Master'!F20</f>
        <v>Project Manager</v>
      </c>
      <c r="F14" s="591">
        <f>'0422Master'!W20</f>
        <v>30</v>
      </c>
      <c r="G14" s="591">
        <f>'0422Master'!AM20</f>
        <v>73275.862639999992</v>
      </c>
      <c r="H14" s="591">
        <f>'0422Master'!AI20</f>
        <v>1554.6089999999999</v>
      </c>
      <c r="I14" s="590" t="s">
        <v>37</v>
      </c>
      <c r="J14" s="590" t="s">
        <v>37</v>
      </c>
      <c r="K14" s="590" t="s">
        <v>37</v>
      </c>
      <c r="L14" s="590" t="s">
        <v>37</v>
      </c>
      <c r="M14" s="591">
        <f t="shared" si="2"/>
        <v>1554.6089999999999</v>
      </c>
      <c r="N14" s="591">
        <f t="shared" si="3"/>
        <v>1554.6089999999999</v>
      </c>
      <c r="O14" s="592" t="str">
        <f>'0422Master'!AU20</f>
        <v>05.05.2022</v>
      </c>
      <c r="P14" s="593" t="str">
        <f>'0422Master'!AV20</f>
        <v>CITI Bank</v>
      </c>
      <c r="Q14" s="594" t="str">
        <f>'0422Master'!AW20</f>
        <v>5297131705</v>
      </c>
    </row>
    <row r="15" spans="1:18" s="330" customFormat="1" ht="23.45" customHeight="1">
      <c r="A15" s="514">
        <v>6</v>
      </c>
      <c r="B15" s="300" t="str">
        <f>'0422Master'!B21</f>
        <v>Amit Chawadi</v>
      </c>
      <c r="C15" s="301" t="str">
        <f>'0422Master'!E21</f>
        <v>Veerendra</v>
      </c>
      <c r="D15" s="590" t="s">
        <v>157</v>
      </c>
      <c r="E15" s="591" t="str">
        <f>'0422Master'!F21</f>
        <v>Sr.Software Engineer</v>
      </c>
      <c r="F15" s="591">
        <f>'0422Master'!W21</f>
        <v>30</v>
      </c>
      <c r="G15" s="591">
        <f>'0422Master'!AM21</f>
        <v>88276.332079999993</v>
      </c>
      <c r="H15" s="591">
        <f>'0422Master'!AI21</f>
        <v>1554.6089999999999</v>
      </c>
      <c r="I15" s="590" t="s">
        <v>37</v>
      </c>
      <c r="J15" s="590" t="s">
        <v>37</v>
      </c>
      <c r="K15" s="590" t="s">
        <v>37</v>
      </c>
      <c r="L15" s="590" t="s">
        <v>37</v>
      </c>
      <c r="M15" s="591">
        <f t="shared" si="2"/>
        <v>1554.6089999999999</v>
      </c>
      <c r="N15" s="591">
        <f t="shared" si="3"/>
        <v>1554.6089999999999</v>
      </c>
      <c r="O15" s="592" t="str">
        <f>'0422Master'!AU21</f>
        <v>05.05.2022</v>
      </c>
      <c r="P15" s="593" t="str">
        <f>'0422Master'!AV21</f>
        <v>ICICI Bank</v>
      </c>
      <c r="Q15" s="594" t="str">
        <f>'0422Master'!AW21</f>
        <v>007401540582</v>
      </c>
    </row>
    <row r="16" spans="1:18" s="330" customFormat="1" ht="23.45" customHeight="1">
      <c r="A16" s="514">
        <v>7</v>
      </c>
      <c r="B16" s="300" t="str">
        <f>'0422Master'!B22</f>
        <v>Ashwini Nanaware</v>
      </c>
      <c r="C16" s="301" t="str">
        <f>'0422Master'!E22</f>
        <v>Suresh Sadashiv Male</v>
      </c>
      <c r="D16" s="590" t="s">
        <v>157</v>
      </c>
      <c r="E16" s="591" t="str">
        <f>'0422Master'!F22</f>
        <v>Project Manager</v>
      </c>
      <c r="F16" s="591">
        <f>'0422Master'!W22</f>
        <v>30</v>
      </c>
      <c r="G16" s="591">
        <f>'0422Master'!AM22</f>
        <v>60275.599639999993</v>
      </c>
      <c r="H16" s="591">
        <f>'0422Master'!AI22</f>
        <v>1554.6089999999999</v>
      </c>
      <c r="I16" s="590" t="s">
        <v>37</v>
      </c>
      <c r="J16" s="590" t="s">
        <v>37</v>
      </c>
      <c r="K16" s="590" t="s">
        <v>37</v>
      </c>
      <c r="L16" s="590" t="s">
        <v>37</v>
      </c>
      <c r="M16" s="591">
        <f t="shared" si="2"/>
        <v>1554.6089999999999</v>
      </c>
      <c r="N16" s="591">
        <f t="shared" si="3"/>
        <v>1554.6089999999999</v>
      </c>
      <c r="O16" s="592" t="str">
        <f>'0422Master'!AU22</f>
        <v>05.05.2022</v>
      </c>
      <c r="P16" s="593" t="str">
        <f>'0422Master'!AV22</f>
        <v>HDFC Bank</v>
      </c>
      <c r="Q16" s="594" t="str">
        <f>'0422Master'!AW22</f>
        <v>50100191546051</v>
      </c>
    </row>
    <row r="17" spans="1:17" ht="15.75">
      <c r="A17" s="514">
        <v>8</v>
      </c>
      <c r="B17" s="300" t="str">
        <f>'0422Master'!B23</f>
        <v>Kaushal Sushil Sharma</v>
      </c>
      <c r="C17" s="301" t="str">
        <f>'0422Master'!E23</f>
        <v>Sushil Sharma</v>
      </c>
      <c r="D17" s="590" t="s">
        <v>157</v>
      </c>
      <c r="E17" s="591" t="str">
        <f>'0422Master'!F23</f>
        <v>Network Engineer L2</v>
      </c>
      <c r="F17" s="591">
        <f>'0422Master'!W23</f>
        <v>30</v>
      </c>
      <c r="G17" s="591">
        <f>'0422Master'!AM23</f>
        <v>68276.425400000007</v>
      </c>
      <c r="H17" s="591">
        <f>'0422Master'!AI23</f>
        <v>1554.6089999999999</v>
      </c>
      <c r="I17" s="590" t="s">
        <v>37</v>
      </c>
      <c r="J17" s="590" t="s">
        <v>37</v>
      </c>
      <c r="K17" s="590" t="s">
        <v>37</v>
      </c>
      <c r="L17" s="590" t="s">
        <v>37</v>
      </c>
      <c r="M17" s="591">
        <f t="shared" si="2"/>
        <v>1554.6089999999999</v>
      </c>
      <c r="N17" s="591">
        <f t="shared" si="3"/>
        <v>1554.6089999999999</v>
      </c>
      <c r="O17" s="592" t="str">
        <f>'0422Master'!AU23</f>
        <v>05.05.2022</v>
      </c>
      <c r="P17" s="593" t="str">
        <f>'0422Master'!AV23</f>
        <v>ICICI Bank</v>
      </c>
      <c r="Q17" s="594" t="str">
        <f>'0422Master'!AW23</f>
        <v>001901524778</v>
      </c>
    </row>
    <row r="18" spans="1:17" ht="29.25">
      <c r="A18" s="514">
        <v>9</v>
      </c>
      <c r="B18" s="300" t="str">
        <f>'0422Master'!B24</f>
        <v>Arvind Akhare</v>
      </c>
      <c r="C18" s="301" t="str">
        <f>'0422Master'!E24</f>
        <v>Vasanth Rao Ramkishan Akhare</v>
      </c>
      <c r="D18" s="590" t="s">
        <v>157</v>
      </c>
      <c r="E18" s="591" t="str">
        <f>'0422Master'!F24</f>
        <v>Project Manager</v>
      </c>
      <c r="F18" s="591">
        <f>'0422Master'!W24</f>
        <v>28</v>
      </c>
      <c r="G18" s="591">
        <f>'0422Master'!AM24</f>
        <v>87168.558631999986</v>
      </c>
      <c r="H18" s="591">
        <f>'0422Master'!AI24</f>
        <v>1554.6089999999999</v>
      </c>
      <c r="I18" s="590" t="s">
        <v>37</v>
      </c>
      <c r="J18" s="590" t="s">
        <v>37</v>
      </c>
      <c r="K18" s="590" t="s">
        <v>37</v>
      </c>
      <c r="L18" s="590" t="s">
        <v>37</v>
      </c>
      <c r="M18" s="591">
        <f t="shared" si="2"/>
        <v>1554.6089999999999</v>
      </c>
      <c r="N18" s="591">
        <f t="shared" si="3"/>
        <v>1554.6089999999999</v>
      </c>
      <c r="O18" s="592" t="str">
        <f>'0422Master'!AU24</f>
        <v>05.05.2022</v>
      </c>
      <c r="P18" s="593" t="str">
        <f>'0422Master'!AV24</f>
        <v>HDFC Bank</v>
      </c>
      <c r="Q18" s="594" t="str">
        <f>'0422Master'!AW24</f>
        <v>50100150364960</v>
      </c>
    </row>
    <row r="19" spans="1:17" ht="15.75">
      <c r="A19" s="514">
        <v>10</v>
      </c>
      <c r="B19" s="300" t="str">
        <f>'0422Master'!B25</f>
        <v>Pallavi Rishikesh Naik</v>
      </c>
      <c r="C19" s="301" t="str">
        <f>'0422Master'!E25</f>
        <v>Rishikesh Naik</v>
      </c>
      <c r="D19" s="590" t="s">
        <v>157</v>
      </c>
      <c r="E19" s="591" t="str">
        <f>'0422Master'!F25</f>
        <v>Project Manager</v>
      </c>
      <c r="F19" s="591">
        <f>'0422Master'!W25</f>
        <v>30</v>
      </c>
      <c r="G19" s="591">
        <f>'0422Master'!AM25</f>
        <v>78276.37874</v>
      </c>
      <c r="H19" s="591">
        <f>'0422Master'!AI25</f>
        <v>1554.6089999999999</v>
      </c>
      <c r="I19" s="590" t="s">
        <v>37</v>
      </c>
      <c r="J19" s="590" t="s">
        <v>37</v>
      </c>
      <c r="K19" s="590" t="s">
        <v>37</v>
      </c>
      <c r="L19" s="590" t="s">
        <v>37</v>
      </c>
      <c r="M19" s="591">
        <f t="shared" si="2"/>
        <v>1554.6089999999999</v>
      </c>
      <c r="N19" s="591">
        <f t="shared" si="3"/>
        <v>1554.6089999999999</v>
      </c>
      <c r="O19" s="592" t="str">
        <f>'0422Master'!AU25</f>
        <v>05.05.2022</v>
      </c>
      <c r="P19" s="593" t="str">
        <f>'0422Master'!AV25</f>
        <v>CITI Bank</v>
      </c>
      <c r="Q19" s="594" t="str">
        <f>'0422Master'!AW25</f>
        <v>5696586708</v>
      </c>
    </row>
    <row r="20" spans="1:17" ht="15.75">
      <c r="A20" s="514">
        <v>11</v>
      </c>
      <c r="B20" s="300" t="str">
        <f>'0422Master'!B26</f>
        <v>Amit Kumar</v>
      </c>
      <c r="C20" s="301" t="str">
        <f>'0422Master'!E26</f>
        <v>Yadram</v>
      </c>
      <c r="D20" s="590" t="s">
        <v>157</v>
      </c>
      <c r="E20" s="591" t="str">
        <f>'0422Master'!F26</f>
        <v>Linux Administrator</v>
      </c>
      <c r="F20" s="591">
        <f>'0422Master'!W26</f>
        <v>30</v>
      </c>
      <c r="G20" s="591">
        <f>'0422Master'!AM26</f>
        <v>103275.72266</v>
      </c>
      <c r="H20" s="591">
        <f>'0422Master'!AI26</f>
        <v>1554.6089999999999</v>
      </c>
      <c r="I20" s="590" t="s">
        <v>37</v>
      </c>
      <c r="J20" s="590" t="s">
        <v>37</v>
      </c>
      <c r="K20" s="590" t="s">
        <v>37</v>
      </c>
      <c r="L20" s="590" t="s">
        <v>37</v>
      </c>
      <c r="M20" s="591">
        <f t="shared" si="2"/>
        <v>1554.6089999999999</v>
      </c>
      <c r="N20" s="591">
        <f t="shared" si="3"/>
        <v>1554.6089999999999</v>
      </c>
      <c r="O20" s="592" t="str">
        <f>'0422Master'!AU26</f>
        <v>05.05.2022</v>
      </c>
      <c r="P20" s="593" t="str">
        <f>'0422Master'!AV26</f>
        <v>HDFC Bank</v>
      </c>
      <c r="Q20" s="594" t="str">
        <f>'0422Master'!AW26</f>
        <v>05121140023169</v>
      </c>
    </row>
    <row r="21" spans="1:17" ht="29.25">
      <c r="A21" s="514">
        <v>12</v>
      </c>
      <c r="B21" s="300" t="str">
        <f>'0422Master'!B27</f>
        <v>Pranav Thakare</v>
      </c>
      <c r="C21" s="301" t="str">
        <f>'0422Master'!E27</f>
        <v>Pramod Motiram Thakare</v>
      </c>
      <c r="D21" s="590" t="s">
        <v>157</v>
      </c>
      <c r="E21" s="591" t="str">
        <f>'0422Master'!F27</f>
        <v>Project Manager</v>
      </c>
      <c r="F21" s="591">
        <f>'0422Master'!W27</f>
        <v>27</v>
      </c>
      <c r="G21" s="591">
        <f>'0422Master'!AM27</f>
        <v>75114.995281999989</v>
      </c>
      <c r="H21" s="591">
        <f>'0422Master'!AI27</f>
        <v>1554.6089999999999</v>
      </c>
      <c r="I21" s="590" t="s">
        <v>37</v>
      </c>
      <c r="J21" s="590" t="s">
        <v>37</v>
      </c>
      <c r="K21" s="590" t="s">
        <v>37</v>
      </c>
      <c r="L21" s="590" t="s">
        <v>37</v>
      </c>
      <c r="M21" s="591">
        <f t="shared" si="2"/>
        <v>1554.6089999999999</v>
      </c>
      <c r="N21" s="591">
        <f t="shared" si="3"/>
        <v>1554.6089999999999</v>
      </c>
      <c r="O21" s="592" t="str">
        <f>'0422Master'!AU27</f>
        <v>05.05.2022</v>
      </c>
      <c r="P21" s="593" t="str">
        <f>'0422Master'!AV27</f>
        <v xml:space="preserve">ICICI BANK </v>
      </c>
      <c r="Q21" s="594" t="str">
        <f>'0422Master'!AW27</f>
        <v>056601532765</v>
      </c>
    </row>
    <row r="22" spans="1:17" ht="15.75">
      <c r="A22" s="514">
        <v>13</v>
      </c>
      <c r="B22" s="300" t="str">
        <f>'0422Master'!B28</f>
        <v>Asita Kumar Sahoo</v>
      </c>
      <c r="C22" s="301" t="str">
        <f>'0422Master'!E28</f>
        <v>Dambarudar Sahoo</v>
      </c>
      <c r="D22" s="590" t="s">
        <v>157</v>
      </c>
      <c r="E22" s="591" t="str">
        <f>'0422Master'!F28</f>
        <v>Network Admin</v>
      </c>
      <c r="F22" s="591">
        <f>'0422Master'!W28</f>
        <v>30</v>
      </c>
      <c r="G22" s="591">
        <f>'0422Master'!AM28</f>
        <v>58276.47206</v>
      </c>
      <c r="H22" s="591">
        <f>'0422Master'!AI28</f>
        <v>1554.6089999999999</v>
      </c>
      <c r="I22" s="590" t="s">
        <v>37</v>
      </c>
      <c r="J22" s="590" t="s">
        <v>37</v>
      </c>
      <c r="K22" s="590" t="s">
        <v>37</v>
      </c>
      <c r="L22" s="590" t="s">
        <v>37</v>
      </c>
      <c r="M22" s="591">
        <f t="shared" si="2"/>
        <v>1554.6089999999999</v>
      </c>
      <c r="N22" s="591">
        <f t="shared" si="3"/>
        <v>1554.6089999999999</v>
      </c>
      <c r="O22" s="592" t="str">
        <f>'0422Master'!AU28</f>
        <v>05.05.2022</v>
      </c>
      <c r="P22" s="593" t="str">
        <f>'0422Master'!AV28</f>
        <v xml:space="preserve">ICICI BANK </v>
      </c>
      <c r="Q22" s="594" t="str">
        <f>'0422Master'!AW28</f>
        <v>056601532765</v>
      </c>
    </row>
    <row r="23" spans="1:17" ht="15.75">
      <c r="A23" s="514">
        <v>14</v>
      </c>
      <c r="B23" s="300" t="str">
        <f>'0422Master'!B29</f>
        <v>Arun Arra</v>
      </c>
      <c r="C23" s="301" t="str">
        <f>'0422Master'!E29</f>
        <v>Anjam Raju</v>
      </c>
      <c r="D23" s="590" t="s">
        <v>157</v>
      </c>
      <c r="E23" s="591" t="str">
        <f>'0422Master'!F29</f>
        <v>SAP Basis consultant</v>
      </c>
      <c r="F23" s="591">
        <f>'0422Master'!W29</f>
        <v>30</v>
      </c>
      <c r="G23" s="591">
        <f>'0422Master'!AM29</f>
        <v>43276.002619999992</v>
      </c>
      <c r="H23" s="591">
        <f>'0422Master'!AI29</f>
        <v>1554.6089999999999</v>
      </c>
      <c r="I23" s="590" t="s">
        <v>37</v>
      </c>
      <c r="J23" s="590" t="s">
        <v>37</v>
      </c>
      <c r="K23" s="590" t="s">
        <v>37</v>
      </c>
      <c r="L23" s="590" t="s">
        <v>37</v>
      </c>
      <c r="M23" s="591">
        <f t="shared" si="2"/>
        <v>1554.6089999999999</v>
      </c>
      <c r="N23" s="591">
        <f t="shared" si="3"/>
        <v>1554.6089999999999</v>
      </c>
      <c r="O23" s="592" t="str">
        <f>'0422Master'!AU29</f>
        <v>05.05.2022</v>
      </c>
      <c r="P23" s="593" t="str">
        <f>'0422Master'!AV29</f>
        <v>SBI</v>
      </c>
      <c r="Q23" s="594" t="str">
        <f>'0422Master'!AW29</f>
        <v xml:space="preserve">A/C No : 32523021338, </v>
      </c>
    </row>
    <row r="24" spans="1:17" ht="29.25">
      <c r="A24" s="514">
        <v>15</v>
      </c>
      <c r="B24" s="300" t="str">
        <f>'0422Master'!B30</f>
        <v>Ramya Nalla</v>
      </c>
      <c r="C24" s="301" t="str">
        <f>'0422Master'!E30</f>
        <v>W/O Chitharanjan Allem</v>
      </c>
      <c r="D24" s="590" t="s">
        <v>157</v>
      </c>
      <c r="E24" s="591" t="str">
        <f>'0422Master'!F30</f>
        <v>SAP Basis consultant</v>
      </c>
      <c r="F24" s="591">
        <f>'0422Master'!W30</f>
        <v>30</v>
      </c>
      <c r="G24" s="591">
        <f>'0422Master'!AM30</f>
        <v>43276.002619999992</v>
      </c>
      <c r="H24" s="591">
        <f>'0422Master'!AI30</f>
        <v>1554.6089999999999</v>
      </c>
      <c r="I24" s="590" t="s">
        <v>37</v>
      </c>
      <c r="J24" s="590" t="s">
        <v>37</v>
      </c>
      <c r="K24" s="590" t="s">
        <v>37</v>
      </c>
      <c r="L24" s="590" t="s">
        <v>37</v>
      </c>
      <c r="M24" s="591">
        <f t="shared" si="2"/>
        <v>1554.6089999999999</v>
      </c>
      <c r="N24" s="591">
        <f t="shared" si="3"/>
        <v>1554.6089999999999</v>
      </c>
      <c r="O24" s="592" t="str">
        <f>'0422Master'!AU30</f>
        <v>05.05.2022</v>
      </c>
      <c r="P24" s="593" t="str">
        <f>'0422Master'!AV30</f>
        <v>SBI</v>
      </c>
      <c r="Q24" s="594" t="str">
        <f>'0422Master'!AW30</f>
        <v>A/C no: 37660478448</v>
      </c>
    </row>
    <row r="25" spans="1:17" ht="24" customHeight="1">
      <c r="A25" s="514">
        <v>16</v>
      </c>
      <c r="B25" s="300" t="str">
        <f>'0422Master'!B31</f>
        <v>Uma  Mahesh P</v>
      </c>
      <c r="C25" s="301" t="str">
        <f>'0422Master'!E31</f>
        <v>PENTAKOTA LAKSHI</v>
      </c>
      <c r="D25" s="590" t="s">
        <v>157</v>
      </c>
      <c r="E25" s="591" t="str">
        <f>'0422Master'!F31</f>
        <v>SAP Basis consultant</v>
      </c>
      <c r="F25" s="591">
        <f>'0422Master'!W31</f>
        <v>29</v>
      </c>
      <c r="G25" s="591">
        <f>'0422Master'!AM31</f>
        <v>41889.056165999995</v>
      </c>
      <c r="H25" s="591">
        <f>'0422Master'!AI31</f>
        <v>1554.6089999999999</v>
      </c>
      <c r="I25" s="590" t="s">
        <v>37</v>
      </c>
      <c r="J25" s="590" t="s">
        <v>37</v>
      </c>
      <c r="K25" s="590" t="s">
        <v>37</v>
      </c>
      <c r="L25" s="590" t="s">
        <v>37</v>
      </c>
      <c r="M25" s="591">
        <f t="shared" si="2"/>
        <v>1554.6089999999999</v>
      </c>
      <c r="N25" s="591">
        <f t="shared" si="3"/>
        <v>1554.6089999999999</v>
      </c>
      <c r="O25" s="592" t="str">
        <f>'0422Master'!AU31</f>
        <v>05.05.2022</v>
      </c>
      <c r="P25" s="593" t="str">
        <f>'0422Master'!AV31</f>
        <v>HDFC BANK</v>
      </c>
      <c r="Q25" s="594" t="str">
        <f>'0422Master'!AW31</f>
        <v>A/C NO 50100444213458</v>
      </c>
    </row>
    <row r="26" spans="1:17" ht="15.75">
      <c r="A26" s="514">
        <v>17</v>
      </c>
      <c r="B26" s="300" t="str">
        <f>'0422Master'!B32</f>
        <v>NAGA SAI TEJA NUTHI</v>
      </c>
      <c r="C26" s="301" t="str">
        <f>'0422Master'!E32</f>
        <v>G seshaiah</v>
      </c>
      <c r="D26" s="590" t="s">
        <v>157</v>
      </c>
      <c r="E26" s="591" t="str">
        <f>'0422Master'!F32</f>
        <v>SAP Basis consultant</v>
      </c>
      <c r="F26" s="591">
        <f>'0422Master'!W32</f>
        <v>27</v>
      </c>
      <c r="G26" s="591">
        <f>'0422Master'!AM32</f>
        <v>43615.627747999999</v>
      </c>
      <c r="H26" s="591">
        <f>'0422Master'!AI32</f>
        <v>1554.6089999999999</v>
      </c>
      <c r="I26" s="590" t="s">
        <v>37</v>
      </c>
      <c r="J26" s="590" t="s">
        <v>37</v>
      </c>
      <c r="K26" s="590" t="s">
        <v>37</v>
      </c>
      <c r="L26" s="590" t="s">
        <v>37</v>
      </c>
      <c r="M26" s="591">
        <f t="shared" si="2"/>
        <v>1554.6089999999999</v>
      </c>
      <c r="N26" s="591">
        <f t="shared" si="3"/>
        <v>1554.6089999999999</v>
      </c>
      <c r="O26" s="592" t="str">
        <f>'0422Master'!AU32</f>
        <v>05.05.2022</v>
      </c>
      <c r="P26" s="593" t="str">
        <f>'0422Master'!AV32</f>
        <v>SBI</v>
      </c>
      <c r="Q26" s="594" t="str">
        <f>'0422Master'!AW32</f>
        <v>A/C NO 20297714176</v>
      </c>
    </row>
    <row r="27" spans="1:17" ht="15.75">
      <c r="A27" s="514">
        <v>18</v>
      </c>
      <c r="B27" s="300" t="str">
        <f>'0422Master'!B33</f>
        <v>Mani Krishna Nandineedi</v>
      </c>
      <c r="C27" s="301" t="str">
        <f>'0422Master'!E33</f>
        <v>N Srinivasu</v>
      </c>
      <c r="D27" s="590" t="s">
        <v>157</v>
      </c>
      <c r="E27" s="591" t="str">
        <f>'0422Master'!F33</f>
        <v>SAP Basis consultant</v>
      </c>
      <c r="F27" s="591">
        <f>'0422Master'!W33</f>
        <v>30</v>
      </c>
      <c r="G27" s="591">
        <f>'0422Master'!AM33</f>
        <v>43276.002619999992</v>
      </c>
      <c r="H27" s="591">
        <f>'0422Master'!AI33</f>
        <v>1554.6089999999999</v>
      </c>
      <c r="I27" s="590" t="s">
        <v>37</v>
      </c>
      <c r="J27" s="590" t="s">
        <v>37</v>
      </c>
      <c r="K27" s="590" t="s">
        <v>37</v>
      </c>
      <c r="L27" s="590" t="s">
        <v>37</v>
      </c>
      <c r="M27" s="591">
        <f t="shared" si="2"/>
        <v>1554.6089999999999</v>
      </c>
      <c r="N27" s="591">
        <f t="shared" si="3"/>
        <v>1554.6089999999999</v>
      </c>
      <c r="O27" s="592" t="str">
        <f>'0422Master'!AU33</f>
        <v>05.05.2022</v>
      </c>
      <c r="P27" s="593" t="str">
        <f>'0422Master'!AV33</f>
        <v>HDFC BANK</v>
      </c>
      <c r="Q27" s="594" t="str">
        <f>'0422Master'!AW33</f>
        <v>A/C NO 50100360114888</v>
      </c>
    </row>
    <row r="28" spans="1:17" ht="15.75">
      <c r="A28" s="514">
        <v>19</v>
      </c>
      <c r="B28" s="300" t="str">
        <f>'0422Master'!B34</f>
        <v>Sushma P</v>
      </c>
      <c r="C28" s="301" t="str">
        <f>'0422Master'!E34</f>
        <v>Veeraswamy</v>
      </c>
      <c r="D28" s="590" t="s">
        <v>157</v>
      </c>
      <c r="E28" s="591" t="str">
        <f>'0422Master'!F34</f>
        <v>SAP Basis consultant</v>
      </c>
      <c r="F28" s="591">
        <f>'0422Master'!W34</f>
        <v>30</v>
      </c>
      <c r="G28" s="591">
        <f>'0422Master'!AM34</f>
        <v>43276.002619999992</v>
      </c>
      <c r="H28" s="591">
        <f>'0422Master'!AI34</f>
        <v>1554.6089999999999</v>
      </c>
      <c r="I28" s="590" t="s">
        <v>37</v>
      </c>
      <c r="J28" s="590" t="s">
        <v>37</v>
      </c>
      <c r="K28" s="590" t="s">
        <v>37</v>
      </c>
      <c r="L28" s="590" t="s">
        <v>37</v>
      </c>
      <c r="M28" s="591">
        <f t="shared" si="2"/>
        <v>1554.6089999999999</v>
      </c>
      <c r="N28" s="591">
        <f t="shared" si="3"/>
        <v>1554.6089999999999</v>
      </c>
      <c r="O28" s="592" t="str">
        <f>'0422Master'!AU34</f>
        <v>05.05.2022</v>
      </c>
      <c r="P28" s="593" t="str">
        <f>'0422Master'!AV34</f>
        <v>SBI</v>
      </c>
      <c r="Q28" s="594" t="str">
        <f>'0422Master'!AW34</f>
        <v>A/C NO 62111073370</v>
      </c>
    </row>
    <row r="29" spans="1:17" s="330" customFormat="1" ht="23.45" customHeight="1">
      <c r="A29" s="514">
        <v>20</v>
      </c>
      <c r="B29" s="300" t="str">
        <f>'0422Master'!B35</f>
        <v>susheelKumar Gandla</v>
      </c>
      <c r="C29" s="301" t="str">
        <f>'0422Master'!E35</f>
        <v>Narayana Gandla</v>
      </c>
      <c r="D29" s="590" t="s">
        <v>157</v>
      </c>
      <c r="E29" s="591" t="str">
        <f>'0422Master'!F35</f>
        <v>Sr.Software Engineer</v>
      </c>
      <c r="F29" s="591">
        <f>'0422Master'!W35</f>
        <v>30</v>
      </c>
      <c r="G29" s="591">
        <f>'0422Master'!AM35</f>
        <v>88276.332079999993</v>
      </c>
      <c r="H29" s="591">
        <f>'0422Master'!AI35</f>
        <v>1554.6089999999999</v>
      </c>
      <c r="I29" s="590" t="s">
        <v>37</v>
      </c>
      <c r="J29" s="590" t="s">
        <v>37</v>
      </c>
      <c r="K29" s="590" t="s">
        <v>37</v>
      </c>
      <c r="L29" s="590" t="s">
        <v>37</v>
      </c>
      <c r="M29" s="591">
        <f t="shared" si="2"/>
        <v>1554.6089999999999</v>
      </c>
      <c r="N29" s="591">
        <f t="shared" si="3"/>
        <v>1554.6089999999999</v>
      </c>
      <c r="O29" s="592" t="str">
        <f>'0422Master'!AU35</f>
        <v>05.05.2022</v>
      </c>
      <c r="P29" s="593" t="str">
        <f>'0422Master'!AV35</f>
        <v>ICICI BANK</v>
      </c>
      <c r="Q29" s="594" t="str">
        <f>'0422Master'!AW35</f>
        <v>A/C NO 007601548378</v>
      </c>
    </row>
    <row r="30" spans="1:17" s="330" customFormat="1" ht="15.75">
      <c r="B30" s="800"/>
      <c r="C30" s="801"/>
      <c r="D30" s="802"/>
      <c r="E30" s="803"/>
      <c r="F30" s="803"/>
      <c r="G30" s="803"/>
      <c r="H30" s="803"/>
      <c r="I30" s="802"/>
      <c r="J30" s="802"/>
      <c r="K30" s="802"/>
      <c r="L30" s="802"/>
      <c r="M30" s="803"/>
      <c r="N30" s="803"/>
      <c r="O30" s="804"/>
      <c r="P30" s="800"/>
      <c r="Q30" s="805"/>
    </row>
    <row r="31" spans="1:17" s="330" customFormat="1" ht="15.75">
      <c r="B31" s="800"/>
      <c r="C31" s="801"/>
      <c r="D31" s="802"/>
      <c r="E31" s="803"/>
      <c r="F31" s="803"/>
      <c r="G31" s="803"/>
      <c r="H31" s="803"/>
      <c r="I31" s="802"/>
      <c r="J31" s="802"/>
      <c r="K31" s="802"/>
      <c r="L31" s="802"/>
      <c r="M31" s="803"/>
      <c r="N31" s="803"/>
      <c r="O31" s="804"/>
      <c r="P31" s="800"/>
      <c r="Q31" s="805"/>
    </row>
    <row r="40" spans="11:11">
      <c r="K40" t="s">
        <v>38</v>
      </c>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55" orientation="landscape"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K56"/>
  <sheetViews>
    <sheetView topLeftCell="A10" workbookViewId="0">
      <selection activeCell="G9" sqref="G9:J9"/>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73"/>
      <c r="B4" s="1117" t="s">
        <v>346</v>
      </c>
      <c r="C4" s="1117"/>
      <c r="D4" s="1117"/>
      <c r="E4" s="1117"/>
      <c r="F4" s="1117"/>
      <c r="G4" s="1117"/>
      <c r="H4" s="1117"/>
      <c r="I4" s="1117"/>
      <c r="J4" s="1117"/>
      <c r="K4" s="75"/>
    </row>
    <row r="5" spans="1:11">
      <c r="A5" s="12"/>
      <c r="B5" s="1152" t="s">
        <v>347</v>
      </c>
      <c r="C5" s="1152"/>
      <c r="D5" s="1152"/>
      <c r="E5" s="1152"/>
      <c r="F5" s="1152"/>
      <c r="G5" s="1152"/>
      <c r="H5" s="1152"/>
      <c r="I5" s="1152"/>
      <c r="J5" s="1152"/>
      <c r="K5" s="13"/>
    </row>
    <row r="6" spans="1:11">
      <c r="A6" s="12"/>
      <c r="B6" s="5"/>
      <c r="C6" s="5"/>
      <c r="D6" s="5"/>
      <c r="E6" s="5"/>
      <c r="F6" s="5"/>
      <c r="G6" s="5"/>
      <c r="H6" s="5"/>
      <c r="I6" s="5"/>
      <c r="J6" s="5"/>
      <c r="K6" s="13"/>
    </row>
    <row r="7" spans="1:11" ht="23.25">
      <c r="A7" s="12"/>
      <c r="B7" s="1153" t="s">
        <v>348</v>
      </c>
      <c r="C7" s="1153"/>
      <c r="D7" s="1153"/>
      <c r="E7" s="1153"/>
      <c r="F7" s="1153"/>
      <c r="G7" s="1153"/>
      <c r="H7" s="1153"/>
      <c r="I7" s="1153"/>
      <c r="J7" s="1153"/>
      <c r="K7" s="13"/>
    </row>
    <row r="8" spans="1:11">
      <c r="A8" s="12"/>
      <c r="B8" s="1152"/>
      <c r="C8" s="1152"/>
      <c r="D8" s="1152"/>
      <c r="E8" s="1152"/>
      <c r="F8" s="1152"/>
      <c r="G8" s="1152"/>
      <c r="H8" s="1152"/>
      <c r="I8" s="1152"/>
      <c r="J8" s="1152"/>
      <c r="K8" s="13"/>
    </row>
    <row r="9" spans="1:11" ht="15.75" thickBot="1">
      <c r="A9" s="12"/>
      <c r="B9" s="1150" t="s">
        <v>161</v>
      </c>
      <c r="C9" s="1150"/>
      <c r="D9" s="1150"/>
      <c r="E9" s="1150"/>
      <c r="F9" s="256"/>
      <c r="G9" s="1151" t="s">
        <v>349</v>
      </c>
      <c r="H9" s="1151"/>
      <c r="I9" s="1151"/>
      <c r="J9" s="1151"/>
      <c r="K9" s="13"/>
    </row>
    <row r="10" spans="1:11">
      <c r="A10" s="12"/>
      <c r="B10" s="73"/>
      <c r="C10" s="74"/>
      <c r="D10" s="74"/>
      <c r="E10" s="75"/>
      <c r="F10" s="5"/>
      <c r="G10" s="73"/>
      <c r="H10" s="74"/>
      <c r="I10" s="74"/>
      <c r="J10" s="75"/>
      <c r="K10" s="13"/>
    </row>
    <row r="11" spans="1:11">
      <c r="A11" s="12"/>
      <c r="B11" s="12" t="str">
        <f>'0422Master'!F5</f>
        <v>Burgeon IT Services Pvt.Ltd.</v>
      </c>
      <c r="E11" s="13"/>
      <c r="F11" s="5"/>
      <c r="G11" s="12" t="str">
        <f>'0422Master'!AP5</f>
        <v>Burgeon IT Services Pvt.Ltd.</v>
      </c>
      <c r="J11" s="13"/>
      <c r="K11" s="13"/>
    </row>
    <row r="12" spans="1:11">
      <c r="A12" s="12"/>
      <c r="B12" s="12"/>
      <c r="E12" s="13"/>
      <c r="F12" s="5"/>
      <c r="G12" s="12"/>
      <c r="J12" s="13"/>
      <c r="K12" s="13"/>
    </row>
    <row r="13" spans="1:11">
      <c r="A13" s="12"/>
      <c r="B13" s="12" t="str">
        <f>'0422Master'!F6</f>
        <v>Siri Mansion LIGB 436 Dr.A S Rao Nagar,Hyderabad</v>
      </c>
      <c r="E13" s="13"/>
      <c r="F13" s="5"/>
      <c r="G13" s="12" t="str">
        <f>'0422Master'!AP6</f>
        <v>Siri Mansion LIGB 436 Dr.A S Rao Nagar,Hyderabad</v>
      </c>
      <c r="J13" s="13"/>
      <c r="K13" s="13"/>
    </row>
    <row r="14" spans="1:11">
      <c r="A14" s="12"/>
      <c r="B14" s="12"/>
      <c r="E14" s="13"/>
      <c r="F14" s="5"/>
      <c r="G14" s="12"/>
      <c r="J14" s="13"/>
      <c r="K14" s="13"/>
    </row>
    <row r="15" spans="1:11" ht="15.75" thickBot="1">
      <c r="A15" s="12"/>
      <c r="B15" s="24"/>
      <c r="C15" s="22"/>
      <c r="D15" s="22"/>
      <c r="E15" s="23"/>
      <c r="F15" s="5"/>
      <c r="G15" s="24"/>
      <c r="H15" s="22"/>
      <c r="I15" s="22"/>
      <c r="J15" s="23"/>
      <c r="K15" s="13"/>
    </row>
    <row r="16" spans="1:11">
      <c r="A16" s="12"/>
      <c r="K16" s="13"/>
    </row>
    <row r="17" spans="1:11" ht="15.75" thickBot="1">
      <c r="A17" s="12"/>
      <c r="B17" s="1150" t="s">
        <v>350</v>
      </c>
      <c r="C17" s="1150"/>
      <c r="D17" s="1150"/>
      <c r="E17" s="1150"/>
      <c r="F17" s="256"/>
      <c r="G17" s="1151" t="s">
        <v>351</v>
      </c>
      <c r="H17" s="1151"/>
      <c r="I17" s="1151"/>
      <c r="J17" s="1151"/>
      <c r="K17" s="13"/>
    </row>
    <row r="18" spans="1:11">
      <c r="A18" s="12"/>
      <c r="B18" s="73"/>
      <c r="C18" s="74"/>
      <c r="D18" s="74"/>
      <c r="E18" s="75"/>
      <c r="F18" s="5"/>
      <c r="G18" s="73"/>
      <c r="H18" s="74"/>
      <c r="I18" s="74"/>
      <c r="J18" s="75"/>
      <c r="K18" s="13"/>
    </row>
    <row r="19" spans="1:11">
      <c r="A19" s="12"/>
      <c r="B19" s="12"/>
      <c r="E19" s="13"/>
      <c r="F19" s="5"/>
      <c r="G19" s="12" t="str">
        <f>'0422Master'!AP10</f>
        <v>INFOSYS  LTD.IL Pune SEZ Unit-II,Plot No. 24/3</v>
      </c>
      <c r="J19" s="13"/>
      <c r="K19" s="13"/>
    </row>
    <row r="20" spans="1:11">
      <c r="A20" s="12"/>
      <c r="B20" s="12"/>
      <c r="E20" s="13"/>
      <c r="F20" s="5"/>
      <c r="G20" s="12"/>
      <c r="J20" s="13"/>
      <c r="K20" s="13"/>
    </row>
    <row r="21" spans="1:11">
      <c r="A21" s="12"/>
      <c r="B21" s="12" t="str">
        <f>'0422Master'!F8</f>
        <v>IT SUPPORTIVE SERVICES&amp; PUNE SEZ UNIT-II</v>
      </c>
      <c r="E21" s="13"/>
      <c r="F21" s="5"/>
      <c r="G21" s="12" t="str">
        <f>'0422Master'!AP11</f>
        <v>Rajiv gandhi Info tech park,Village Mann,Pune,Maharashtra 411057</v>
      </c>
      <c r="J21" s="13"/>
      <c r="K21" s="13"/>
    </row>
    <row r="22" spans="1:11">
      <c r="A22" s="12"/>
      <c r="B22" s="12"/>
      <c r="E22" s="13"/>
      <c r="F22" s="5"/>
      <c r="G22" s="12"/>
      <c r="J22" s="13"/>
      <c r="K22" s="13"/>
    </row>
    <row r="23" spans="1:11" ht="15.75" thickBot="1">
      <c r="A23" s="12"/>
      <c r="B23" s="24"/>
      <c r="C23" s="22"/>
      <c r="D23" s="22"/>
      <c r="E23" s="23"/>
      <c r="F23" s="5"/>
      <c r="G23" s="24"/>
      <c r="H23" s="22"/>
      <c r="I23" s="22"/>
      <c r="J23" s="23"/>
      <c r="K23" s="13"/>
    </row>
    <row r="24" spans="1:11">
      <c r="A24" s="12"/>
      <c r="K24" s="13"/>
    </row>
    <row r="25" spans="1:11">
      <c r="A25" s="12"/>
      <c r="K25" s="13"/>
    </row>
    <row r="26" spans="1:11">
      <c r="A26" s="12"/>
      <c r="B26" s="1154" t="s">
        <v>352</v>
      </c>
      <c r="C26" s="1154"/>
      <c r="D26" s="1154"/>
      <c r="E26" s="1154"/>
      <c r="F26" s="16"/>
      <c r="G26" s="16"/>
      <c r="H26" s="16"/>
      <c r="I26" s="16"/>
      <c r="J26" s="16"/>
      <c r="K26" s="13"/>
    </row>
    <row r="27" spans="1:11">
      <c r="A27" s="12"/>
      <c r="B27" s="257"/>
      <c r="C27" s="257"/>
      <c r="D27" s="257"/>
      <c r="E27" s="257"/>
      <c r="F27" s="63"/>
      <c r="G27" s="63"/>
      <c r="H27" s="63"/>
      <c r="I27" s="63"/>
      <c r="J27" s="63"/>
      <c r="K27" s="13"/>
    </row>
    <row r="28" spans="1:11">
      <c r="A28" s="12"/>
      <c r="B28" s="257"/>
      <c r="C28" s="257"/>
      <c r="D28" s="257"/>
      <c r="E28" s="257"/>
      <c r="F28" s="16"/>
      <c r="G28" s="16"/>
      <c r="H28" s="16"/>
      <c r="I28" s="16"/>
      <c r="J28" s="16"/>
      <c r="K28" s="13"/>
    </row>
    <row r="29" spans="1:11">
      <c r="A29" s="12"/>
      <c r="B29" s="257"/>
      <c r="C29" s="257"/>
      <c r="D29" s="257"/>
      <c r="E29" s="257"/>
      <c r="F29" s="63"/>
      <c r="G29" s="63"/>
      <c r="H29" s="63"/>
      <c r="I29" s="63"/>
      <c r="J29" s="63"/>
      <c r="K29" s="13"/>
    </row>
    <row r="30" spans="1:11">
      <c r="A30" s="12"/>
      <c r="B30" s="257"/>
      <c r="C30" s="257"/>
      <c r="D30" s="257"/>
      <c r="E30" s="257"/>
      <c r="K30" s="13"/>
    </row>
    <row r="31" spans="1:11">
      <c r="A31" s="12"/>
      <c r="B31" s="1154" t="s">
        <v>353</v>
      </c>
      <c r="C31" s="1154"/>
      <c r="D31" s="1154"/>
      <c r="E31" s="1154"/>
      <c r="F31" s="16"/>
      <c r="G31" s="16"/>
      <c r="H31" s="16"/>
      <c r="I31" s="16"/>
      <c r="J31" s="16"/>
      <c r="K31" s="13"/>
    </row>
    <row r="32" spans="1:11">
      <c r="A32" s="12"/>
      <c r="B32" s="257"/>
      <c r="C32" s="257"/>
      <c r="D32" s="257"/>
      <c r="E32" s="257"/>
      <c r="K32" s="13"/>
    </row>
    <row r="33" spans="1:11">
      <c r="A33" s="12"/>
      <c r="B33" s="1154" t="s">
        <v>354</v>
      </c>
      <c r="C33" s="1154"/>
      <c r="D33" s="1154"/>
      <c r="E33" s="1154"/>
      <c r="F33" s="16"/>
      <c r="G33" s="16"/>
      <c r="H33" s="16"/>
      <c r="I33" s="16"/>
      <c r="J33" s="16"/>
      <c r="K33" s="13"/>
    </row>
    <row r="34" spans="1:11">
      <c r="A34" s="12"/>
      <c r="B34" s="257"/>
      <c r="C34" s="257"/>
      <c r="D34" s="257"/>
      <c r="E34" s="257"/>
      <c r="K34" s="13"/>
    </row>
    <row r="35" spans="1:11">
      <c r="A35" s="12"/>
      <c r="B35" s="1154" t="s">
        <v>355</v>
      </c>
      <c r="C35" s="1154"/>
      <c r="D35" s="1154"/>
      <c r="E35" s="1154"/>
      <c r="F35" s="16"/>
      <c r="G35" s="16"/>
      <c r="H35" s="16"/>
      <c r="I35" s="16"/>
      <c r="J35" s="16"/>
      <c r="K35" s="13"/>
    </row>
    <row r="36" spans="1:11">
      <c r="A36" s="12"/>
      <c r="B36" s="257"/>
      <c r="C36" s="257"/>
      <c r="D36" s="257"/>
      <c r="E36" s="257"/>
      <c r="K36" s="13"/>
    </row>
    <row r="37" spans="1:11" ht="15.75" thickBot="1">
      <c r="A37" s="12"/>
      <c r="K37" s="13"/>
    </row>
    <row r="38" spans="1:11">
      <c r="A38" s="12"/>
      <c r="B38" s="1155" t="s">
        <v>356</v>
      </c>
      <c r="C38" s="1157" t="s">
        <v>357</v>
      </c>
      <c r="D38" s="1157"/>
      <c r="E38" s="1157" t="s">
        <v>358</v>
      </c>
      <c r="F38" s="1157"/>
      <c r="G38" s="1157" t="s">
        <v>359</v>
      </c>
      <c r="H38" s="1157"/>
      <c r="I38" s="1157"/>
      <c r="J38" s="1159" t="s">
        <v>40</v>
      </c>
      <c r="K38" s="13"/>
    </row>
    <row r="39" spans="1:11">
      <c r="A39" s="12"/>
      <c r="B39" s="1156"/>
      <c r="C39" s="1158"/>
      <c r="D39" s="1158"/>
      <c r="E39" s="1158"/>
      <c r="F39" s="1158"/>
      <c r="G39" s="1158"/>
      <c r="H39" s="1158"/>
      <c r="I39" s="1158"/>
      <c r="J39" s="1160"/>
      <c r="K39" s="13"/>
    </row>
    <row r="40" spans="1:11">
      <c r="A40" s="12"/>
      <c r="B40" s="1156"/>
      <c r="C40" s="258" t="s">
        <v>360</v>
      </c>
      <c r="D40" s="258" t="s">
        <v>134</v>
      </c>
      <c r="E40" s="1158"/>
      <c r="F40" s="1158"/>
      <c r="G40" s="1158"/>
      <c r="H40" s="1158"/>
      <c r="I40" s="1158"/>
      <c r="J40" s="1160"/>
      <c r="K40" s="13"/>
    </row>
    <row r="41" spans="1:11">
      <c r="A41" s="12"/>
      <c r="B41" s="259">
        <v>1</v>
      </c>
      <c r="C41" s="260">
        <v>2</v>
      </c>
      <c r="D41" s="260">
        <v>3</v>
      </c>
      <c r="E41" s="1161">
        <v>4</v>
      </c>
      <c r="F41" s="1161"/>
      <c r="G41" s="1161">
        <v>5</v>
      </c>
      <c r="H41" s="1161"/>
      <c r="I41" s="1161"/>
      <c r="J41" s="261">
        <v>6</v>
      </c>
      <c r="K41" s="13"/>
    </row>
    <row r="42" spans="1:11">
      <c r="A42" s="12"/>
      <c r="B42" s="260"/>
      <c r="C42" s="260"/>
      <c r="D42" s="260"/>
      <c r="E42" s="1162"/>
      <c r="F42" s="1162"/>
      <c r="G42" s="1162"/>
      <c r="H42" s="1162"/>
      <c r="I42" s="1162"/>
      <c r="J42" s="260"/>
      <c r="K42" s="13"/>
    </row>
    <row r="43" spans="1:11">
      <c r="A43" s="12"/>
      <c r="B43" s="260"/>
      <c r="C43" s="260"/>
      <c r="D43" s="260"/>
      <c r="E43" s="1162"/>
      <c r="F43" s="1162"/>
      <c r="G43" s="1162"/>
      <c r="H43" s="1162"/>
      <c r="I43" s="1162"/>
      <c r="J43" s="260"/>
      <c r="K43" s="13"/>
    </row>
    <row r="44" spans="1:11">
      <c r="A44" s="12"/>
      <c r="B44" s="260"/>
      <c r="C44" s="260"/>
      <c r="D44" s="260"/>
      <c r="E44" s="1162"/>
      <c r="F44" s="1162"/>
      <c r="G44" s="1162"/>
      <c r="H44" s="1162"/>
      <c r="I44" s="1162"/>
      <c r="J44" s="260"/>
      <c r="K44" s="13"/>
    </row>
    <row r="45" spans="1:11">
      <c r="A45" s="12"/>
      <c r="B45" s="10"/>
      <c r="C45" s="10"/>
      <c r="D45" s="10"/>
      <c r="E45" s="1162"/>
      <c r="F45" s="1162"/>
      <c r="G45" s="1162"/>
      <c r="H45" s="1162"/>
      <c r="I45" s="1162"/>
      <c r="J45" s="10"/>
      <c r="K45" s="13"/>
    </row>
    <row r="46" spans="1:11">
      <c r="A46" s="12"/>
      <c r="B46" s="10"/>
      <c r="C46" s="10"/>
      <c r="D46" s="10"/>
      <c r="E46" s="1162"/>
      <c r="F46" s="1162"/>
      <c r="G46" s="1162"/>
      <c r="H46" s="1162"/>
      <c r="I46" s="1162"/>
      <c r="J46" s="10"/>
      <c r="K46" s="13"/>
    </row>
    <row r="47" spans="1:11">
      <c r="A47" s="12"/>
      <c r="B47" s="10"/>
      <c r="C47" s="10"/>
      <c r="D47" s="10"/>
      <c r="E47" s="1162"/>
      <c r="F47" s="1162"/>
      <c r="G47" s="1162"/>
      <c r="H47" s="1162"/>
      <c r="I47" s="1162"/>
      <c r="J47" s="10"/>
      <c r="K47" s="13"/>
    </row>
    <row r="48" spans="1:11">
      <c r="A48" s="12"/>
      <c r="B48" s="10"/>
      <c r="C48" s="10"/>
      <c r="D48" s="10"/>
      <c r="E48" s="1162"/>
      <c r="F48" s="1162"/>
      <c r="G48" s="1162"/>
      <c r="H48" s="1162"/>
      <c r="I48" s="1162"/>
      <c r="J48" s="10"/>
      <c r="K48" s="13"/>
    </row>
    <row r="49" spans="1:11">
      <c r="A49" s="12"/>
      <c r="B49" s="10"/>
      <c r="C49" s="10"/>
      <c r="D49" s="10"/>
      <c r="E49" s="1162"/>
      <c r="F49" s="1162"/>
      <c r="G49" s="1162"/>
      <c r="H49" s="1162"/>
      <c r="I49" s="1162"/>
      <c r="J49" s="10"/>
      <c r="K49" s="13"/>
    </row>
    <row r="50" spans="1:11">
      <c r="A50" s="12"/>
      <c r="B50" s="10"/>
      <c r="C50" s="10"/>
      <c r="D50" s="10"/>
      <c r="E50" s="1162"/>
      <c r="F50" s="1162"/>
      <c r="G50" s="1162"/>
      <c r="H50" s="1162"/>
      <c r="I50" s="1162"/>
      <c r="J50" s="10"/>
      <c r="K50" s="13"/>
    </row>
    <row r="51" spans="1:11">
      <c r="A51" s="12"/>
      <c r="B51" s="10"/>
      <c r="C51" s="10"/>
      <c r="D51" s="10"/>
      <c r="E51" s="1162"/>
      <c r="F51" s="1162"/>
      <c r="G51" s="1162"/>
      <c r="H51" s="1162"/>
      <c r="I51" s="1162"/>
      <c r="J51" s="10"/>
      <c r="K51" s="13"/>
    </row>
    <row r="52" spans="1:11">
      <c r="A52" s="12"/>
      <c r="B52" s="10"/>
      <c r="C52" s="10"/>
      <c r="D52" s="10"/>
      <c r="E52" s="1162"/>
      <c r="F52" s="1162"/>
      <c r="G52" s="1162"/>
      <c r="H52" s="1162"/>
      <c r="I52" s="1162"/>
      <c r="J52" s="10"/>
      <c r="K52" s="13"/>
    </row>
    <row r="53" spans="1:11">
      <c r="A53" s="12"/>
      <c r="K53" s="13"/>
    </row>
    <row r="54" spans="1:11">
      <c r="A54" s="12"/>
      <c r="K54" s="13"/>
    </row>
    <row r="55" spans="1:11" ht="15.75" thickBot="1">
      <c r="A55" s="12"/>
      <c r="H55" s="1110"/>
      <c r="I55" s="1110"/>
      <c r="J55" s="1110"/>
      <c r="K55" s="13"/>
    </row>
    <row r="56" spans="1:11" ht="15.75" thickBot="1">
      <c r="A56" s="24"/>
      <c r="B56" s="22"/>
      <c r="C56" s="22"/>
      <c r="D56" s="22"/>
      <c r="E56" s="22"/>
      <c r="F56" s="22"/>
      <c r="G56" s="22"/>
      <c r="H56" s="262" t="s">
        <v>361</v>
      </c>
      <c r="I56" s="27"/>
      <c r="J56" s="27"/>
      <c r="K56" s="23"/>
    </row>
  </sheetData>
  <mergeCells count="42">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 ref="G46:I46"/>
    <mergeCell ref="E47:F47"/>
    <mergeCell ref="G47:I47"/>
    <mergeCell ref="E48:F48"/>
    <mergeCell ref="G48:I48"/>
    <mergeCell ref="G38:I40"/>
    <mergeCell ref="J38:J40"/>
    <mergeCell ref="E41:F41"/>
    <mergeCell ref="G41:I41"/>
    <mergeCell ref="E45:F45"/>
    <mergeCell ref="G45:I45"/>
    <mergeCell ref="B26:E26"/>
    <mergeCell ref="B31:E31"/>
    <mergeCell ref="B33:E33"/>
    <mergeCell ref="B35:E35"/>
    <mergeCell ref="B38:B40"/>
    <mergeCell ref="C38:D39"/>
    <mergeCell ref="E38:F40"/>
    <mergeCell ref="B17:E17"/>
    <mergeCell ref="G17:J17"/>
    <mergeCell ref="B4:J4"/>
    <mergeCell ref="B5:J5"/>
    <mergeCell ref="B7:J7"/>
    <mergeCell ref="B8:J8"/>
    <mergeCell ref="B9:E9"/>
    <mergeCell ref="G9:J9"/>
  </mergeCells>
  <pageMargins left="0.94488188976377963" right="0.70866141732283472" top="0.74803149606299213" bottom="0.74803149606299213" header="0.31496062992125984" footer="0.31496062992125984"/>
  <pageSetup scale="6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9"/>
  <sheetViews>
    <sheetView workbookViewId="0">
      <selection activeCell="H16" sqref="H16"/>
    </sheetView>
  </sheetViews>
  <sheetFormatPr defaultRowHeight="15"/>
  <cols>
    <col min="1" max="1" width="5.28515625" customWidth="1"/>
    <col min="3" max="3" width="12.5703125" customWidth="1"/>
    <col min="4" max="4" width="44.28515625" customWidth="1"/>
    <col min="13" max="13" width="16.7109375" customWidth="1"/>
  </cols>
  <sheetData>
    <row r="1" spans="1:13">
      <c r="A1" s="1165" t="s">
        <v>486</v>
      </c>
      <c r="B1" s="1165"/>
      <c r="C1" s="1165"/>
      <c r="D1" s="1165"/>
      <c r="E1" s="1165"/>
      <c r="F1" s="1165"/>
      <c r="G1" s="1165"/>
      <c r="H1" s="1165"/>
      <c r="I1" s="1165"/>
      <c r="J1" s="1165"/>
      <c r="K1" s="1165"/>
      <c r="L1" s="1165"/>
      <c r="M1" s="1165"/>
    </row>
    <row r="2" spans="1:13">
      <c r="A2" s="1165"/>
      <c r="B2" s="1165"/>
      <c r="C2" s="1165"/>
      <c r="D2" s="1165"/>
      <c r="E2" s="1165"/>
      <c r="F2" s="1165"/>
      <c r="G2" s="1165"/>
      <c r="H2" s="1165"/>
      <c r="I2" s="1165"/>
      <c r="J2" s="1165"/>
      <c r="K2" s="1165"/>
      <c r="L2" s="1165"/>
      <c r="M2" s="1165"/>
    </row>
    <row r="3" spans="1:13">
      <c r="A3" s="1166" t="s">
        <v>487</v>
      </c>
      <c r="B3" s="1166"/>
      <c r="C3" s="1166"/>
      <c r="D3" s="1166"/>
      <c r="E3" s="1166"/>
      <c r="F3" s="1166"/>
      <c r="G3" s="1166"/>
      <c r="H3" s="1166"/>
      <c r="I3" s="1166"/>
      <c r="J3" s="1166"/>
      <c r="K3" s="1166"/>
      <c r="L3" s="1166"/>
      <c r="M3" s="1166"/>
    </row>
    <row r="4" spans="1:13" ht="15" customHeight="1">
      <c r="A4" s="29" t="s">
        <v>63</v>
      </c>
      <c r="B4" s="30"/>
      <c r="C4" s="30"/>
      <c r="D4" s="31" t="str">
        <f>'0422Master'!F5</f>
        <v>Burgeon IT Services Pvt.Ltd.</v>
      </c>
      <c r="E4" s="65" t="s">
        <v>78</v>
      </c>
      <c r="F4" s="66"/>
      <c r="G4" s="66"/>
      <c r="H4" s="66"/>
      <c r="I4" s="66"/>
      <c r="J4" s="66"/>
      <c r="K4" s="66"/>
      <c r="L4" s="66"/>
      <c r="M4" s="64"/>
    </row>
    <row r="5" spans="1:13">
      <c r="A5" s="32"/>
      <c r="B5" s="33" t="str">
        <f>'0422Master'!F6</f>
        <v>Siri Mansion LIGB 436 Dr.A S Rao Nagar,Hyderabad</v>
      </c>
      <c r="C5" s="33"/>
      <c r="D5" s="34"/>
      <c r="E5" s="47"/>
      <c r="F5" s="63"/>
      <c r="G5" s="63"/>
      <c r="H5" s="63"/>
      <c r="I5" s="63"/>
      <c r="J5" s="63"/>
      <c r="K5" s="63"/>
      <c r="L5" s="63"/>
      <c r="M5" s="64"/>
    </row>
    <row r="6" spans="1:13">
      <c r="A6" s="35"/>
      <c r="B6" s="36">
        <f>'0422Master'!F7</f>
        <v>0</v>
      </c>
      <c r="C6" s="36"/>
      <c r="D6" s="37"/>
      <c r="E6" s="34"/>
      <c r="F6" s="36"/>
      <c r="G6" s="36"/>
      <c r="H6" s="36"/>
      <c r="I6" s="36"/>
      <c r="J6" s="36"/>
      <c r="K6" s="36"/>
      <c r="L6" s="36"/>
      <c r="M6" s="37"/>
    </row>
    <row r="7" spans="1:13">
      <c r="A7" s="38" t="s">
        <v>77</v>
      </c>
      <c r="B7" s="30"/>
      <c r="C7" s="30"/>
      <c r="D7" s="31" t="str">
        <f>'0422Master'!F8</f>
        <v>IT SUPPORTIVE SERVICES&amp; PUNE SEZ UNIT-II</v>
      </c>
      <c r="E7" s="38" t="s">
        <v>64</v>
      </c>
      <c r="F7" s="30"/>
      <c r="G7" s="30"/>
      <c r="H7" s="30"/>
      <c r="I7" s="30"/>
      <c r="J7" s="30"/>
      <c r="K7" s="30"/>
      <c r="L7" s="30"/>
      <c r="M7" s="31"/>
    </row>
    <row r="8" spans="1:13">
      <c r="A8" s="32"/>
      <c r="B8" s="33"/>
      <c r="C8" s="33"/>
      <c r="D8" s="34"/>
      <c r="E8" s="39" t="str">
        <f>'0422Master'!AP10</f>
        <v>INFOSYS  LTD.IL Pune SEZ Unit-II,Plot No. 24/3</v>
      </c>
      <c r="F8" s="33"/>
      <c r="G8" s="33"/>
      <c r="H8" s="33"/>
      <c r="I8" s="33"/>
      <c r="J8" s="33"/>
      <c r="K8" s="33"/>
      <c r="L8" s="33"/>
      <c r="M8" s="34"/>
    </row>
    <row r="9" spans="1:13">
      <c r="A9" s="32"/>
      <c r="B9" s="33"/>
      <c r="C9" s="33"/>
      <c r="D9" s="34"/>
      <c r="E9" s="32" t="str">
        <f>'0422Master'!AP11</f>
        <v>Rajiv gandhi Info tech park,Village Mann,Pune,Maharashtra 411057</v>
      </c>
      <c r="F9" s="33"/>
      <c r="G9" s="33"/>
      <c r="H9" s="33"/>
      <c r="I9" s="33"/>
      <c r="J9" s="33"/>
      <c r="K9" s="33"/>
      <c r="L9" s="33"/>
      <c r="M9" s="34"/>
    </row>
    <row r="10" spans="1:13">
      <c r="A10" s="35"/>
      <c r="B10" s="36"/>
      <c r="C10" s="36"/>
      <c r="D10" s="37"/>
      <c r="E10" s="35"/>
      <c r="F10" s="36"/>
      <c r="G10" s="36"/>
      <c r="H10" s="36"/>
      <c r="I10" s="36"/>
      <c r="J10" s="36"/>
      <c r="K10" s="36"/>
      <c r="L10" s="36"/>
      <c r="M10" s="37"/>
    </row>
    <row r="11" spans="1:13" ht="38.25">
      <c r="A11" s="1164" t="s">
        <v>5</v>
      </c>
      <c r="B11" s="1164" t="s">
        <v>65</v>
      </c>
      <c r="C11" s="40" t="s">
        <v>66</v>
      </c>
      <c r="D11" s="1163" t="s">
        <v>67</v>
      </c>
      <c r="E11" s="1163" t="s">
        <v>68</v>
      </c>
      <c r="F11" s="1163" t="s">
        <v>69</v>
      </c>
      <c r="G11" s="1163" t="s">
        <v>70</v>
      </c>
      <c r="H11" s="1163" t="s">
        <v>71</v>
      </c>
      <c r="I11" s="1163" t="s">
        <v>72</v>
      </c>
      <c r="J11" s="1164" t="s">
        <v>73</v>
      </c>
      <c r="K11" s="1164"/>
      <c r="L11" s="1164"/>
      <c r="M11" s="41" t="s">
        <v>40</v>
      </c>
    </row>
    <row r="12" spans="1:13" ht="38.25">
      <c r="A12" s="1164"/>
      <c r="B12" s="1164"/>
      <c r="C12" s="42"/>
      <c r="D12" s="1163"/>
      <c r="E12" s="1163"/>
      <c r="F12" s="1163"/>
      <c r="G12" s="1163"/>
      <c r="H12" s="1163"/>
      <c r="I12" s="1163"/>
      <c r="J12" s="43" t="s">
        <v>74</v>
      </c>
      <c r="K12" s="43" t="s">
        <v>75</v>
      </c>
      <c r="L12" s="43" t="s">
        <v>76</v>
      </c>
      <c r="M12" s="44"/>
    </row>
    <row r="13" spans="1:13">
      <c r="A13" s="45">
        <v>1</v>
      </c>
      <c r="B13" s="45">
        <v>2</v>
      </c>
      <c r="C13" s="45">
        <v>3</v>
      </c>
      <c r="D13" s="45">
        <v>4</v>
      </c>
      <c r="E13" s="45">
        <v>5</v>
      </c>
      <c r="F13" s="45">
        <v>6</v>
      </c>
      <c r="G13" s="45">
        <v>7</v>
      </c>
      <c r="H13" s="45">
        <v>8</v>
      </c>
      <c r="I13" s="45">
        <v>9</v>
      </c>
      <c r="J13" s="45">
        <v>10</v>
      </c>
      <c r="K13" s="45">
        <v>11</v>
      </c>
      <c r="L13" s="45">
        <v>12</v>
      </c>
      <c r="M13" s="45">
        <v>13</v>
      </c>
    </row>
    <row r="14" spans="1:13">
      <c r="A14" s="46"/>
      <c r="B14" s="46"/>
      <c r="C14" s="46"/>
      <c r="D14" s="46"/>
      <c r="E14" s="46"/>
      <c r="F14" s="46"/>
      <c r="G14" s="46"/>
      <c r="H14" s="46"/>
      <c r="I14" s="46"/>
      <c r="J14" s="46"/>
      <c r="K14" s="46"/>
      <c r="L14" s="46"/>
      <c r="M14" s="46"/>
    </row>
    <row r="15" spans="1:13" ht="15.75" thickBot="1">
      <c r="A15" s="46"/>
      <c r="B15" s="49"/>
      <c r="C15" s="49"/>
      <c r="D15" s="49"/>
      <c r="E15" s="49"/>
      <c r="F15" s="49"/>
      <c r="G15" s="49"/>
      <c r="H15" s="49"/>
      <c r="I15" s="49"/>
      <c r="J15" s="49"/>
      <c r="K15" s="49"/>
      <c r="L15" s="49"/>
      <c r="M15" s="49"/>
    </row>
    <row r="16" spans="1:13" ht="15.75" thickBot="1">
      <c r="A16" s="48"/>
      <c r="B16" s="51" t="s">
        <v>377</v>
      </c>
      <c r="C16" s="338"/>
      <c r="D16" s="338"/>
      <c r="E16" s="338"/>
      <c r="F16" s="338"/>
      <c r="G16" s="339"/>
      <c r="H16" s="340">
        <f>'0422Master'!D10</f>
        <v>44652</v>
      </c>
      <c r="I16" s="46"/>
      <c r="J16" s="46"/>
      <c r="K16" s="46"/>
      <c r="L16" s="46"/>
      <c r="M16" s="46"/>
    </row>
    <row r="17" spans="1:13">
      <c r="A17" s="46"/>
      <c r="B17" s="62"/>
      <c r="C17" s="62"/>
      <c r="D17" s="62"/>
      <c r="E17" s="62"/>
      <c r="F17" s="62"/>
      <c r="G17" s="62"/>
      <c r="H17" s="62"/>
      <c r="I17" s="50"/>
      <c r="J17" s="50"/>
      <c r="K17" s="50"/>
      <c r="L17" s="50"/>
      <c r="M17" s="50"/>
    </row>
    <row r="18" spans="1:13" ht="15.75" thickBot="1">
      <c r="A18" s="46"/>
      <c r="B18" s="341"/>
      <c r="C18" s="341"/>
      <c r="D18" s="341"/>
      <c r="E18" s="341"/>
      <c r="F18" s="341"/>
      <c r="G18" s="341"/>
      <c r="H18" s="341"/>
      <c r="I18" s="46"/>
      <c r="J18" s="46"/>
      <c r="K18" s="46"/>
      <c r="L18" s="46"/>
      <c r="M18" s="46"/>
    </row>
    <row r="19" spans="1:13" ht="15.75" thickBot="1">
      <c r="A19" s="46"/>
      <c r="B19" s="341"/>
      <c r="C19" s="338"/>
      <c r="D19" s="341"/>
      <c r="E19" s="341"/>
      <c r="F19" s="341"/>
      <c r="G19" s="341"/>
      <c r="H19" s="341"/>
      <c r="I19" s="46"/>
      <c r="J19" s="46"/>
      <c r="K19" s="46"/>
      <c r="L19" s="46"/>
      <c r="M19" s="46"/>
    </row>
    <row r="20" spans="1:13">
      <c r="A20" s="46"/>
      <c r="B20" s="342"/>
      <c r="C20" s="341"/>
      <c r="D20" s="341"/>
      <c r="E20" s="341"/>
      <c r="F20" s="341"/>
      <c r="G20" s="341"/>
      <c r="H20" s="341"/>
      <c r="I20" s="46"/>
      <c r="J20" s="46"/>
      <c r="K20" s="46"/>
      <c r="L20" s="46"/>
      <c r="M20" s="46"/>
    </row>
    <row r="21" spans="1:13">
      <c r="A21" s="46"/>
      <c r="B21" s="372"/>
      <c r="C21" s="372"/>
      <c r="D21" s="372"/>
      <c r="E21" s="372"/>
      <c r="F21" s="372"/>
      <c r="G21" s="372"/>
      <c r="H21" s="372"/>
      <c r="I21" s="373"/>
      <c r="J21" s="46"/>
      <c r="K21" s="46"/>
      <c r="L21" s="46"/>
      <c r="M21" s="46"/>
    </row>
    <row r="22" spans="1:13">
      <c r="A22" s="48"/>
      <c r="B22" s="341"/>
      <c r="C22" s="341"/>
      <c r="D22" s="341"/>
      <c r="E22" s="341"/>
      <c r="F22" s="341"/>
      <c r="G22" s="341"/>
      <c r="H22" s="360"/>
      <c r="I22" s="374"/>
      <c r="J22" s="46"/>
      <c r="K22" s="46"/>
      <c r="L22" s="46"/>
      <c r="M22" s="46"/>
    </row>
    <row r="23" spans="1:13">
      <c r="A23" s="48"/>
      <c r="B23" s="341"/>
      <c r="C23" s="341"/>
      <c r="D23" s="341"/>
      <c r="E23" s="341"/>
      <c r="F23" s="341"/>
      <c r="G23" s="341"/>
      <c r="H23" s="341"/>
      <c r="I23" s="374"/>
      <c r="J23" s="46"/>
      <c r="K23" s="46"/>
      <c r="L23" s="46"/>
      <c r="M23" s="46"/>
    </row>
    <row r="24" spans="1:13">
      <c r="A24" s="48"/>
      <c r="B24" s="341"/>
      <c r="C24" s="341"/>
      <c r="D24" s="341"/>
      <c r="E24" s="341"/>
      <c r="F24" s="341"/>
      <c r="G24" s="341"/>
      <c r="H24" s="341"/>
      <c r="I24" s="374"/>
      <c r="J24" s="46"/>
      <c r="K24" s="46"/>
      <c r="L24" s="46"/>
      <c r="M24" s="46"/>
    </row>
    <row r="25" spans="1:13">
      <c r="A25" s="48"/>
      <c r="B25" s="341"/>
      <c r="C25" s="341"/>
      <c r="D25" s="341"/>
      <c r="E25" s="341"/>
      <c r="F25" s="341"/>
      <c r="G25" s="341"/>
      <c r="H25" s="341"/>
      <c r="I25" s="374"/>
      <c r="J25" s="46"/>
      <c r="K25" s="46"/>
      <c r="L25" s="46"/>
      <c r="M25" s="46"/>
    </row>
    <row r="26" spans="1:13">
      <c r="A26" s="48"/>
      <c r="B26" s="341"/>
      <c r="C26" s="341"/>
      <c r="D26" s="341"/>
      <c r="E26" s="341"/>
      <c r="F26" s="341"/>
      <c r="G26" s="341"/>
      <c r="H26" s="341"/>
      <c r="I26" s="374"/>
      <c r="J26" s="46"/>
      <c r="K26" s="46"/>
      <c r="L26" s="46"/>
      <c r="M26" s="46"/>
    </row>
    <row r="27" spans="1:13">
      <c r="A27" s="48"/>
      <c r="B27" s="341"/>
      <c r="C27" s="341"/>
      <c r="D27" s="341"/>
      <c r="E27" s="341"/>
      <c r="F27" s="341"/>
      <c r="G27" s="341"/>
      <c r="H27" s="341"/>
      <c r="I27" s="374"/>
      <c r="J27" s="46"/>
      <c r="K27" s="46"/>
      <c r="L27" s="46"/>
      <c r="M27" s="46"/>
    </row>
    <row r="28" spans="1:13">
      <c r="A28" s="48"/>
      <c r="B28" s="341"/>
      <c r="C28" s="341"/>
      <c r="D28" s="341"/>
      <c r="E28" s="341"/>
      <c r="F28" s="341"/>
      <c r="G28" s="341"/>
      <c r="H28" s="360"/>
      <c r="I28" s="374"/>
      <c r="J28" s="46"/>
      <c r="K28" s="46"/>
      <c r="L28" s="46"/>
      <c r="M28" s="46"/>
    </row>
    <row r="29" spans="1:13">
      <c r="A29" s="46"/>
      <c r="B29" s="62"/>
      <c r="C29" s="62"/>
      <c r="D29" s="62"/>
      <c r="E29" s="62"/>
      <c r="F29" s="62"/>
      <c r="G29" s="62"/>
      <c r="H29" s="62"/>
      <c r="I29" s="50"/>
      <c r="J29" s="46"/>
      <c r="K29" s="46"/>
      <c r="L29" s="46"/>
      <c r="M29" s="46"/>
    </row>
    <row r="30" spans="1:13">
      <c r="A30" s="46"/>
      <c r="B30" s="341"/>
      <c r="C30" s="341"/>
      <c r="D30" s="341"/>
      <c r="E30" s="341"/>
      <c r="F30" s="341"/>
      <c r="G30" s="341"/>
      <c r="H30" s="341"/>
      <c r="I30" s="46"/>
      <c r="J30" s="46"/>
      <c r="K30" s="46"/>
      <c r="L30" s="46"/>
      <c r="M30" s="46"/>
    </row>
    <row r="31" spans="1:13">
      <c r="A31" s="46"/>
      <c r="B31" s="46"/>
      <c r="C31" s="46"/>
      <c r="D31" s="46"/>
      <c r="E31" s="46"/>
      <c r="F31" s="46"/>
      <c r="G31" s="46"/>
      <c r="H31" s="46"/>
      <c r="I31" s="46"/>
      <c r="J31" s="46"/>
      <c r="K31" s="46"/>
      <c r="L31" s="46"/>
      <c r="M31" s="46"/>
    </row>
    <row r="32" spans="1:13">
      <c r="A32" s="46"/>
      <c r="B32" s="46"/>
      <c r="C32" s="46"/>
      <c r="D32" s="46"/>
      <c r="E32" s="46"/>
      <c r="F32" s="46"/>
      <c r="G32" s="46"/>
      <c r="H32" s="46"/>
      <c r="I32" s="46"/>
      <c r="J32" s="46"/>
      <c r="K32" s="46"/>
      <c r="L32" s="46"/>
      <c r="M32" s="46"/>
    </row>
    <row r="33" spans="1:13">
      <c r="A33" s="46"/>
      <c r="B33" s="46"/>
      <c r="C33" s="46"/>
      <c r="D33" s="46"/>
      <c r="E33" s="46"/>
      <c r="F33" s="46"/>
      <c r="G33" s="46"/>
      <c r="H33" s="46"/>
      <c r="I33" s="46"/>
      <c r="J33" s="46"/>
      <c r="K33" s="46"/>
      <c r="L33" s="46"/>
      <c r="M33" s="46"/>
    </row>
    <row r="39" spans="1:13">
      <c r="F39" t="s">
        <v>38</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8"/>
  <sheetViews>
    <sheetView workbookViewId="0">
      <selection sqref="A1:L2"/>
    </sheetView>
  </sheetViews>
  <sheetFormatPr defaultRowHeight="15"/>
  <cols>
    <col min="1" max="1" width="7" customWidth="1"/>
    <col min="4" max="4" width="42.85546875" customWidth="1"/>
    <col min="10" max="10" width="12.140625" customWidth="1"/>
    <col min="11" max="11" width="11.28515625" customWidth="1"/>
    <col min="12" max="12" width="14.5703125" customWidth="1"/>
  </cols>
  <sheetData>
    <row r="1" spans="1:12">
      <c r="A1" s="1173" t="s">
        <v>488</v>
      </c>
      <c r="B1" s="1173"/>
      <c r="C1" s="1173"/>
      <c r="D1" s="1173"/>
      <c r="E1" s="1173"/>
      <c r="F1" s="1173"/>
      <c r="G1" s="1173"/>
      <c r="H1" s="1173"/>
      <c r="I1" s="1173"/>
      <c r="J1" s="1173"/>
      <c r="K1" s="1173"/>
      <c r="L1" s="1173"/>
    </row>
    <row r="2" spans="1:12">
      <c r="A2" s="1173"/>
      <c r="B2" s="1173"/>
      <c r="C2" s="1173"/>
      <c r="D2" s="1173"/>
      <c r="E2" s="1173"/>
      <c r="F2" s="1173"/>
      <c r="G2" s="1173"/>
      <c r="H2" s="1173"/>
      <c r="I2" s="1173"/>
      <c r="J2" s="1173"/>
      <c r="K2" s="1173"/>
      <c r="L2" s="1173"/>
    </row>
    <row r="3" spans="1:12">
      <c r="A3" s="1166" t="s">
        <v>489</v>
      </c>
      <c r="B3" s="1166"/>
      <c r="C3" s="1166"/>
      <c r="D3" s="1166"/>
      <c r="E3" s="1166"/>
      <c r="F3" s="1166"/>
      <c r="G3" s="1166"/>
      <c r="H3" s="1166"/>
      <c r="I3" s="1166"/>
      <c r="J3" s="1166"/>
      <c r="K3" s="1166"/>
      <c r="L3" s="1166"/>
    </row>
    <row r="4" spans="1:12" ht="15" customHeight="1">
      <c r="A4" s="29" t="s">
        <v>376</v>
      </c>
      <c r="B4" s="30"/>
      <c r="C4" s="30"/>
      <c r="D4" s="31" t="str">
        <f>'0422Master'!F5</f>
        <v>Burgeon IT Services Pvt.Ltd.</v>
      </c>
      <c r="E4" s="38" t="s">
        <v>78</v>
      </c>
      <c r="F4" s="30"/>
      <c r="G4" s="30"/>
      <c r="H4" s="30"/>
      <c r="I4" s="30"/>
      <c r="J4" s="30"/>
      <c r="K4" s="30"/>
      <c r="L4" s="59"/>
    </row>
    <row r="5" spans="1:12">
      <c r="A5" s="32"/>
      <c r="B5" s="33" t="str">
        <f>'0422Master'!F6</f>
        <v>Siri Mansion LIGB 436 Dr.A S Rao Nagar,Hyderabad</v>
      </c>
      <c r="C5" s="33"/>
      <c r="D5" s="34"/>
      <c r="E5" s="47"/>
      <c r="F5" s="63"/>
      <c r="G5" s="63"/>
      <c r="H5" s="63"/>
      <c r="I5" s="63"/>
      <c r="J5" s="63"/>
      <c r="K5" s="63"/>
      <c r="L5" s="64"/>
    </row>
    <row r="6" spans="1:12">
      <c r="A6" s="35"/>
      <c r="B6" s="36">
        <f>'0422Master'!F7</f>
        <v>0</v>
      </c>
      <c r="C6" s="36"/>
      <c r="D6" s="37"/>
      <c r="E6" s="62"/>
      <c r="F6" s="36"/>
      <c r="G6" s="36"/>
      <c r="H6" s="36"/>
      <c r="I6" s="36"/>
      <c r="J6" s="36"/>
      <c r="K6" s="36"/>
      <c r="L6" s="37"/>
    </row>
    <row r="7" spans="1:12">
      <c r="A7" s="38" t="s">
        <v>77</v>
      </c>
      <c r="B7" s="30"/>
      <c r="C7" s="30"/>
      <c r="D7" s="31" t="str">
        <f>'0422Master'!F8</f>
        <v>IT SUPPORTIVE SERVICES&amp; PUNE SEZ UNIT-II</v>
      </c>
      <c r="E7" s="38" t="s">
        <v>64</v>
      </c>
      <c r="F7" s="30"/>
      <c r="G7" s="30"/>
      <c r="H7" s="30"/>
      <c r="I7" s="30"/>
      <c r="J7" s="30"/>
      <c r="K7" s="30"/>
      <c r="L7" s="31"/>
    </row>
    <row r="8" spans="1:12">
      <c r="A8" s="32"/>
      <c r="B8" s="33"/>
      <c r="C8" s="33"/>
      <c r="D8" s="34"/>
      <c r="E8" s="39" t="str">
        <f>'0422Master'!AP10</f>
        <v>INFOSYS  LTD.IL Pune SEZ Unit-II,Plot No. 24/3</v>
      </c>
      <c r="F8" s="33"/>
      <c r="G8" s="33"/>
      <c r="H8" s="33"/>
      <c r="I8" s="33"/>
      <c r="J8" s="33"/>
      <c r="K8" s="33"/>
      <c r="L8" s="34"/>
    </row>
    <row r="9" spans="1:12">
      <c r="A9" s="32"/>
      <c r="B9" s="33"/>
      <c r="C9" s="33"/>
      <c r="D9" s="34"/>
      <c r="E9" s="32" t="str">
        <f>'0422Master'!AP11</f>
        <v>Rajiv gandhi Info tech park,Village Mann,Pune,Maharashtra 411057</v>
      </c>
      <c r="F9" s="33"/>
      <c r="G9" s="33"/>
      <c r="H9" s="33"/>
      <c r="I9" s="33"/>
      <c r="J9" s="33"/>
      <c r="K9" s="33"/>
      <c r="L9" s="34"/>
    </row>
    <row r="10" spans="1:12" ht="15.75" thickBot="1">
      <c r="A10" s="32"/>
      <c r="B10" s="33"/>
      <c r="C10" s="33"/>
      <c r="D10" s="34"/>
      <c r="E10" s="32"/>
      <c r="F10" s="33"/>
      <c r="G10" s="33"/>
      <c r="H10" s="33"/>
      <c r="I10" s="33"/>
      <c r="J10" s="33"/>
      <c r="K10" s="33"/>
      <c r="L10" s="34"/>
    </row>
    <row r="11" spans="1:12" ht="51" customHeight="1">
      <c r="A11" s="1171" t="s">
        <v>5</v>
      </c>
      <c r="B11" s="1171" t="s">
        <v>65</v>
      </c>
      <c r="C11" s="54" t="s">
        <v>66</v>
      </c>
      <c r="D11" s="1174" t="s">
        <v>67</v>
      </c>
      <c r="E11" s="1174" t="s">
        <v>79</v>
      </c>
      <c r="F11" s="1174" t="s">
        <v>80</v>
      </c>
      <c r="G11" s="1174" t="s">
        <v>81</v>
      </c>
      <c r="H11" s="1174" t="s">
        <v>71</v>
      </c>
      <c r="I11" s="1174" t="s">
        <v>82</v>
      </c>
      <c r="J11" s="54" t="s">
        <v>83</v>
      </c>
      <c r="K11" s="1171" t="s">
        <v>84</v>
      </c>
      <c r="L11" s="1171" t="s">
        <v>40</v>
      </c>
    </row>
    <row r="12" spans="1:12" ht="18.600000000000001" customHeight="1" thickBot="1">
      <c r="A12" s="1172"/>
      <c r="B12" s="1172"/>
      <c r="C12" s="58"/>
      <c r="D12" s="1175"/>
      <c r="E12" s="1175"/>
      <c r="F12" s="1175"/>
      <c r="G12" s="1175"/>
      <c r="H12" s="1175"/>
      <c r="I12" s="1175"/>
      <c r="J12" s="53"/>
      <c r="K12" s="1172"/>
      <c r="L12" s="1172"/>
    </row>
    <row r="13" spans="1:12" ht="15" customHeight="1">
      <c r="A13" s="52">
        <v>1</v>
      </c>
      <c r="B13" s="52">
        <v>2</v>
      </c>
      <c r="C13" s="52">
        <v>3</v>
      </c>
      <c r="D13" s="52">
        <v>4</v>
      </c>
      <c r="E13" s="52">
        <v>5</v>
      </c>
      <c r="F13" s="52">
        <v>6</v>
      </c>
      <c r="G13" s="52">
        <v>7</v>
      </c>
      <c r="H13" s="52">
        <v>8</v>
      </c>
      <c r="I13" s="52">
        <v>9</v>
      </c>
      <c r="J13" s="55">
        <v>10</v>
      </c>
      <c r="K13" s="56">
        <v>11</v>
      </c>
      <c r="L13" s="57">
        <v>12</v>
      </c>
    </row>
    <row r="14" spans="1:12">
      <c r="A14" s="46"/>
      <c r="B14" s="46"/>
      <c r="C14" s="46"/>
      <c r="D14" s="46"/>
      <c r="E14" s="46"/>
      <c r="F14" s="46"/>
      <c r="G14" s="46"/>
      <c r="H14" s="46"/>
      <c r="I14" s="46"/>
      <c r="J14" s="46"/>
      <c r="K14" s="50"/>
      <c r="L14" s="46"/>
    </row>
    <row r="15" spans="1:12" ht="15.75" thickBot="1">
      <c r="A15" s="46"/>
      <c r="B15" s="49"/>
      <c r="C15" s="49"/>
      <c r="D15" s="49"/>
      <c r="E15" s="49"/>
      <c r="F15" s="49"/>
      <c r="G15" s="49"/>
      <c r="H15" s="49"/>
      <c r="I15" s="49"/>
      <c r="J15" s="49"/>
      <c r="K15" s="49"/>
      <c r="L15" s="49"/>
    </row>
    <row r="16" spans="1:12" ht="15.75" thickBot="1">
      <c r="A16" s="48"/>
      <c r="B16" s="1168" t="s">
        <v>85</v>
      </c>
      <c r="C16" s="1169"/>
      <c r="D16" s="1169"/>
      <c r="E16" s="1169"/>
      <c r="F16" s="1169"/>
      <c r="G16" s="1170"/>
      <c r="H16" s="340">
        <f>'0422Master'!D10</f>
        <v>44652</v>
      </c>
      <c r="I16" s="46"/>
      <c r="J16" s="46"/>
      <c r="K16" s="46"/>
      <c r="L16" s="46"/>
    </row>
    <row r="17" spans="1:12">
      <c r="A17" s="46"/>
      <c r="B17" s="62"/>
      <c r="C17" s="62"/>
      <c r="D17" s="62"/>
      <c r="E17" s="62"/>
      <c r="F17" s="62"/>
      <c r="G17" s="62"/>
      <c r="H17" s="62"/>
      <c r="I17" s="50"/>
      <c r="J17" s="50"/>
      <c r="K17" s="50"/>
      <c r="L17" s="50"/>
    </row>
    <row r="18" spans="1:12">
      <c r="A18" s="46"/>
      <c r="B18" s="341"/>
      <c r="C18" s="341"/>
      <c r="D18" s="341"/>
      <c r="E18" s="341"/>
      <c r="F18" s="341"/>
      <c r="G18" s="341"/>
      <c r="H18" s="341"/>
      <c r="I18" s="46"/>
      <c r="J18" s="46"/>
      <c r="K18" s="46"/>
      <c r="L18" s="46"/>
    </row>
    <row r="19" spans="1:12">
      <c r="A19" s="46"/>
      <c r="B19" s="341"/>
      <c r="C19" s="341"/>
      <c r="D19" s="341"/>
      <c r="E19" s="341"/>
      <c r="F19" s="341"/>
      <c r="G19" s="341"/>
      <c r="H19" s="341"/>
      <c r="I19" s="46"/>
      <c r="J19" s="46"/>
      <c r="K19" s="46"/>
      <c r="L19" s="46"/>
    </row>
    <row r="20" spans="1:12">
      <c r="A20" s="46"/>
      <c r="B20" s="342"/>
      <c r="C20" s="341"/>
      <c r="D20" s="341"/>
      <c r="E20" s="341"/>
      <c r="F20" s="341"/>
      <c r="G20" s="341"/>
      <c r="H20" s="341"/>
      <c r="I20" s="46"/>
      <c r="J20" s="46"/>
      <c r="K20" s="46"/>
      <c r="L20" s="46"/>
    </row>
    <row r="21" spans="1:12">
      <c r="A21" s="46"/>
      <c r="B21" s="372"/>
      <c r="C21" s="372"/>
      <c r="D21" s="372"/>
      <c r="E21" s="372"/>
      <c r="F21" s="372"/>
      <c r="G21" s="372"/>
      <c r="H21" s="372"/>
      <c r="I21" s="373"/>
      <c r="J21" s="373"/>
      <c r="K21" s="46"/>
      <c r="L21" s="46"/>
    </row>
    <row r="22" spans="1:12">
      <c r="A22" s="48"/>
      <c r="B22" s="1167"/>
      <c r="C22" s="1167"/>
      <c r="D22" s="1167"/>
      <c r="E22" s="1167"/>
      <c r="F22" s="1167"/>
      <c r="G22" s="1167"/>
      <c r="H22" s="360"/>
      <c r="I22" s="374"/>
      <c r="J22" s="374"/>
      <c r="K22" s="46"/>
      <c r="L22" s="46"/>
    </row>
    <row r="23" spans="1:12">
      <c r="A23" s="48"/>
      <c r="B23" s="341"/>
      <c r="C23" s="341"/>
      <c r="D23" s="341"/>
      <c r="E23" s="341"/>
      <c r="F23" s="341"/>
      <c r="G23" s="341"/>
      <c r="H23" s="341"/>
      <c r="I23" s="374"/>
      <c r="J23" s="374"/>
      <c r="K23" s="46"/>
      <c r="L23" s="46"/>
    </row>
    <row r="24" spans="1:12">
      <c r="A24" s="48"/>
      <c r="B24" s="341"/>
      <c r="C24" s="341"/>
      <c r="D24" s="341"/>
      <c r="E24" s="341"/>
      <c r="F24" s="341"/>
      <c r="G24" s="341"/>
      <c r="H24" s="341"/>
      <c r="I24" s="374"/>
      <c r="J24" s="374"/>
      <c r="K24" s="46"/>
      <c r="L24" s="46"/>
    </row>
    <row r="25" spans="1:12">
      <c r="A25" s="48"/>
      <c r="B25" s="341"/>
      <c r="C25" s="341"/>
      <c r="D25" s="341"/>
      <c r="E25" s="341"/>
      <c r="F25" s="341"/>
      <c r="G25" s="341"/>
      <c r="H25" s="341"/>
      <c r="I25" s="374"/>
      <c r="J25" s="374"/>
      <c r="K25" s="46"/>
      <c r="L25" s="46"/>
    </row>
    <row r="26" spans="1:12">
      <c r="A26" s="48"/>
      <c r="B26" s="341"/>
      <c r="C26" s="341"/>
      <c r="D26" s="341"/>
      <c r="E26" s="341"/>
      <c r="F26" s="341"/>
      <c r="G26" s="341"/>
      <c r="H26" s="341"/>
      <c r="I26" s="374"/>
      <c r="J26" s="374"/>
      <c r="K26" s="46"/>
      <c r="L26" s="46"/>
    </row>
    <row r="27" spans="1:12">
      <c r="A27" s="48"/>
      <c r="B27" s="374"/>
      <c r="C27" s="374"/>
      <c r="D27" s="374"/>
      <c r="E27" s="374"/>
      <c r="F27" s="374"/>
      <c r="G27" s="374"/>
      <c r="H27" s="341"/>
      <c r="I27" s="374"/>
      <c r="J27" s="374"/>
      <c r="K27" s="46"/>
      <c r="L27" s="46"/>
    </row>
    <row r="28" spans="1:12">
      <c r="A28" s="48"/>
      <c r="B28" s="1167"/>
      <c r="C28" s="1167"/>
      <c r="D28" s="1167"/>
      <c r="E28" s="1167"/>
      <c r="F28" s="1167"/>
      <c r="G28" s="1167"/>
      <c r="H28" s="360"/>
      <c r="I28" s="374"/>
      <c r="J28" s="374"/>
      <c r="K28" s="46"/>
      <c r="L28" s="46"/>
    </row>
    <row r="29" spans="1:12">
      <c r="A29" s="48"/>
      <c r="B29" s="374"/>
      <c r="C29" s="374"/>
      <c r="D29" s="374"/>
      <c r="E29" s="374"/>
      <c r="F29" s="374"/>
      <c r="G29" s="374"/>
      <c r="H29" s="374"/>
      <c r="I29" s="374"/>
      <c r="J29" s="374"/>
      <c r="K29" s="46"/>
      <c r="L29" s="46"/>
    </row>
    <row r="30" spans="1:12">
      <c r="A30" s="46"/>
      <c r="B30" s="46"/>
      <c r="C30" s="46"/>
      <c r="D30" s="46"/>
      <c r="E30" s="46"/>
      <c r="F30" s="46"/>
      <c r="G30" s="46"/>
      <c r="H30" s="46"/>
      <c r="I30" s="46"/>
      <c r="J30" s="46"/>
      <c r="K30" s="46"/>
      <c r="L30" s="46"/>
    </row>
    <row r="31" spans="1:12">
      <c r="A31" s="46"/>
      <c r="B31" s="46"/>
      <c r="C31" s="46"/>
      <c r="D31" s="46"/>
      <c r="E31" s="46"/>
      <c r="F31" s="46"/>
      <c r="G31" s="46"/>
      <c r="H31" s="46"/>
      <c r="I31" s="46"/>
      <c r="J31" s="46"/>
      <c r="K31" s="46"/>
      <c r="L31" s="46"/>
    </row>
    <row r="32" spans="1:12">
      <c r="A32" s="46"/>
      <c r="B32" s="46"/>
      <c r="C32" s="46"/>
      <c r="D32" s="46"/>
      <c r="E32" s="46"/>
      <c r="F32" s="46"/>
      <c r="G32" s="46"/>
      <c r="H32" s="46"/>
      <c r="I32" s="46"/>
      <c r="J32" s="46"/>
      <c r="K32" s="46"/>
      <c r="L32" s="46"/>
    </row>
    <row r="33" spans="1:12">
      <c r="A33" s="46"/>
      <c r="B33" s="46"/>
      <c r="C33" s="46"/>
      <c r="D33" s="46"/>
      <c r="E33" s="46"/>
      <c r="F33" s="46"/>
      <c r="G33" s="46"/>
      <c r="H33" s="46"/>
      <c r="I33" s="46"/>
      <c r="J33" s="46"/>
      <c r="K33" s="46"/>
      <c r="L33" s="46"/>
    </row>
    <row r="38" spans="1:12">
      <c r="F38" t="s">
        <v>38</v>
      </c>
    </row>
  </sheetData>
  <protectedRanges>
    <protectedRange password="CA4D" sqref="E5 A1:D13 E6:L10 E1:L3 L11:L13 E13:J13" name="Range1"/>
  </protectedRanges>
  <mergeCells count="15">
    <mergeCell ref="A1:L2"/>
    <mergeCell ref="A3:L3"/>
    <mergeCell ref="A11:A12"/>
    <mergeCell ref="B11:B12"/>
    <mergeCell ref="D11:D12"/>
    <mergeCell ref="E11:E12"/>
    <mergeCell ref="F11:F12"/>
    <mergeCell ref="G11:G12"/>
    <mergeCell ref="H11:H12"/>
    <mergeCell ref="I11:I12"/>
    <mergeCell ref="B22:G22"/>
    <mergeCell ref="B28:G28"/>
    <mergeCell ref="B16:G16"/>
    <mergeCell ref="K11:K12"/>
    <mergeCell ref="L11:L12"/>
  </mergeCells>
  <pageMargins left="0.94488188976377963" right="0.70866141732283472" top="0.74803149606299213" bottom="0.74803149606299213" header="0.31496062992125984" footer="0.31496062992125984"/>
  <pageSetup scale="75"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9"/>
  <sheetViews>
    <sheetView topLeftCell="A10" workbookViewId="0">
      <selection activeCell="H18" sqref="H18"/>
    </sheetView>
  </sheetViews>
  <sheetFormatPr defaultRowHeight="15"/>
  <cols>
    <col min="3" max="3" width="9.85546875" customWidth="1"/>
    <col min="4" max="4" width="44.7109375" customWidth="1"/>
    <col min="10" max="10" width="26" customWidth="1"/>
    <col min="11" max="11" width="14.7109375" customWidth="1"/>
  </cols>
  <sheetData>
    <row r="1" spans="1:11">
      <c r="A1" s="1165" t="s">
        <v>490</v>
      </c>
      <c r="B1" s="1165"/>
      <c r="C1" s="1165"/>
      <c r="D1" s="1165"/>
      <c r="E1" s="1165"/>
      <c r="F1" s="1165"/>
      <c r="G1" s="1165"/>
      <c r="H1" s="1165"/>
      <c r="I1" s="1165"/>
      <c r="J1" s="1165"/>
      <c r="K1" s="1165"/>
    </row>
    <row r="2" spans="1:11">
      <c r="A2" s="1165"/>
      <c r="B2" s="1165"/>
      <c r="C2" s="1165"/>
      <c r="D2" s="1165"/>
      <c r="E2" s="1165"/>
      <c r="F2" s="1165"/>
      <c r="G2" s="1165"/>
      <c r="H2" s="1165"/>
      <c r="I2" s="1165"/>
      <c r="J2" s="1165"/>
      <c r="K2" s="1165"/>
    </row>
    <row r="3" spans="1:11">
      <c r="A3" s="1166" t="s">
        <v>489</v>
      </c>
      <c r="B3" s="1166"/>
      <c r="C3" s="1166"/>
      <c r="D3" s="1166"/>
      <c r="E3" s="1179"/>
      <c r="F3" s="1179"/>
      <c r="G3" s="1179"/>
      <c r="H3" s="1179"/>
      <c r="I3" s="1179"/>
      <c r="J3" s="1179"/>
      <c r="K3" s="1179"/>
    </row>
    <row r="4" spans="1:11" ht="15" customHeight="1">
      <c r="A4" s="29" t="s">
        <v>375</v>
      </c>
      <c r="B4" s="30"/>
      <c r="C4" s="30"/>
      <c r="D4" s="31" t="str">
        <f>'0422Master'!F5</f>
        <v>Burgeon IT Services Pvt.Ltd.</v>
      </c>
      <c r="E4" s="65" t="s">
        <v>78</v>
      </c>
      <c r="F4" s="66"/>
      <c r="G4" s="66"/>
      <c r="H4" s="66"/>
      <c r="I4" s="66"/>
      <c r="J4" s="66"/>
      <c r="K4" s="67"/>
    </row>
    <row r="5" spans="1:11">
      <c r="A5" s="32"/>
      <c r="B5" s="33" t="str">
        <f>'0422Master'!F6</f>
        <v>Siri Mansion LIGB 436 Dr.A S Rao Nagar,Hyderabad</v>
      </c>
      <c r="C5" s="33"/>
      <c r="D5" s="34"/>
      <c r="E5" s="47"/>
      <c r="F5" s="63"/>
      <c r="G5" s="63"/>
      <c r="H5" s="63"/>
      <c r="I5" s="63"/>
      <c r="J5" s="63"/>
      <c r="K5" s="64"/>
    </row>
    <row r="6" spans="1:11">
      <c r="A6" s="35"/>
      <c r="B6" s="36">
        <f>'0422Master'!F7</f>
        <v>0</v>
      </c>
      <c r="C6" s="36"/>
      <c r="D6" s="37"/>
      <c r="E6" s="47"/>
      <c r="F6" s="66"/>
      <c r="G6" s="66"/>
      <c r="H6" s="66"/>
      <c r="I6" s="66"/>
      <c r="J6" s="66"/>
      <c r="K6" s="67"/>
    </row>
    <row r="7" spans="1:11">
      <c r="A7" s="38" t="s">
        <v>77</v>
      </c>
      <c r="B7" s="30"/>
      <c r="C7" s="30"/>
      <c r="D7" s="31" t="str">
        <f>'0422Master'!F8</f>
        <v>IT SUPPORTIVE SERVICES&amp; PUNE SEZ UNIT-II</v>
      </c>
      <c r="E7" s="38" t="s">
        <v>64</v>
      </c>
      <c r="F7" s="30"/>
      <c r="G7" s="30"/>
      <c r="H7" s="30"/>
      <c r="I7" s="30"/>
      <c r="J7" s="30"/>
      <c r="K7" s="31"/>
    </row>
    <row r="8" spans="1:11">
      <c r="A8" s="32"/>
      <c r="B8" s="33"/>
      <c r="C8" s="33"/>
      <c r="D8" s="34"/>
      <c r="E8" s="39" t="str">
        <f>'0422Master'!AP10</f>
        <v>INFOSYS  LTD.IL Pune SEZ Unit-II,Plot No. 24/3</v>
      </c>
      <c r="F8" s="33"/>
      <c r="G8" s="33"/>
      <c r="H8" s="33"/>
      <c r="I8" s="33"/>
      <c r="J8" s="33"/>
      <c r="K8" s="34"/>
    </row>
    <row r="9" spans="1:11">
      <c r="A9" s="32"/>
      <c r="B9" s="33"/>
      <c r="C9" s="33"/>
      <c r="D9" s="34"/>
      <c r="E9" s="32" t="str">
        <f>'0422Master'!AP11</f>
        <v>Rajiv gandhi Info tech park,Village Mann,Pune,Maharashtra 411057</v>
      </c>
      <c r="F9" s="33"/>
      <c r="G9" s="33"/>
      <c r="H9" s="33"/>
      <c r="I9" s="33"/>
      <c r="J9" s="33"/>
      <c r="K9" s="34"/>
    </row>
    <row r="10" spans="1:11">
      <c r="A10" s="32"/>
      <c r="B10" s="33"/>
      <c r="C10" s="33"/>
      <c r="D10" s="34"/>
      <c r="E10" s="35"/>
      <c r="F10" s="36"/>
      <c r="G10" s="36"/>
      <c r="H10" s="36"/>
      <c r="I10" s="36"/>
      <c r="J10" s="36"/>
      <c r="K10" s="37"/>
    </row>
    <row r="11" spans="1:11">
      <c r="A11" s="1164" t="s">
        <v>5</v>
      </c>
      <c r="B11" s="1164" t="s">
        <v>65</v>
      </c>
      <c r="C11" s="1164" t="s">
        <v>66</v>
      </c>
      <c r="D11" s="1163" t="s">
        <v>67</v>
      </c>
      <c r="E11" s="1180" t="s">
        <v>86</v>
      </c>
      <c r="F11" s="1180" t="s">
        <v>87</v>
      </c>
      <c r="G11" s="1180" t="s">
        <v>88</v>
      </c>
      <c r="H11" s="1180" t="s">
        <v>89</v>
      </c>
      <c r="I11" s="1180" t="s">
        <v>90</v>
      </c>
      <c r="J11" s="1181" t="s">
        <v>91</v>
      </c>
      <c r="K11" s="1182" t="s">
        <v>40</v>
      </c>
    </row>
    <row r="12" spans="1:11" ht="65.25" customHeight="1">
      <c r="A12" s="1164"/>
      <c r="B12" s="1164"/>
      <c r="C12" s="1164"/>
      <c r="D12" s="1163"/>
      <c r="E12" s="1163"/>
      <c r="F12" s="1163"/>
      <c r="G12" s="1163"/>
      <c r="H12" s="1163"/>
      <c r="I12" s="1163"/>
      <c r="J12" s="1164"/>
      <c r="K12" s="1181"/>
    </row>
    <row r="13" spans="1:11">
      <c r="A13" s="45">
        <v>1</v>
      </c>
      <c r="B13" s="45">
        <v>2</v>
      </c>
      <c r="C13" s="45">
        <v>3</v>
      </c>
      <c r="D13" s="45">
        <v>4</v>
      </c>
      <c r="E13" s="45">
        <v>5</v>
      </c>
      <c r="F13" s="45">
        <v>6</v>
      </c>
      <c r="G13" s="45">
        <v>7</v>
      </c>
      <c r="H13" s="45">
        <v>8</v>
      </c>
      <c r="I13" s="45">
        <v>9</v>
      </c>
      <c r="J13" s="45">
        <v>10</v>
      </c>
      <c r="K13" s="45">
        <v>11</v>
      </c>
    </row>
    <row r="14" spans="1:11">
      <c r="A14" s="47"/>
      <c r="B14" s="47"/>
      <c r="C14" s="47"/>
      <c r="D14" s="47"/>
      <c r="E14" s="47"/>
      <c r="F14" s="47"/>
      <c r="G14" s="47"/>
      <c r="H14" s="47"/>
      <c r="I14" s="47"/>
      <c r="J14" s="47"/>
      <c r="K14" s="47"/>
    </row>
    <row r="15" spans="1:11">
      <c r="A15" s="47"/>
      <c r="B15" s="60"/>
      <c r="C15" s="60"/>
      <c r="D15" s="60"/>
      <c r="E15" s="60"/>
      <c r="F15" s="47"/>
      <c r="G15" s="47"/>
      <c r="H15" s="47"/>
      <c r="I15" s="47"/>
      <c r="J15" s="47"/>
      <c r="K15" s="47"/>
    </row>
    <row r="16" spans="1:11">
      <c r="A16" s="65"/>
      <c r="B16" s="1176" t="s">
        <v>92</v>
      </c>
      <c r="C16" s="1177"/>
      <c r="D16" s="1177"/>
      <c r="E16" s="1178"/>
      <c r="F16" s="340">
        <f>'0422Master'!D10</f>
        <v>44652</v>
      </c>
      <c r="G16" s="47"/>
      <c r="H16" s="47"/>
      <c r="I16" s="47"/>
      <c r="J16" s="47"/>
      <c r="K16" s="47"/>
    </row>
    <row r="17" spans="1:11">
      <c r="A17" s="47"/>
      <c r="B17" s="62"/>
      <c r="C17" s="62"/>
      <c r="D17" s="62"/>
      <c r="E17" s="62"/>
      <c r="F17" s="62"/>
      <c r="G17" s="47"/>
      <c r="H17" s="47"/>
      <c r="I17" s="47"/>
      <c r="J17" s="47"/>
      <c r="K17" s="47"/>
    </row>
    <row r="18" spans="1:11">
      <c r="A18" s="68"/>
      <c r="B18" s="341"/>
      <c r="C18" s="341"/>
      <c r="D18" s="341"/>
      <c r="E18" s="341"/>
      <c r="F18" s="341"/>
      <c r="G18" s="47"/>
      <c r="H18" s="47"/>
      <c r="I18" s="47"/>
      <c r="J18" s="47"/>
      <c r="K18" s="47"/>
    </row>
    <row r="19" spans="1:11">
      <c r="A19" s="47"/>
      <c r="B19" s="341"/>
      <c r="C19" s="341"/>
      <c r="D19" s="341"/>
      <c r="E19" s="341"/>
      <c r="F19" s="341"/>
      <c r="G19" s="47"/>
      <c r="H19" s="47"/>
      <c r="I19" s="47"/>
      <c r="J19" s="47"/>
      <c r="K19" s="47"/>
    </row>
    <row r="20" spans="1:11">
      <c r="A20" s="47"/>
      <c r="B20" s="341"/>
      <c r="C20" s="341"/>
      <c r="D20" s="341"/>
      <c r="E20" s="341"/>
      <c r="F20" s="341"/>
      <c r="G20" s="47"/>
      <c r="H20" s="47"/>
      <c r="I20" s="47"/>
      <c r="J20" s="47"/>
      <c r="K20" s="47"/>
    </row>
    <row r="21" spans="1:11">
      <c r="A21" s="47"/>
      <c r="B21" s="341"/>
      <c r="C21" s="341"/>
      <c r="D21" s="341"/>
      <c r="E21" s="341"/>
      <c r="F21" s="341"/>
      <c r="G21" s="47"/>
      <c r="H21" s="47"/>
      <c r="I21" s="47"/>
      <c r="J21" s="47"/>
      <c r="K21" s="47"/>
    </row>
    <row r="22" spans="1:11">
      <c r="A22" s="47"/>
      <c r="B22" s="1176"/>
      <c r="C22" s="1177"/>
      <c r="D22" s="1177"/>
      <c r="E22" s="1178"/>
      <c r="F22" s="340"/>
      <c r="G22" s="47"/>
      <c r="H22" s="47"/>
      <c r="I22" s="47"/>
      <c r="J22" s="47"/>
      <c r="K22" s="47"/>
    </row>
    <row r="23" spans="1:11">
      <c r="A23" s="47"/>
      <c r="B23" s="341"/>
      <c r="C23" s="341"/>
      <c r="D23" s="341"/>
      <c r="E23" s="341"/>
      <c r="F23" s="341"/>
      <c r="G23" s="47"/>
      <c r="H23" s="47"/>
      <c r="I23" s="47"/>
      <c r="J23" s="47"/>
      <c r="K23" s="47"/>
    </row>
    <row r="24" spans="1:11">
      <c r="A24" s="47"/>
      <c r="B24" s="341"/>
      <c r="C24" s="341"/>
      <c r="D24" s="341"/>
      <c r="E24" s="341"/>
      <c r="F24" s="341"/>
      <c r="G24" s="47"/>
      <c r="H24" s="47"/>
      <c r="I24" s="47"/>
      <c r="J24" s="47"/>
      <c r="K24" s="47"/>
    </row>
    <row r="25" spans="1:11">
      <c r="A25" s="47"/>
      <c r="B25" s="341"/>
      <c r="C25" s="341"/>
      <c r="D25" s="341"/>
      <c r="E25" s="341"/>
      <c r="F25" s="341"/>
      <c r="G25" s="47"/>
      <c r="H25" s="47"/>
      <c r="I25" s="47"/>
      <c r="J25" s="47"/>
      <c r="K25" s="47"/>
    </row>
    <row r="26" spans="1:11">
      <c r="A26" s="47"/>
      <c r="B26" s="341"/>
      <c r="C26" s="341"/>
      <c r="D26" s="341"/>
      <c r="E26" s="341"/>
      <c r="F26" s="341"/>
      <c r="G26" s="47"/>
      <c r="H26" s="47"/>
      <c r="I26" s="47"/>
      <c r="J26" s="47"/>
      <c r="K26" s="47"/>
    </row>
    <row r="27" spans="1:11">
      <c r="A27" s="47"/>
      <c r="B27" s="341"/>
      <c r="C27" s="341"/>
      <c r="D27" s="341"/>
      <c r="E27" s="341"/>
      <c r="F27" s="341"/>
      <c r="G27" s="47"/>
      <c r="H27" s="47"/>
      <c r="I27" s="47"/>
      <c r="J27" s="47"/>
      <c r="K27" s="47"/>
    </row>
    <row r="28" spans="1:11">
      <c r="A28" s="47"/>
      <c r="B28" s="1176"/>
      <c r="C28" s="1177"/>
      <c r="D28" s="1177"/>
      <c r="E28" s="1178"/>
      <c r="F28" s="340"/>
      <c r="G28" s="47"/>
      <c r="H28" s="47"/>
      <c r="I28" s="47"/>
      <c r="J28" s="47"/>
      <c r="K28" s="47"/>
    </row>
    <row r="29" spans="1:11">
      <c r="A29" s="47"/>
      <c r="B29" s="47"/>
      <c r="C29" s="47"/>
      <c r="D29" s="47"/>
      <c r="E29" s="47"/>
      <c r="F29" s="47"/>
      <c r="G29" s="47"/>
      <c r="H29" s="47"/>
      <c r="I29" s="47"/>
      <c r="J29" s="47"/>
      <c r="K29" s="47"/>
    </row>
    <row r="30" spans="1:11">
      <c r="A30" s="47"/>
      <c r="B30" s="47"/>
      <c r="C30" s="47"/>
      <c r="D30" s="47"/>
      <c r="E30" s="47"/>
      <c r="F30" s="47"/>
      <c r="G30" s="47"/>
      <c r="H30" s="47"/>
      <c r="I30" s="47"/>
      <c r="J30" s="47"/>
      <c r="K30" s="47"/>
    </row>
    <row r="31" spans="1:11">
      <c r="A31" s="47"/>
      <c r="B31" s="47"/>
      <c r="C31" s="47"/>
      <c r="D31" s="47"/>
      <c r="E31" s="47"/>
      <c r="F31" s="47"/>
      <c r="G31" s="47"/>
      <c r="H31" s="47"/>
      <c r="I31" s="47"/>
      <c r="J31" s="47"/>
      <c r="K31" s="47"/>
    </row>
    <row r="32" spans="1:11">
      <c r="A32" s="47"/>
      <c r="B32" s="47"/>
      <c r="C32" s="47"/>
      <c r="D32" s="47"/>
      <c r="E32" s="47"/>
      <c r="F32" s="47"/>
      <c r="G32" s="47"/>
      <c r="H32" s="47"/>
      <c r="I32" s="47"/>
      <c r="J32" s="47"/>
      <c r="K32" s="47"/>
    </row>
    <row r="33" spans="1:11">
      <c r="A33" s="47"/>
      <c r="B33" s="47"/>
      <c r="C33" s="47"/>
      <c r="D33" s="47"/>
      <c r="E33" s="47"/>
      <c r="F33" s="47"/>
      <c r="G33" s="47"/>
      <c r="H33" s="47"/>
      <c r="I33" s="47"/>
      <c r="J33" s="47"/>
      <c r="K33" s="47"/>
    </row>
    <row r="34" spans="1:11">
      <c r="A34" s="47"/>
      <c r="B34" s="47"/>
      <c r="C34" s="47"/>
      <c r="D34" s="47"/>
      <c r="E34" s="47"/>
      <c r="F34" s="47"/>
      <c r="G34" s="47"/>
      <c r="H34" s="47"/>
      <c r="I34" s="47"/>
      <c r="J34" s="47"/>
      <c r="K34" s="47"/>
    </row>
    <row r="35" spans="1:11">
      <c r="A35" s="47"/>
      <c r="B35" s="47"/>
      <c r="C35" s="47"/>
      <c r="D35" s="47"/>
      <c r="E35" s="47"/>
      <c r="F35" s="47"/>
      <c r="G35" s="47"/>
      <c r="H35" s="47"/>
      <c r="I35" s="47"/>
      <c r="J35" s="47"/>
      <c r="K35" s="47"/>
    </row>
    <row r="36" spans="1:11">
      <c r="A36" s="312"/>
      <c r="B36" s="312"/>
      <c r="C36" s="312"/>
      <c r="D36" s="312"/>
      <c r="E36" s="312"/>
      <c r="F36" s="312"/>
      <c r="G36" s="312"/>
      <c r="H36" s="312"/>
      <c r="I36" s="312"/>
      <c r="J36" s="312"/>
      <c r="K36" s="312"/>
    </row>
    <row r="37" spans="1:11">
      <c r="A37" s="312"/>
      <c r="B37" s="312"/>
      <c r="C37" s="312"/>
      <c r="D37" s="312"/>
      <c r="E37" s="312"/>
      <c r="F37" s="312"/>
      <c r="G37" s="312"/>
      <c r="H37" s="312"/>
      <c r="I37" s="312"/>
      <c r="J37" s="312"/>
      <c r="K37" s="312"/>
    </row>
    <row r="38" spans="1:11">
      <c r="A38" s="312"/>
      <c r="B38" s="312"/>
      <c r="C38" s="312"/>
      <c r="D38" s="312"/>
      <c r="E38" s="312"/>
      <c r="F38" s="312"/>
      <c r="G38" s="312"/>
      <c r="H38" s="312"/>
      <c r="I38" s="312"/>
      <c r="J38" s="312"/>
      <c r="K38" s="312"/>
    </row>
    <row r="39" spans="1:11">
      <c r="G39" t="s">
        <v>38</v>
      </c>
    </row>
  </sheetData>
  <protectedRanges>
    <protectedRange password="CA4D" sqref="A1:K3 A11:K13" name="Range1"/>
    <protectedRange password="CA4D" sqref="E5 A4:D10 E6:K10" name="Range1_5"/>
  </protectedRanges>
  <mergeCells count="16">
    <mergeCell ref="B22:E22"/>
    <mergeCell ref="B28:E28"/>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36220472440944" right="0.70866141732283472" top="0.74803149606299213" bottom="0.74803149606299213" header="0.35433070866141736" footer="0.31496062992125984"/>
  <pageSetup scale="70"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5"/>
  <sheetViews>
    <sheetView topLeftCell="A7" workbookViewId="0">
      <selection sqref="A1:L2"/>
    </sheetView>
  </sheetViews>
  <sheetFormatPr defaultRowHeight="15"/>
  <cols>
    <col min="5" max="5" width="38.5703125" customWidth="1"/>
    <col min="11" max="11" width="11.140625" customWidth="1"/>
    <col min="12" max="12" width="13.42578125" customWidth="1"/>
  </cols>
  <sheetData>
    <row r="1" spans="1:12">
      <c r="A1" s="1165" t="s">
        <v>491</v>
      </c>
      <c r="B1" s="1165"/>
      <c r="C1" s="1165"/>
      <c r="D1" s="1165"/>
      <c r="E1" s="1165"/>
      <c r="F1" s="1165"/>
      <c r="G1" s="1165"/>
      <c r="H1" s="1165"/>
      <c r="I1" s="1165"/>
      <c r="J1" s="1165"/>
      <c r="K1" s="1165"/>
      <c r="L1" s="1165"/>
    </row>
    <row r="2" spans="1:12">
      <c r="A2" s="1165"/>
      <c r="B2" s="1165"/>
      <c r="C2" s="1165"/>
      <c r="D2" s="1165"/>
      <c r="E2" s="1165"/>
      <c r="F2" s="1165"/>
      <c r="G2" s="1165"/>
      <c r="H2" s="1165"/>
      <c r="I2" s="1165"/>
      <c r="J2" s="1165"/>
      <c r="K2" s="1165"/>
      <c r="L2" s="1165"/>
    </row>
    <row r="3" spans="1:12">
      <c r="A3" s="1166" t="s">
        <v>489</v>
      </c>
      <c r="B3" s="1166"/>
      <c r="C3" s="1166"/>
      <c r="D3" s="1166"/>
      <c r="E3" s="1166"/>
      <c r="F3" s="1166"/>
      <c r="G3" s="1166"/>
      <c r="H3" s="1166"/>
      <c r="I3" s="1166"/>
      <c r="J3" s="1166"/>
      <c r="K3" s="1166"/>
      <c r="L3" s="1166"/>
    </row>
    <row r="4" spans="1:12" ht="15" customHeight="1">
      <c r="A4" s="38" t="s">
        <v>93</v>
      </c>
      <c r="B4" s="30"/>
      <c r="C4" s="30"/>
      <c r="D4" s="30" t="str">
        <f>'0422Master'!F5</f>
        <v>Burgeon IT Services Pvt.Ltd.</v>
      </c>
      <c r="E4" s="31"/>
      <c r="F4" s="38" t="s">
        <v>101</v>
      </c>
      <c r="G4" s="30"/>
      <c r="H4" s="30"/>
      <c r="I4" s="30"/>
      <c r="J4" s="30"/>
      <c r="K4" s="30"/>
      <c r="L4" s="31"/>
    </row>
    <row r="5" spans="1:12">
      <c r="A5" s="32"/>
      <c r="B5" s="33" t="str">
        <f>'0422Master'!F6</f>
        <v>Siri Mansion LIGB 436 Dr.A S Rao Nagar,Hyderabad</v>
      </c>
      <c r="C5" s="33"/>
      <c r="D5" s="33"/>
      <c r="E5" s="34"/>
      <c r="F5" s="33"/>
      <c r="G5" s="33"/>
      <c r="H5" s="33"/>
      <c r="I5" s="33"/>
      <c r="J5" s="33"/>
      <c r="K5" s="34"/>
    </row>
    <row r="6" spans="1:12">
      <c r="A6" s="35"/>
      <c r="B6" s="36">
        <f>'0422Master'!F7</f>
        <v>0</v>
      </c>
      <c r="C6" s="36"/>
      <c r="D6" s="36"/>
      <c r="E6" s="37"/>
      <c r="F6" s="36"/>
      <c r="G6" s="36"/>
      <c r="H6" s="36"/>
      <c r="I6" s="36"/>
      <c r="J6" s="36"/>
      <c r="K6" s="37"/>
    </row>
    <row r="7" spans="1:12">
      <c r="A7" s="38" t="s">
        <v>77</v>
      </c>
      <c r="B7" s="30"/>
      <c r="C7" s="30"/>
      <c r="D7" s="30" t="str">
        <f>'0422Master'!F8</f>
        <v>IT SUPPORTIVE SERVICES&amp; PUNE SEZ UNIT-II</v>
      </c>
      <c r="E7" s="31"/>
      <c r="F7" s="38" t="s">
        <v>64</v>
      </c>
      <c r="G7" s="30"/>
      <c r="H7" s="30"/>
      <c r="I7" s="30"/>
      <c r="J7" s="30"/>
      <c r="K7" s="30"/>
      <c r="L7" s="31"/>
    </row>
    <row r="8" spans="1:12">
      <c r="A8" s="32"/>
      <c r="B8" s="33"/>
      <c r="C8" s="33"/>
      <c r="D8" s="33"/>
      <c r="E8" s="34"/>
      <c r="F8" s="39" t="str">
        <f>'0422Master'!AP10</f>
        <v>INFOSYS  LTD.IL Pune SEZ Unit-II,Plot No. 24/3</v>
      </c>
      <c r="G8" s="33"/>
      <c r="H8" s="33"/>
      <c r="I8" s="33"/>
      <c r="J8" s="33"/>
      <c r="K8" s="33"/>
      <c r="L8" s="34"/>
    </row>
    <row r="9" spans="1:12">
      <c r="A9" s="32"/>
      <c r="B9" s="33"/>
      <c r="C9" s="33"/>
      <c r="D9" s="33"/>
      <c r="E9" s="34"/>
      <c r="F9" s="32" t="str">
        <f>'0422Master'!AP11</f>
        <v>Rajiv gandhi Info tech park,Village Mann,Pune,Maharashtra 411057</v>
      </c>
      <c r="G9" s="33"/>
      <c r="H9" s="33"/>
      <c r="I9" s="33"/>
      <c r="J9" s="33"/>
      <c r="K9" s="33"/>
      <c r="L9" s="34"/>
    </row>
    <row r="10" spans="1:12">
      <c r="A10" s="35"/>
      <c r="B10" s="36"/>
      <c r="C10" s="36"/>
      <c r="D10" s="36"/>
      <c r="E10" s="37"/>
      <c r="F10" s="35"/>
      <c r="G10" s="36"/>
      <c r="H10" s="36"/>
      <c r="I10" s="36"/>
      <c r="J10" s="36"/>
      <c r="K10" s="36"/>
      <c r="L10" s="37"/>
    </row>
    <row r="11" spans="1:12">
      <c r="A11" s="1164" t="s">
        <v>5</v>
      </c>
      <c r="B11" s="1164" t="s">
        <v>65</v>
      </c>
      <c r="C11" s="1186" t="s">
        <v>66</v>
      </c>
      <c r="D11" s="40" t="s">
        <v>39</v>
      </c>
      <c r="E11" s="1187" t="s">
        <v>67</v>
      </c>
      <c r="F11" s="1163" t="s">
        <v>94</v>
      </c>
      <c r="G11" s="1163" t="s">
        <v>95</v>
      </c>
      <c r="H11" s="1163" t="s">
        <v>96</v>
      </c>
      <c r="I11" s="1163" t="s">
        <v>97</v>
      </c>
      <c r="J11" s="1163" t="s">
        <v>98</v>
      </c>
      <c r="K11" s="1164" t="s">
        <v>99</v>
      </c>
      <c r="L11" s="1188" t="s">
        <v>40</v>
      </c>
    </row>
    <row r="12" spans="1:12" ht="107.1" customHeight="1">
      <c r="A12" s="1164"/>
      <c r="B12" s="1164"/>
      <c r="C12" s="1186"/>
      <c r="D12" s="69"/>
      <c r="E12" s="1187"/>
      <c r="F12" s="1163"/>
      <c r="G12" s="1163"/>
      <c r="H12" s="1163"/>
      <c r="I12" s="1163"/>
      <c r="J12" s="1163"/>
      <c r="K12" s="1164"/>
      <c r="L12" s="1181"/>
    </row>
    <row r="13" spans="1:12">
      <c r="A13" s="45">
        <v>1</v>
      </c>
      <c r="B13" s="45">
        <v>2</v>
      </c>
      <c r="C13" s="45">
        <v>3</v>
      </c>
      <c r="D13" s="52">
        <v>4</v>
      </c>
      <c r="E13" s="45">
        <v>5</v>
      </c>
      <c r="F13" s="45">
        <v>6</v>
      </c>
      <c r="G13" s="45">
        <v>7</v>
      </c>
      <c r="H13" s="45">
        <v>8</v>
      </c>
      <c r="I13" s="45">
        <v>9</v>
      </c>
      <c r="J13" s="45">
        <v>10</v>
      </c>
      <c r="K13" s="45">
        <v>11</v>
      </c>
      <c r="L13" s="45">
        <v>12</v>
      </c>
    </row>
    <row r="14" spans="1:12">
      <c r="A14" s="47"/>
      <c r="B14" s="47"/>
      <c r="C14" s="47"/>
      <c r="D14" s="47"/>
      <c r="E14" s="47"/>
      <c r="F14" s="47"/>
      <c r="G14" s="47"/>
      <c r="H14" s="47"/>
      <c r="I14" s="47"/>
      <c r="J14" s="47"/>
      <c r="K14" s="47"/>
      <c r="L14" s="47"/>
    </row>
    <row r="15" spans="1:12">
      <c r="A15" s="47"/>
      <c r="B15" s="60"/>
      <c r="C15" s="60"/>
      <c r="D15" s="60"/>
      <c r="E15" s="60"/>
      <c r="F15" s="47"/>
      <c r="G15" s="47"/>
      <c r="H15" s="47"/>
      <c r="I15" s="47"/>
      <c r="J15" s="47"/>
      <c r="K15" s="47"/>
      <c r="L15" s="47"/>
    </row>
    <row r="16" spans="1:12">
      <c r="A16" s="65"/>
      <c r="B16" s="1183" t="s">
        <v>100</v>
      </c>
      <c r="C16" s="1184"/>
      <c r="D16" s="1184"/>
      <c r="E16" s="1185"/>
      <c r="F16" s="340">
        <f>'0422Master'!D10</f>
        <v>44652</v>
      </c>
      <c r="G16" s="47"/>
      <c r="H16" s="47"/>
      <c r="I16" s="47"/>
      <c r="J16" s="47"/>
      <c r="K16" s="47"/>
      <c r="L16" s="47"/>
    </row>
    <row r="17" spans="1:12">
      <c r="A17" s="47"/>
      <c r="B17" s="62"/>
      <c r="C17" s="62"/>
      <c r="D17" s="62"/>
      <c r="E17" s="62"/>
      <c r="F17" s="62"/>
      <c r="G17" s="47"/>
      <c r="H17" s="47"/>
      <c r="I17" s="47"/>
      <c r="J17" s="47"/>
      <c r="K17" s="47"/>
      <c r="L17" s="47"/>
    </row>
    <row r="18" spans="1:12">
      <c r="A18" s="47"/>
      <c r="B18" s="341"/>
      <c r="C18" s="341"/>
      <c r="D18" s="341"/>
      <c r="E18" s="341"/>
      <c r="F18" s="341"/>
      <c r="G18" s="47"/>
      <c r="H18" s="47"/>
      <c r="I18" s="47"/>
      <c r="J18" s="47"/>
      <c r="K18" s="47"/>
      <c r="L18" s="47"/>
    </row>
    <row r="19" spans="1:12">
      <c r="A19" s="47"/>
      <c r="B19" s="341"/>
      <c r="C19" s="341"/>
      <c r="D19" s="341"/>
      <c r="E19" s="341"/>
      <c r="F19" s="341"/>
      <c r="G19" s="47"/>
      <c r="H19" s="47"/>
      <c r="I19" s="47"/>
      <c r="J19" s="47"/>
      <c r="K19" s="47"/>
      <c r="L19" s="47"/>
    </row>
    <row r="20" spans="1:12">
      <c r="A20" s="47"/>
      <c r="B20" s="341"/>
      <c r="C20" s="341"/>
      <c r="D20" s="341"/>
      <c r="E20" s="341"/>
      <c r="F20" s="341"/>
      <c r="G20" s="47"/>
      <c r="H20" s="47"/>
      <c r="I20" s="47"/>
      <c r="J20" s="47"/>
      <c r="K20" s="47"/>
      <c r="L20" s="47"/>
    </row>
    <row r="21" spans="1:12">
      <c r="A21" s="47"/>
      <c r="B21" s="341"/>
      <c r="C21" s="341"/>
      <c r="D21" s="341"/>
      <c r="E21" s="341"/>
      <c r="F21" s="341"/>
      <c r="G21" s="47"/>
      <c r="H21" s="47"/>
      <c r="I21" s="47"/>
      <c r="J21" s="47"/>
      <c r="K21" s="47"/>
      <c r="L21" s="47"/>
    </row>
    <row r="22" spans="1:12">
      <c r="A22" s="47"/>
      <c r="B22" s="1183"/>
      <c r="C22" s="1184"/>
      <c r="D22" s="1184"/>
      <c r="E22" s="1185"/>
      <c r="F22" s="340"/>
      <c r="G22" s="47"/>
      <c r="H22" s="47"/>
      <c r="I22" s="47"/>
      <c r="J22" s="47"/>
      <c r="K22" s="47"/>
      <c r="L22" s="47"/>
    </row>
    <row r="23" spans="1:12">
      <c r="A23" s="47"/>
      <c r="B23" s="341"/>
      <c r="C23" s="341"/>
      <c r="D23" s="341"/>
      <c r="E23" s="341"/>
      <c r="F23" s="341"/>
      <c r="G23" s="47"/>
      <c r="H23" s="47"/>
      <c r="I23" s="47"/>
      <c r="J23" s="47"/>
      <c r="K23" s="47"/>
      <c r="L23" s="47"/>
    </row>
    <row r="24" spans="1:12">
      <c r="A24" s="47"/>
      <c r="B24" s="341"/>
      <c r="C24" s="341"/>
      <c r="D24" s="341"/>
      <c r="E24" s="341"/>
      <c r="F24" s="341"/>
      <c r="G24" s="47"/>
      <c r="H24" s="47"/>
      <c r="I24" s="47"/>
      <c r="J24" s="47"/>
      <c r="K24" s="47"/>
      <c r="L24" s="47"/>
    </row>
    <row r="25" spans="1:12">
      <c r="A25" s="47"/>
      <c r="B25" s="341"/>
      <c r="C25" s="341"/>
      <c r="D25" s="341"/>
      <c r="E25" s="341"/>
      <c r="F25" s="341"/>
      <c r="G25" s="47"/>
      <c r="H25" s="47"/>
      <c r="I25" s="47"/>
      <c r="J25" s="47"/>
      <c r="K25" s="47"/>
      <c r="L25" s="47"/>
    </row>
    <row r="26" spans="1:12">
      <c r="A26" s="47"/>
      <c r="B26" s="341"/>
      <c r="C26" s="341"/>
      <c r="D26" s="341"/>
      <c r="E26" s="341"/>
      <c r="F26" s="341"/>
      <c r="G26" s="47"/>
      <c r="H26" s="47"/>
      <c r="I26" s="47"/>
      <c r="J26" s="47"/>
      <c r="K26" s="47"/>
      <c r="L26" s="47"/>
    </row>
    <row r="27" spans="1:12">
      <c r="A27" s="47"/>
      <c r="B27" s="341"/>
      <c r="C27" s="341"/>
      <c r="D27" s="341"/>
      <c r="E27" s="341"/>
      <c r="F27" s="341"/>
      <c r="G27" s="47"/>
      <c r="H27" s="47"/>
      <c r="I27" s="47"/>
      <c r="J27" s="47"/>
      <c r="K27" s="47"/>
      <c r="L27" s="47"/>
    </row>
    <row r="28" spans="1:12">
      <c r="A28" s="47"/>
      <c r="B28" s="1183"/>
      <c r="C28" s="1184"/>
      <c r="D28" s="1184"/>
      <c r="E28" s="1185"/>
      <c r="F28" s="340"/>
      <c r="G28" s="47"/>
      <c r="H28" s="47"/>
      <c r="I28" s="47"/>
      <c r="J28" s="47"/>
      <c r="K28" s="47"/>
      <c r="L28" s="47"/>
    </row>
    <row r="29" spans="1:12">
      <c r="A29" s="47"/>
      <c r="B29" s="47"/>
      <c r="C29" s="47"/>
      <c r="D29" s="47"/>
      <c r="E29" s="47"/>
      <c r="F29" s="47"/>
      <c r="G29" s="47"/>
      <c r="H29" s="47"/>
      <c r="I29" s="47"/>
      <c r="J29" s="47"/>
      <c r="K29" s="47"/>
      <c r="L29" s="47"/>
    </row>
    <row r="30" spans="1:12">
      <c r="A30" s="47"/>
      <c r="B30" s="47"/>
      <c r="C30" s="47"/>
      <c r="D30" s="47"/>
      <c r="E30" s="47"/>
      <c r="F30" s="47"/>
      <c r="G30" s="47"/>
      <c r="H30" s="47"/>
      <c r="I30" s="47"/>
      <c r="J30" s="47"/>
      <c r="K30" s="47"/>
      <c r="L30" s="47"/>
    </row>
    <row r="31" spans="1:12">
      <c r="A31" s="32"/>
      <c r="B31" s="33"/>
      <c r="C31" s="33"/>
      <c r="D31" s="33"/>
      <c r="E31" s="33"/>
      <c r="F31" s="33"/>
      <c r="G31" s="33"/>
      <c r="H31" s="33"/>
      <c r="I31" s="33"/>
      <c r="J31" s="33"/>
      <c r="K31" s="33"/>
      <c r="L31" s="34"/>
    </row>
    <row r="32" spans="1:12">
      <c r="A32" s="32"/>
      <c r="B32" s="33"/>
      <c r="C32" s="33"/>
      <c r="D32" s="33"/>
      <c r="E32" s="33"/>
      <c r="F32" s="33"/>
      <c r="G32" s="33"/>
      <c r="H32" s="33"/>
      <c r="I32" s="33"/>
      <c r="J32" s="33"/>
      <c r="K32" s="33"/>
      <c r="L32" s="34"/>
    </row>
    <row r="33" spans="1:12">
      <c r="A33" s="70"/>
      <c r="G33" t="s">
        <v>38</v>
      </c>
      <c r="L33" s="61"/>
    </row>
    <row r="34" spans="1:12">
      <c r="A34" s="70"/>
      <c r="L34" s="61"/>
    </row>
    <row r="35" spans="1:12">
      <c r="A35" s="71"/>
      <c r="B35" s="16"/>
      <c r="C35" s="16"/>
      <c r="D35" s="16"/>
      <c r="E35" s="16"/>
      <c r="F35" s="16"/>
      <c r="G35" s="16"/>
      <c r="H35" s="16"/>
      <c r="I35" s="16"/>
      <c r="J35" s="16"/>
      <c r="K35" s="16"/>
      <c r="L35" s="72"/>
    </row>
  </sheetData>
  <protectedRanges>
    <protectedRange password="CA4D" sqref="A1:L3 A11:L13 A4:E4 A6:E10 A5 E5" name="Range1"/>
    <protectedRange password="CA4D" sqref="F5:K6 F4:L4" name="Range1_2"/>
    <protectedRange password="CA4D" sqref="F7:L10" name="Range1_4"/>
    <protectedRange password="CA4D" sqref="B5:D5" name="Range1_1"/>
  </protectedRanges>
  <mergeCells count="16">
    <mergeCell ref="B22:E22"/>
    <mergeCell ref="B28:E28"/>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3" right="0.7" top="0.75" bottom="0.75" header="0.3" footer="0.3"/>
  <pageSetup scale="75"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36"/>
  <sheetViews>
    <sheetView topLeftCell="A4" workbookViewId="0">
      <selection activeCell="M15" sqref="M15"/>
    </sheetView>
  </sheetViews>
  <sheetFormatPr defaultRowHeight="15"/>
  <cols>
    <col min="1" max="1" width="7" customWidth="1"/>
    <col min="2" max="2" width="13.7109375" customWidth="1"/>
    <col min="3" max="3" width="15.5703125" customWidth="1"/>
    <col min="4" max="4" width="10.7109375" customWidth="1"/>
    <col min="5" max="5" width="15" customWidth="1"/>
    <col min="7" max="7" width="11.42578125" customWidth="1"/>
    <col min="12" max="12" width="11.140625" customWidth="1"/>
    <col min="13" max="13" width="11.5703125" customWidth="1"/>
    <col min="14" max="14" width="11.7109375" customWidth="1"/>
  </cols>
  <sheetData>
    <row r="1" spans="1:18" ht="14.45" customHeight="1">
      <c r="A1" s="1204" t="s">
        <v>502</v>
      </c>
      <c r="B1" s="1205"/>
      <c r="C1" s="1205"/>
      <c r="D1" s="1205"/>
      <c r="E1" s="1205"/>
      <c r="F1" s="1205"/>
      <c r="G1" s="1205"/>
      <c r="H1" s="1205"/>
      <c r="I1" s="1205"/>
      <c r="J1" s="1205"/>
      <c r="K1" s="1205"/>
      <c r="L1" s="1205"/>
      <c r="M1" s="1205"/>
      <c r="N1" s="1205"/>
      <c r="O1" s="1205"/>
      <c r="P1" s="1205"/>
      <c r="Q1" s="1205"/>
      <c r="R1" s="1206"/>
    </row>
    <row r="2" spans="1:18" ht="14.45" customHeight="1">
      <c r="A2" s="1207"/>
      <c r="B2" s="1208"/>
      <c r="C2" s="1208"/>
      <c r="D2" s="1208"/>
      <c r="E2" s="1208"/>
      <c r="F2" s="1208"/>
      <c r="G2" s="1208"/>
      <c r="H2" s="1208"/>
      <c r="I2" s="1208"/>
      <c r="J2" s="1208"/>
      <c r="K2" s="1208"/>
      <c r="L2" s="1208"/>
      <c r="M2" s="1208"/>
      <c r="N2" s="1208"/>
      <c r="O2" s="1208"/>
      <c r="P2" s="1208"/>
      <c r="Q2" s="1208"/>
      <c r="R2" s="1209"/>
    </row>
    <row r="3" spans="1:18">
      <c r="A3" s="1210" t="s">
        <v>503</v>
      </c>
      <c r="B3" s="1210"/>
      <c r="C3" s="1210"/>
      <c r="D3" s="1210"/>
      <c r="E3" s="1210"/>
      <c r="F3" s="1210"/>
      <c r="G3" s="1210"/>
      <c r="H3" s="1210"/>
      <c r="I3" s="1210"/>
      <c r="J3" s="1210"/>
      <c r="K3" s="1210"/>
      <c r="L3" s="1210"/>
      <c r="M3" s="1210"/>
      <c r="N3" s="1210"/>
      <c r="O3" s="1210"/>
      <c r="P3" s="1210"/>
      <c r="Q3" s="1210"/>
      <c r="R3" s="1210"/>
    </row>
    <row r="4" spans="1:18" ht="15" customHeight="1">
      <c r="A4" s="1210" t="s">
        <v>504</v>
      </c>
      <c r="B4" s="1210"/>
      <c r="C4" s="1210"/>
      <c r="D4" s="1210"/>
      <c r="E4" s="1210"/>
      <c r="F4" s="1210"/>
      <c r="G4" s="1210"/>
      <c r="H4" s="1210"/>
      <c r="I4" s="1210"/>
      <c r="J4" s="1210"/>
      <c r="K4" s="1210"/>
      <c r="L4" s="1210"/>
      <c r="M4" s="1210"/>
      <c r="N4" s="1210"/>
      <c r="O4" s="1210"/>
      <c r="P4" s="1210"/>
      <c r="Q4" s="1210"/>
      <c r="R4" s="1210"/>
    </row>
    <row r="5" spans="1:18">
      <c r="A5" s="317"/>
      <c r="B5" s="1210" t="s">
        <v>505</v>
      </c>
      <c r="C5" s="1210"/>
      <c r="D5" s="1210"/>
      <c r="E5" s="1210"/>
      <c r="F5" s="1210"/>
      <c r="G5" s="1210"/>
      <c r="H5" s="1210"/>
      <c r="I5" s="1210"/>
      <c r="J5" s="1210"/>
      <c r="K5" s="1210"/>
      <c r="L5" s="1210"/>
      <c r="M5" s="1210"/>
      <c r="N5" s="1210"/>
      <c r="O5" s="1210"/>
      <c r="P5" s="1210"/>
      <c r="Q5" s="1210"/>
      <c r="R5" s="1210"/>
    </row>
    <row r="6" spans="1:18">
      <c r="A6" s="1211"/>
      <c r="B6" s="1211"/>
      <c r="C6" s="1211"/>
      <c r="D6" s="1212"/>
      <c r="E6" s="1211"/>
      <c r="F6" s="284"/>
      <c r="G6" s="285"/>
      <c r="H6" s="285"/>
      <c r="I6" s="283"/>
      <c r="J6" s="283"/>
      <c r="K6" s="283"/>
      <c r="L6" s="283"/>
      <c r="M6" s="283"/>
      <c r="N6" s="283"/>
      <c r="O6" s="283"/>
      <c r="P6" s="285"/>
      <c r="Q6" s="285"/>
      <c r="R6" s="286"/>
    </row>
    <row r="7" spans="1:18">
      <c r="A7" s="1201" t="s">
        <v>5</v>
      </c>
      <c r="B7" s="1193" t="s">
        <v>506</v>
      </c>
      <c r="C7" s="1193" t="s">
        <v>507</v>
      </c>
      <c r="D7" s="1189" t="s">
        <v>508</v>
      </c>
      <c r="E7" s="1193" t="s">
        <v>39</v>
      </c>
      <c r="F7" s="1193" t="s">
        <v>102</v>
      </c>
      <c r="G7" s="318"/>
      <c r="H7" s="1189" t="s">
        <v>104</v>
      </c>
      <c r="I7" s="1195" t="s">
        <v>509</v>
      </c>
      <c r="J7" s="1196"/>
      <c r="K7" s="1196"/>
      <c r="L7" s="1196"/>
      <c r="M7" s="314"/>
      <c r="N7" s="314"/>
      <c r="O7" s="314"/>
      <c r="P7" s="1199" t="s">
        <v>510</v>
      </c>
      <c r="Q7" s="1200" t="s">
        <v>105</v>
      </c>
      <c r="R7" s="1189" t="s">
        <v>511</v>
      </c>
    </row>
    <row r="8" spans="1:18" ht="171.75">
      <c r="A8" s="1202"/>
      <c r="B8" s="1191"/>
      <c r="C8" s="1191"/>
      <c r="D8" s="1194"/>
      <c r="E8" s="1191"/>
      <c r="F8" s="1191"/>
      <c r="G8" s="1191" t="s">
        <v>103</v>
      </c>
      <c r="H8" s="1194"/>
      <c r="I8" s="1197"/>
      <c r="J8" s="1198"/>
      <c r="K8" s="1198"/>
      <c r="L8" s="1198"/>
      <c r="M8" s="315"/>
      <c r="N8" s="319" t="s">
        <v>512</v>
      </c>
      <c r="O8" s="319" t="s">
        <v>513</v>
      </c>
      <c r="P8" s="1199"/>
      <c r="Q8" s="1200"/>
      <c r="R8" s="1190"/>
    </row>
    <row r="9" spans="1:18" ht="35.1" customHeight="1">
      <c r="A9" s="1203"/>
      <c r="B9" s="1192"/>
      <c r="C9" s="1192"/>
      <c r="D9" s="1190"/>
      <c r="E9" s="1192"/>
      <c r="F9" s="1192"/>
      <c r="G9" s="1192"/>
      <c r="H9" s="1190"/>
      <c r="I9" s="320" t="s">
        <v>514</v>
      </c>
      <c r="J9" s="321" t="s">
        <v>515</v>
      </c>
      <c r="K9" s="322" t="s">
        <v>516</v>
      </c>
      <c r="L9" s="322" t="s">
        <v>517</v>
      </c>
      <c r="M9" s="322" t="s">
        <v>198</v>
      </c>
      <c r="N9" s="322"/>
      <c r="O9" s="322"/>
      <c r="P9" s="290"/>
      <c r="Q9" s="290"/>
      <c r="R9" s="290"/>
    </row>
    <row r="10" spans="1:18" ht="18" customHeight="1">
      <c r="A10" s="323">
        <v>1</v>
      </c>
      <c r="B10" s="323">
        <v>2</v>
      </c>
      <c r="C10" s="323">
        <v>3</v>
      </c>
      <c r="D10" s="323">
        <v>4</v>
      </c>
      <c r="E10" s="323">
        <v>5</v>
      </c>
      <c r="F10" s="323">
        <v>6</v>
      </c>
      <c r="G10" s="324">
        <v>7</v>
      </c>
      <c r="H10" s="324">
        <v>8</v>
      </c>
      <c r="I10" s="323">
        <v>9</v>
      </c>
      <c r="J10" s="323">
        <v>10</v>
      </c>
      <c r="K10" s="323">
        <v>11</v>
      </c>
      <c r="L10" s="323">
        <v>12</v>
      </c>
      <c r="M10" s="323">
        <v>13</v>
      </c>
      <c r="N10" s="323">
        <v>14</v>
      </c>
      <c r="O10" s="323">
        <v>15</v>
      </c>
      <c r="P10" s="323">
        <v>16</v>
      </c>
      <c r="Q10" s="323">
        <v>17</v>
      </c>
      <c r="R10" s="323">
        <v>18</v>
      </c>
    </row>
    <row r="11" spans="1:18" ht="20.100000000000001" customHeight="1" thickBot="1">
      <c r="A11" s="303"/>
      <c r="B11" s="325"/>
      <c r="C11" s="325"/>
      <c r="D11" s="325"/>
      <c r="E11" s="325"/>
      <c r="F11" s="303"/>
      <c r="G11" s="303"/>
      <c r="H11" s="303"/>
      <c r="I11" s="303"/>
      <c r="J11" s="303"/>
      <c r="K11" s="303"/>
      <c r="L11" s="303"/>
      <c r="M11" s="303"/>
      <c r="N11" s="303"/>
      <c r="O11" s="303"/>
      <c r="P11" s="303"/>
      <c r="Q11" s="303"/>
      <c r="R11" s="303"/>
    </row>
    <row r="12" spans="1:18" ht="15.75" thickBot="1">
      <c r="A12" s="303"/>
      <c r="B12" s="326" t="s">
        <v>106</v>
      </c>
      <c r="C12" s="327"/>
      <c r="D12" s="327"/>
      <c r="E12" s="328"/>
      <c r="F12" s="340">
        <f>'0422Master'!D10</f>
        <v>44652</v>
      </c>
      <c r="G12" s="303"/>
      <c r="H12" s="303"/>
      <c r="I12" s="303"/>
      <c r="J12" s="303"/>
      <c r="K12" s="303"/>
      <c r="L12" s="303"/>
      <c r="M12" s="303"/>
      <c r="N12" s="303"/>
      <c r="O12" s="303"/>
      <c r="P12" s="303"/>
      <c r="Q12" s="303"/>
      <c r="R12" s="303"/>
    </row>
    <row r="13" spans="1:18">
      <c r="A13" s="303"/>
      <c r="B13" s="329"/>
      <c r="C13" s="329"/>
      <c r="D13" s="329"/>
      <c r="E13" s="329"/>
      <c r="F13" s="62"/>
      <c r="G13" s="303"/>
      <c r="H13" s="303"/>
      <c r="I13" s="303"/>
      <c r="J13" s="303"/>
      <c r="K13" s="303"/>
      <c r="L13" s="303"/>
      <c r="M13" s="303"/>
      <c r="N13" s="303"/>
      <c r="O13" s="303"/>
      <c r="P13" s="303"/>
      <c r="Q13" s="303"/>
      <c r="R13" s="303"/>
    </row>
    <row r="14" spans="1:18">
      <c r="A14" s="303"/>
      <c r="B14" s="303"/>
      <c r="C14" s="303"/>
      <c r="D14" s="303"/>
      <c r="E14" s="303"/>
      <c r="F14" s="341"/>
      <c r="G14" s="303"/>
      <c r="H14" s="303"/>
      <c r="I14" s="303"/>
      <c r="J14" s="303"/>
      <c r="K14" s="303"/>
      <c r="L14" s="303"/>
      <c r="M14" s="303"/>
      <c r="N14" s="303"/>
      <c r="O14" s="303"/>
      <c r="P14" s="303"/>
      <c r="Q14" s="303"/>
      <c r="R14" s="303"/>
    </row>
    <row r="15" spans="1:18">
      <c r="A15" s="303"/>
      <c r="B15" s="303"/>
      <c r="C15" s="303"/>
      <c r="D15" s="303"/>
      <c r="E15" s="303"/>
      <c r="F15" s="341"/>
      <c r="G15" s="303"/>
      <c r="H15" s="303"/>
      <c r="I15" s="303"/>
      <c r="J15" s="303"/>
      <c r="K15" s="303"/>
      <c r="L15" s="303"/>
      <c r="M15" s="303"/>
      <c r="N15" s="303"/>
      <c r="O15" s="303"/>
      <c r="P15" s="303"/>
      <c r="Q15" s="303"/>
      <c r="R15" s="303"/>
    </row>
    <row r="16" spans="1:18" s="330" customFormat="1">
      <c r="A16" s="303"/>
      <c r="B16" s="303"/>
      <c r="C16" s="303"/>
      <c r="D16" s="303"/>
      <c r="E16" s="303"/>
      <c r="F16" s="341"/>
      <c r="G16" s="303"/>
      <c r="H16" s="303"/>
      <c r="I16" s="303"/>
      <c r="J16" s="303"/>
      <c r="K16" s="303"/>
      <c r="L16" s="303"/>
      <c r="M16" s="303"/>
      <c r="N16" s="303"/>
      <c r="O16" s="303"/>
      <c r="P16" s="303"/>
      <c r="Q16" s="303"/>
      <c r="R16" s="303"/>
    </row>
    <row r="17" spans="1:18" s="330" customFormat="1">
      <c r="A17" s="303"/>
      <c r="B17" s="325"/>
      <c r="C17" s="303"/>
      <c r="D17" s="303"/>
      <c r="E17" s="303"/>
      <c r="F17" s="341"/>
      <c r="G17" s="303"/>
      <c r="H17" s="303"/>
      <c r="I17" s="303"/>
      <c r="J17" s="303"/>
      <c r="K17" s="303"/>
      <c r="L17" s="303"/>
      <c r="M17" s="303"/>
      <c r="N17" s="303"/>
      <c r="O17" s="303"/>
      <c r="P17" s="303"/>
      <c r="Q17" s="303"/>
      <c r="R17" s="303"/>
    </row>
    <row r="18" spans="1:18">
      <c r="A18" s="375"/>
      <c r="B18" s="283"/>
      <c r="C18" s="376"/>
      <c r="D18" s="303"/>
      <c r="E18" s="303"/>
      <c r="F18" s="340"/>
      <c r="G18" s="303"/>
      <c r="H18" s="303"/>
      <c r="I18" s="303"/>
      <c r="J18" s="303"/>
      <c r="K18" s="303"/>
      <c r="L18" s="303"/>
      <c r="M18" s="303"/>
      <c r="N18" s="303"/>
      <c r="O18" s="303"/>
      <c r="P18" s="303"/>
      <c r="Q18" s="303"/>
      <c r="R18" s="303"/>
    </row>
    <row r="19" spans="1:18">
      <c r="A19" s="303"/>
      <c r="B19" s="329"/>
      <c r="C19" s="303"/>
      <c r="D19" s="303"/>
      <c r="E19" s="303"/>
      <c r="F19" s="341"/>
      <c r="G19" s="303"/>
      <c r="H19" s="303"/>
      <c r="I19" s="303"/>
      <c r="J19" s="303"/>
      <c r="K19" s="303"/>
      <c r="L19" s="303"/>
      <c r="M19" s="303"/>
      <c r="N19" s="303"/>
      <c r="O19" s="303"/>
      <c r="P19" s="303"/>
      <c r="Q19" s="303"/>
      <c r="R19" s="303"/>
    </row>
    <row r="20" spans="1:18">
      <c r="A20" s="303"/>
      <c r="B20" s="303"/>
      <c r="C20" s="303"/>
      <c r="D20" s="303"/>
      <c r="E20" s="303"/>
      <c r="F20" s="341"/>
      <c r="G20" s="303"/>
      <c r="H20" s="303"/>
      <c r="I20" s="303"/>
      <c r="J20" s="303"/>
      <c r="K20" s="303"/>
      <c r="L20" s="303"/>
      <c r="M20" s="303"/>
      <c r="N20" s="303"/>
      <c r="O20" s="303"/>
      <c r="P20" s="303"/>
      <c r="Q20" s="303"/>
      <c r="R20" s="303"/>
    </row>
    <row r="21" spans="1:18">
      <c r="A21" s="288"/>
      <c r="B21" s="288"/>
      <c r="C21" s="288"/>
      <c r="D21" s="288"/>
      <c r="E21" s="288"/>
      <c r="F21" s="341"/>
      <c r="G21" s="288"/>
      <c r="H21" s="288"/>
      <c r="I21" s="288"/>
      <c r="J21" s="288"/>
      <c r="K21" s="288"/>
      <c r="L21" s="288"/>
      <c r="M21" s="288"/>
      <c r="N21" s="288"/>
      <c r="O21" s="288"/>
      <c r="P21" s="288"/>
      <c r="Q21" s="288"/>
      <c r="R21" s="288"/>
    </row>
    <row r="22" spans="1:18">
      <c r="A22" s="288"/>
      <c r="B22" s="288"/>
      <c r="C22" s="288"/>
      <c r="D22" s="288"/>
      <c r="E22" s="288"/>
      <c r="F22" s="341"/>
      <c r="G22" s="288"/>
      <c r="H22" s="288"/>
      <c r="I22" s="288"/>
      <c r="J22" s="288"/>
      <c r="K22" s="288"/>
      <c r="L22" s="288"/>
      <c r="M22" s="288"/>
      <c r="N22" s="288"/>
      <c r="O22" s="288"/>
      <c r="P22" s="288"/>
      <c r="Q22" s="288"/>
      <c r="R22" s="288"/>
    </row>
    <row r="23" spans="1:18">
      <c r="A23" s="288"/>
      <c r="B23" s="288"/>
      <c r="C23" s="288"/>
      <c r="D23" s="288"/>
      <c r="E23" s="288"/>
      <c r="F23" s="341"/>
      <c r="G23" s="288"/>
      <c r="H23" s="288"/>
      <c r="I23" s="288"/>
      <c r="J23" s="288"/>
      <c r="K23" s="288"/>
      <c r="L23" s="288"/>
      <c r="M23" s="288"/>
      <c r="N23" s="288"/>
      <c r="O23" s="288"/>
      <c r="P23" s="288"/>
      <c r="Q23" s="288"/>
      <c r="R23" s="288"/>
    </row>
    <row r="24" spans="1:18">
      <c r="A24" s="288"/>
      <c r="B24" s="303"/>
      <c r="C24" s="288"/>
      <c r="D24" s="288"/>
      <c r="E24" s="288"/>
      <c r="F24" s="360"/>
      <c r="G24" s="288"/>
      <c r="H24" s="288"/>
      <c r="I24" s="288"/>
      <c r="J24" s="288"/>
      <c r="K24" s="288"/>
      <c r="L24" s="288"/>
      <c r="M24" s="288"/>
      <c r="N24" s="288"/>
      <c r="O24" s="288"/>
      <c r="P24" s="288"/>
      <c r="Q24" s="288"/>
      <c r="R24" s="288"/>
    </row>
    <row r="27" spans="1:18">
      <c r="M27" t="s">
        <v>38</v>
      </c>
    </row>
    <row r="32" spans="1:18">
      <c r="M32" s="330" t="s">
        <v>38</v>
      </c>
      <c r="N32" s="330"/>
      <c r="O32" s="330"/>
    </row>
    <row r="36" spans="13:15">
      <c r="M36" s="330"/>
      <c r="N36" s="330"/>
      <c r="O36" s="330"/>
    </row>
  </sheetData>
  <protectedRanges>
    <protectedRange password="CA4D" sqref="A6:E6 A9:R9 A7:A8 A1:R5 C7:R8" name="Range1_5"/>
    <protectedRange password="CA4D" sqref="F6:R6" name="Range1_4_1"/>
    <protectedRange password="CA4D" sqref="B7:B8" name="Range1_3_1"/>
  </protectedRanges>
  <mergeCells count="17">
    <mergeCell ref="A1:R2"/>
    <mergeCell ref="A3:R3"/>
    <mergeCell ref="A4:R4"/>
    <mergeCell ref="B5:R5"/>
    <mergeCell ref="A6:E6"/>
    <mergeCell ref="A7:A9"/>
    <mergeCell ref="B7:B9"/>
    <mergeCell ref="C7:C9"/>
    <mergeCell ref="D7:D9"/>
    <mergeCell ref="E7:E9"/>
    <mergeCell ref="R7:R8"/>
    <mergeCell ref="G8:G9"/>
    <mergeCell ref="F7:F9"/>
    <mergeCell ref="H7:H9"/>
    <mergeCell ref="I7:L8"/>
    <mergeCell ref="P7:P8"/>
    <mergeCell ref="Q7:Q8"/>
  </mergeCells>
  <pageMargins left="0.70866141732283472" right="0.70866141732283472" top="0.74803149606299213" bottom="0.74803149606299213" header="0.31496062992125984" footer="0.31496062992125984"/>
  <pageSetup scale="60" orientation="landscape"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22"/>
  <sheetViews>
    <sheetView workbookViewId="0">
      <selection activeCell="D3" sqref="D3"/>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2" t="str">
        <f>'0422Master'!F5</f>
        <v>Burgeon IT Services Pvt.Ltd.</v>
      </c>
      <c r="E1" s="2" t="s">
        <v>180</v>
      </c>
    </row>
    <row r="2" spans="2:7">
      <c r="B2" s="131" t="s">
        <v>5</v>
      </c>
      <c r="C2" s="131" t="s">
        <v>141</v>
      </c>
      <c r="D2" s="131" t="s">
        <v>133</v>
      </c>
      <c r="E2" s="131" t="s">
        <v>178</v>
      </c>
      <c r="F2" s="131" t="s">
        <v>179</v>
      </c>
      <c r="G2" s="131" t="s">
        <v>40</v>
      </c>
    </row>
    <row r="3" spans="2:7">
      <c r="B3" s="10">
        <v>1</v>
      </c>
      <c r="C3" s="26" t="e">
        <f>'0422Master'!#REF!</f>
        <v>#REF!</v>
      </c>
      <c r="D3" s="26" t="e">
        <f>'0422Master'!#REF!</f>
        <v>#REF!</v>
      </c>
      <c r="E3" s="10"/>
      <c r="F3" s="10"/>
      <c r="G3" s="10"/>
    </row>
    <row r="4" spans="2:7">
      <c r="B4" s="10">
        <v>2</v>
      </c>
      <c r="C4" s="26" t="e">
        <f>'0422Master'!#REF!</f>
        <v>#REF!</v>
      </c>
      <c r="D4" s="26" t="e">
        <f>'0422Master'!#REF!</f>
        <v>#REF!</v>
      </c>
      <c r="E4" s="10"/>
      <c r="F4" s="10"/>
      <c r="G4" s="10"/>
    </row>
    <row r="5" spans="2:7">
      <c r="B5" s="10">
        <v>3</v>
      </c>
      <c r="C5" s="26" t="e">
        <f>'0422Master'!#REF!</f>
        <v>#REF!</v>
      </c>
      <c r="D5" s="26" t="e">
        <f>'0422Master'!#REF!</f>
        <v>#REF!</v>
      </c>
      <c r="E5" s="10"/>
      <c r="F5" s="10"/>
      <c r="G5" s="10"/>
    </row>
    <row r="6" spans="2:7">
      <c r="B6" s="10">
        <v>4</v>
      </c>
      <c r="C6" s="26" t="e">
        <f>'0422Master'!#REF!</f>
        <v>#REF!</v>
      </c>
      <c r="D6" s="26" t="e">
        <f>'0422Master'!#REF!</f>
        <v>#REF!</v>
      </c>
      <c r="E6" s="10"/>
      <c r="F6" s="10"/>
      <c r="G6" s="10"/>
    </row>
    <row r="7" spans="2:7">
      <c r="B7" s="10">
        <v>5</v>
      </c>
      <c r="C7" s="26" t="e">
        <f>'0422Master'!#REF!</f>
        <v>#REF!</v>
      </c>
      <c r="D7" s="26" t="e">
        <f>'0422Master'!#REF!</f>
        <v>#REF!</v>
      </c>
      <c r="E7" s="10"/>
      <c r="F7" s="10"/>
      <c r="G7" s="10"/>
    </row>
    <row r="8" spans="2:7">
      <c r="B8" s="10">
        <v>6</v>
      </c>
      <c r="C8" s="26" t="e">
        <f>'0422Master'!#REF!</f>
        <v>#REF!</v>
      </c>
      <c r="D8" s="26" t="e">
        <f>'0422Master'!#REF!</f>
        <v>#REF!</v>
      </c>
      <c r="E8" s="10"/>
      <c r="F8" s="10"/>
      <c r="G8" s="10"/>
    </row>
    <row r="9" spans="2:7">
      <c r="B9" s="10">
        <v>7</v>
      </c>
      <c r="C9" s="26" t="e">
        <f>'0422Master'!#REF!</f>
        <v>#REF!</v>
      </c>
      <c r="D9" s="26" t="e">
        <f>'0422Master'!#REF!</f>
        <v>#REF!</v>
      </c>
      <c r="E9" s="10"/>
      <c r="F9" s="10"/>
      <c r="G9" s="10"/>
    </row>
    <row r="10" spans="2:7">
      <c r="B10" s="10">
        <v>8</v>
      </c>
      <c r="C10" s="26" t="e">
        <f>'0422Master'!#REF!</f>
        <v>#REF!</v>
      </c>
      <c r="D10" s="26" t="e">
        <f>'0422Master'!#REF!</f>
        <v>#REF!</v>
      </c>
      <c r="E10" s="10"/>
      <c r="F10" s="10"/>
      <c r="G10" s="10"/>
    </row>
    <row r="11" spans="2:7">
      <c r="B11" s="10">
        <v>9</v>
      </c>
      <c r="C11" s="26" t="e">
        <f>'0422Master'!#REF!</f>
        <v>#REF!</v>
      </c>
      <c r="D11" s="26" t="e">
        <f>'0422Master'!#REF!</f>
        <v>#REF!</v>
      </c>
      <c r="E11" s="10"/>
      <c r="F11" s="10"/>
      <c r="G11" s="10"/>
    </row>
    <row r="12" spans="2:7">
      <c r="B12" s="10">
        <v>10</v>
      </c>
      <c r="C12" s="26" t="e">
        <f>'0422Master'!#REF!</f>
        <v>#REF!</v>
      </c>
      <c r="D12" s="26" t="e">
        <f>'0422Master'!#REF!</f>
        <v>#REF!</v>
      </c>
      <c r="E12" s="10"/>
      <c r="F12" s="10"/>
      <c r="G12" s="10"/>
    </row>
    <row r="13" spans="2:7">
      <c r="B13" s="10">
        <v>11</v>
      </c>
      <c r="C13" s="26" t="e">
        <f>'0422Master'!#REF!</f>
        <v>#REF!</v>
      </c>
      <c r="D13" s="26" t="e">
        <f>'0422Master'!#REF!</f>
        <v>#REF!</v>
      </c>
      <c r="E13" s="10"/>
      <c r="F13" s="10"/>
      <c r="G13" s="10"/>
    </row>
    <row r="14" spans="2:7">
      <c r="B14" s="10">
        <v>12</v>
      </c>
      <c r="C14" s="26" t="e">
        <f>'0422Master'!#REF!</f>
        <v>#REF!</v>
      </c>
      <c r="D14" s="26" t="e">
        <f>'0422Master'!#REF!</f>
        <v>#REF!</v>
      </c>
      <c r="E14" s="10"/>
      <c r="F14" s="10"/>
      <c r="G14" s="10"/>
    </row>
    <row r="15" spans="2:7">
      <c r="B15" s="10">
        <v>13</v>
      </c>
      <c r="C15" s="26" t="e">
        <f>'0422Master'!#REF!</f>
        <v>#REF!</v>
      </c>
      <c r="D15" s="26" t="e">
        <f>'0422Master'!#REF!</f>
        <v>#REF!</v>
      </c>
      <c r="E15" s="10"/>
      <c r="F15" s="10"/>
      <c r="G15" s="10"/>
    </row>
    <row r="16" spans="2:7">
      <c r="B16" s="10">
        <v>14</v>
      </c>
      <c r="C16" s="26" t="e">
        <f>'0422Master'!#REF!</f>
        <v>#REF!</v>
      </c>
      <c r="D16" s="26" t="e">
        <f>'0422Master'!#REF!</f>
        <v>#REF!</v>
      </c>
      <c r="E16" s="10"/>
      <c r="F16" s="10"/>
      <c r="G16" s="10"/>
    </row>
    <row r="17" spans="2:7">
      <c r="B17" s="10">
        <v>15</v>
      </c>
      <c r="C17" s="26" t="e">
        <f>'0422Master'!#REF!</f>
        <v>#REF!</v>
      </c>
      <c r="D17" s="26" t="e">
        <f>'0422Master'!#REF!</f>
        <v>#REF!</v>
      </c>
      <c r="E17" s="10"/>
      <c r="F17" s="10"/>
      <c r="G17" s="10"/>
    </row>
    <row r="18" spans="2:7">
      <c r="B18" s="10">
        <v>16</v>
      </c>
      <c r="C18" s="26" t="e">
        <f>'0422Master'!#REF!</f>
        <v>#REF!</v>
      </c>
      <c r="D18" s="26" t="e">
        <f>'0422Master'!#REF!</f>
        <v>#REF!</v>
      </c>
      <c r="E18" s="10"/>
      <c r="F18" s="10"/>
      <c r="G18" s="10"/>
    </row>
    <row r="19" spans="2:7">
      <c r="B19" s="10">
        <v>17</v>
      </c>
      <c r="C19" s="26" t="e">
        <f>'0422Master'!#REF!</f>
        <v>#REF!</v>
      </c>
      <c r="D19" s="26" t="e">
        <f>'0422Master'!#REF!</f>
        <v>#REF!</v>
      </c>
      <c r="E19" s="10"/>
      <c r="F19" s="10"/>
      <c r="G19" s="10"/>
    </row>
    <row r="20" spans="2:7">
      <c r="B20" s="10">
        <v>18</v>
      </c>
      <c r="C20" s="26" t="e">
        <f>'0422Master'!#REF!</f>
        <v>#REF!</v>
      </c>
      <c r="D20" s="26" t="e">
        <f>'0422Master'!#REF!</f>
        <v>#REF!</v>
      </c>
      <c r="E20" s="10"/>
      <c r="F20" s="10"/>
      <c r="G20" s="10"/>
    </row>
    <row r="21" spans="2:7">
      <c r="B21" s="10">
        <v>19</v>
      </c>
      <c r="C21" s="26" t="e">
        <f>'0422Master'!#REF!</f>
        <v>#REF!</v>
      </c>
      <c r="D21" s="26" t="e">
        <f>'0422Master'!#REF!</f>
        <v>#REF!</v>
      </c>
      <c r="E21" s="10"/>
      <c r="F21" s="10"/>
      <c r="G21" s="10"/>
    </row>
    <row r="22" spans="2:7">
      <c r="B22" s="10">
        <v>20</v>
      </c>
      <c r="C22" s="26" t="e">
        <f>'0422Master'!#REF!</f>
        <v>#REF!</v>
      </c>
      <c r="D22" s="26" t="e">
        <f>'0422Master'!#REF!</f>
        <v>#REF!</v>
      </c>
      <c r="E22" s="10"/>
      <c r="F22" s="10"/>
      <c r="G22" s="10"/>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63"/>
  <sheetViews>
    <sheetView topLeftCell="A16" workbookViewId="0">
      <selection activeCell="M390" sqref="M390"/>
    </sheetView>
  </sheetViews>
  <sheetFormatPr defaultRowHeight="15"/>
  <cols>
    <col min="6" max="6" width="16.85546875" customWidth="1"/>
    <col min="10" max="10" width="14.5703125" customWidth="1"/>
    <col min="12" max="12" width="22.7109375" customWidth="1"/>
  </cols>
  <sheetData>
    <row r="1" spans="1:12" ht="29.25" customHeight="1">
      <c r="A1" s="73"/>
      <c r="B1" s="1214" t="s">
        <v>182</v>
      </c>
      <c r="C1" s="1105"/>
      <c r="D1" s="1105"/>
      <c r="E1" s="1105"/>
      <c r="F1" s="1105"/>
      <c r="G1" s="1105"/>
      <c r="H1" s="1105"/>
      <c r="I1" s="1105"/>
      <c r="J1" s="1105"/>
      <c r="K1" s="1105"/>
      <c r="L1" s="1106"/>
    </row>
    <row r="2" spans="1:12" ht="23.25">
      <c r="A2" s="12"/>
      <c r="B2" s="1223" t="s">
        <v>183</v>
      </c>
      <c r="C2" s="1223"/>
      <c r="D2" s="1223"/>
      <c r="E2" s="1223"/>
      <c r="F2" s="1223"/>
      <c r="G2" s="1223"/>
      <c r="H2" s="1223"/>
      <c r="I2" s="1223"/>
      <c r="J2" s="1223"/>
      <c r="K2" s="1223"/>
      <c r="L2" s="1086"/>
    </row>
    <row r="3" spans="1:12" ht="12.75" customHeight="1" thickBot="1">
      <c r="A3" s="24"/>
      <c r="B3" s="1088" t="s">
        <v>184</v>
      </c>
      <c r="C3" s="1088"/>
      <c r="D3" s="1088"/>
      <c r="E3" s="1088"/>
      <c r="F3" s="1088"/>
      <c r="G3" s="1088"/>
      <c r="H3" s="1088"/>
      <c r="I3" s="1088"/>
      <c r="J3" s="1088"/>
      <c r="K3" s="1088"/>
      <c r="L3" s="1089"/>
    </row>
    <row r="4" spans="1:12">
      <c r="A4" s="12"/>
      <c r="B4" s="1224" t="s">
        <v>109</v>
      </c>
      <c r="C4" s="1224"/>
      <c r="D4" s="1224"/>
      <c r="E4" s="1224"/>
      <c r="F4" s="1224"/>
      <c r="H4" s="1225" t="s">
        <v>110</v>
      </c>
      <c r="I4" s="1225"/>
      <c r="J4" s="1225"/>
      <c r="K4" s="1225"/>
      <c r="L4" s="1093"/>
    </row>
    <row r="5" spans="1:12" ht="15.75" thickBot="1">
      <c r="A5" s="12"/>
      <c r="B5" s="1224"/>
      <c r="C5" s="1224"/>
      <c r="D5" s="1224"/>
      <c r="E5" s="1224"/>
      <c r="F5" s="1224"/>
      <c r="H5" s="1225"/>
      <c r="I5" s="1225"/>
      <c r="J5" s="1225"/>
      <c r="K5" s="1225"/>
      <c r="L5" s="1093"/>
    </row>
    <row r="6" spans="1:12">
      <c r="A6" s="12"/>
      <c r="B6" s="73"/>
      <c r="C6" s="74"/>
      <c r="D6" s="74"/>
      <c r="E6" s="74"/>
      <c r="F6" s="75"/>
      <c r="H6" s="73"/>
      <c r="I6" s="74"/>
      <c r="J6" s="74"/>
      <c r="K6" s="74"/>
      <c r="L6" s="75"/>
    </row>
    <row r="7" spans="1:12">
      <c r="A7" s="12"/>
      <c r="B7" s="76" t="e">
        <f>#REF!</f>
        <v>#REF!</v>
      </c>
      <c r="F7" s="13"/>
      <c r="H7" s="76" t="e">
        <f>#REF!</f>
        <v>#REF!</v>
      </c>
      <c r="L7" s="13"/>
    </row>
    <row r="8" spans="1:12">
      <c r="A8" s="12"/>
      <c r="B8" s="12"/>
      <c r="F8" s="13"/>
      <c r="H8" s="12"/>
      <c r="L8" s="13"/>
    </row>
    <row r="9" spans="1:12">
      <c r="A9" s="12"/>
      <c r="B9" s="76" t="e">
        <f>#REF!</f>
        <v>#REF!</v>
      </c>
      <c r="F9" s="13"/>
      <c r="H9" s="76" t="e">
        <f>#REF!</f>
        <v>#REF!</v>
      </c>
      <c r="L9" s="13"/>
    </row>
    <row r="10" spans="1:12" ht="15.75" thickBot="1">
      <c r="A10" s="12"/>
      <c r="B10" s="24"/>
      <c r="C10" s="22"/>
      <c r="D10" s="22"/>
      <c r="E10" s="22"/>
      <c r="F10" s="23"/>
      <c r="H10" s="24"/>
      <c r="I10" s="22"/>
      <c r="J10" s="22"/>
      <c r="K10" s="22"/>
      <c r="L10" s="23"/>
    </row>
    <row r="11" spans="1:12">
      <c r="A11" s="12"/>
      <c r="J11" t="s">
        <v>111</v>
      </c>
      <c r="L11" s="13"/>
    </row>
    <row r="12" spans="1:12">
      <c r="A12" s="12"/>
      <c r="B12" s="1226" t="s">
        <v>112</v>
      </c>
      <c r="C12" s="1226"/>
      <c r="D12" s="1226"/>
      <c r="E12" s="1226"/>
      <c r="F12" s="1226"/>
      <c r="H12" s="1226" t="s">
        <v>4</v>
      </c>
      <c r="I12" s="1226"/>
      <c r="J12" s="1226"/>
      <c r="K12" s="1226"/>
      <c r="L12" s="1096"/>
    </row>
    <row r="13" spans="1:12" ht="15.75" thickBot="1">
      <c r="A13" s="12"/>
      <c r="L13" s="13"/>
    </row>
    <row r="14" spans="1:12">
      <c r="A14" s="12"/>
      <c r="B14" s="73"/>
      <c r="C14" s="74"/>
      <c r="D14" s="74"/>
      <c r="E14" s="74"/>
      <c r="F14" s="75"/>
      <c r="H14" s="77"/>
      <c r="I14" s="78"/>
      <c r="J14" s="78"/>
      <c r="K14" s="78"/>
      <c r="L14" s="79"/>
    </row>
    <row r="15" spans="1:12">
      <c r="A15" s="12"/>
      <c r="B15" s="12"/>
      <c r="F15" s="13"/>
      <c r="H15" s="76" t="e">
        <f>#REF!</f>
        <v>#REF!</v>
      </c>
      <c r="I15" s="2"/>
      <c r="J15" s="2"/>
      <c r="K15" s="2"/>
      <c r="L15" s="80"/>
    </row>
    <row r="16" spans="1:12">
      <c r="A16" s="12"/>
      <c r="B16" s="76" t="e">
        <f>#REF!</f>
        <v>#REF!</v>
      </c>
      <c r="F16" s="13"/>
      <c r="H16" s="76"/>
      <c r="I16" s="2"/>
      <c r="J16" s="2"/>
      <c r="K16" s="2"/>
      <c r="L16" s="80"/>
    </row>
    <row r="17" spans="1:12">
      <c r="A17" s="12"/>
      <c r="B17" s="12"/>
      <c r="F17" s="13"/>
      <c r="H17" s="76" t="e">
        <f>#REF!</f>
        <v>#REF!</v>
      </c>
      <c r="I17" s="2"/>
      <c r="J17" s="2"/>
      <c r="K17" s="2"/>
      <c r="L17" s="80"/>
    </row>
    <row r="18" spans="1:12" ht="15.75" thickBot="1">
      <c r="A18" s="12"/>
      <c r="B18" s="24"/>
      <c r="C18" s="22"/>
      <c r="D18" s="22"/>
      <c r="E18" s="22"/>
      <c r="F18" s="23"/>
      <c r="H18" s="81"/>
      <c r="I18" s="82"/>
      <c r="J18" s="82"/>
      <c r="K18" s="82"/>
      <c r="L18" s="83"/>
    </row>
    <row r="19" spans="1:12" ht="27.95" customHeight="1">
      <c r="A19" s="84"/>
      <c r="B19" s="1213" t="s">
        <v>185</v>
      </c>
      <c r="C19" s="1213"/>
      <c r="D19" s="1213"/>
      <c r="E19" s="1213"/>
      <c r="F19" s="1213"/>
      <c r="G19" s="1213"/>
      <c r="H19" s="1233" t="e">
        <f>'0422Master'!#REF!</f>
        <v>#REF!</v>
      </c>
      <c r="I19" s="1228"/>
      <c r="J19" s="1228"/>
      <c r="K19" s="1228"/>
      <c r="L19" s="1071"/>
    </row>
    <row r="20" spans="1:12" ht="27.95" customHeight="1">
      <c r="A20" s="84"/>
      <c r="B20" s="1234" t="s">
        <v>186</v>
      </c>
      <c r="C20" s="1234"/>
      <c r="D20" s="1234"/>
      <c r="E20" s="1234"/>
      <c r="F20" s="1234"/>
      <c r="G20" s="1234"/>
      <c r="H20" s="1233" t="e">
        <f>'0422Master'!#REF!</f>
        <v>#REF!</v>
      </c>
      <c r="I20" s="1228"/>
      <c r="J20" s="1228"/>
      <c r="K20" s="1228"/>
      <c r="L20" s="1071"/>
    </row>
    <row r="21" spans="1:12" ht="27.95" customHeight="1">
      <c r="A21" s="84"/>
      <c r="B21" s="1213" t="s">
        <v>187</v>
      </c>
      <c r="C21" s="1213"/>
      <c r="D21" s="1213"/>
      <c r="E21" s="1213"/>
      <c r="F21" s="1213"/>
      <c r="G21" s="1213"/>
      <c r="H21" s="1233" t="e">
        <f>'0422Master'!#REF!</f>
        <v>#REF!</v>
      </c>
      <c r="I21" s="1228"/>
      <c r="J21" s="1228"/>
      <c r="K21" s="1228"/>
      <c r="L21" s="1071"/>
    </row>
    <row r="22" spans="1:12" ht="27.95" customHeight="1">
      <c r="A22" s="84"/>
      <c r="B22" s="1213" t="s">
        <v>188</v>
      </c>
      <c r="C22" s="1213"/>
      <c r="D22" s="1213"/>
      <c r="E22" s="1213"/>
      <c r="F22" s="1213"/>
      <c r="G22" s="1213"/>
      <c r="H22" s="1227" t="e">
        <f>'0422Master'!#REF!</f>
        <v>#REF!</v>
      </c>
      <c r="I22" s="1228"/>
      <c r="J22" s="1228"/>
      <c r="K22" s="1228"/>
      <c r="L22" s="1071"/>
    </row>
    <row r="23" spans="1:12" ht="27.95" customHeight="1">
      <c r="A23" s="84"/>
      <c r="B23" s="85" t="s">
        <v>189</v>
      </c>
      <c r="C23" s="86"/>
      <c r="D23" s="86"/>
      <c r="E23" s="86"/>
      <c r="F23" s="86"/>
      <c r="G23" s="86"/>
      <c r="H23" s="1229" t="s">
        <v>190</v>
      </c>
      <c r="I23" s="1230"/>
      <c r="J23" s="1230"/>
      <c r="K23" s="1230"/>
      <c r="L23" s="1231"/>
    </row>
    <row r="24" spans="1:12" ht="27.95" customHeight="1">
      <c r="A24" s="84"/>
      <c r="B24" s="85" t="s">
        <v>191</v>
      </c>
      <c r="C24" s="86"/>
      <c r="D24" s="86"/>
      <c r="E24" s="86"/>
      <c r="F24" s="86"/>
      <c r="G24" s="86"/>
      <c r="H24" s="87"/>
      <c r="I24" s="89"/>
      <c r="J24" s="152"/>
      <c r="K24" s="89"/>
      <c r="L24" s="94"/>
    </row>
    <row r="25" spans="1:12" ht="27.95" customHeight="1">
      <c r="A25" s="84"/>
      <c r="B25" s="1082" t="s">
        <v>192</v>
      </c>
      <c r="C25" s="1082"/>
      <c r="D25" s="1082"/>
      <c r="E25" s="1082"/>
      <c r="F25" s="1082"/>
      <c r="G25" s="1082"/>
      <c r="H25" s="1074" t="e">
        <f>'0422Master'!#REF!</f>
        <v>#REF!</v>
      </c>
      <c r="I25" s="1075"/>
      <c r="J25" s="1075"/>
      <c r="K25" s="1075"/>
      <c r="L25" s="1076"/>
    </row>
    <row r="26" spans="1:12" ht="27.95" customHeight="1">
      <c r="A26" s="84"/>
      <c r="B26" s="1213"/>
      <c r="C26" s="1213"/>
      <c r="D26" s="1213"/>
      <c r="E26" s="1213"/>
      <c r="F26" s="1213"/>
      <c r="G26" s="1213"/>
      <c r="H26" s="1232" t="e">
        <f>'0422Master'!#REF!</f>
        <v>#REF!</v>
      </c>
      <c r="I26" s="1228"/>
      <c r="J26" s="1228"/>
      <c r="K26" s="1228"/>
      <c r="L26" s="1071"/>
    </row>
    <row r="27" spans="1:12" ht="27.95" customHeight="1">
      <c r="A27" s="12"/>
      <c r="B27" s="1213"/>
      <c r="C27" s="1213"/>
      <c r="D27" s="1213"/>
      <c r="E27" s="1213"/>
      <c r="F27" s="1213"/>
      <c r="G27" s="1213"/>
      <c r="H27" s="1233" t="e">
        <f>'0422Master'!#REF!</f>
        <v>#REF!</v>
      </c>
      <c r="I27" s="1228"/>
      <c r="J27" s="1228"/>
      <c r="K27" s="1228"/>
      <c r="L27" s="1071"/>
    </row>
    <row r="28" spans="1:12" ht="27.95" customHeight="1">
      <c r="A28" s="12"/>
      <c r="B28" s="85" t="s">
        <v>193</v>
      </c>
      <c r="C28" s="86"/>
      <c r="D28" s="86"/>
      <c r="E28" s="86"/>
      <c r="F28" s="86"/>
      <c r="G28" s="90"/>
      <c r="H28" s="1215" t="e">
        <f>'0422Master'!#REF!</f>
        <v>#REF!</v>
      </c>
      <c r="I28" s="1216"/>
      <c r="J28" s="1216"/>
      <c r="K28" s="1216"/>
      <c r="L28" s="1217"/>
    </row>
    <row r="29" spans="1:12" ht="27.95" customHeight="1">
      <c r="A29" s="12"/>
      <c r="B29" s="85"/>
      <c r="C29" s="86"/>
      <c r="D29" s="86"/>
      <c r="E29" s="86"/>
      <c r="F29" s="86"/>
      <c r="G29" s="90"/>
      <c r="H29" s="1215" t="e">
        <f>'0422Master'!#REF!</f>
        <v>#REF!</v>
      </c>
      <c r="I29" s="1216"/>
      <c r="J29" s="1216"/>
      <c r="K29" s="1216"/>
      <c r="L29" s="1217"/>
    </row>
    <row r="30" spans="1:12" ht="27.95" customHeight="1">
      <c r="A30" s="12"/>
      <c r="B30" s="85"/>
      <c r="C30" s="86"/>
      <c r="D30" s="86"/>
      <c r="E30" s="86"/>
      <c r="F30" s="86"/>
      <c r="G30" s="90"/>
      <c r="H30" s="1215" t="e">
        <f>'0422Master'!#REF!</f>
        <v>#REF!</v>
      </c>
      <c r="I30" s="1216"/>
      <c r="J30" s="1216"/>
      <c r="K30" s="1216"/>
      <c r="L30" s="1217"/>
    </row>
    <row r="31" spans="1:12" ht="27.95" customHeight="1">
      <c r="A31" s="12"/>
      <c r="B31" s="85" t="s">
        <v>200</v>
      </c>
      <c r="C31" s="86"/>
      <c r="D31" s="86"/>
      <c r="E31" s="86"/>
      <c r="F31" s="86"/>
      <c r="G31" s="90"/>
      <c r="H31" s="87"/>
      <c r="I31" s="89"/>
      <c r="J31" s="89"/>
      <c r="K31" s="89"/>
      <c r="L31" s="94"/>
    </row>
    <row r="32" spans="1:12" ht="27.95" customHeight="1">
      <c r="A32" s="12"/>
      <c r="B32" s="96" t="s">
        <v>201</v>
      </c>
      <c r="C32" s="133"/>
      <c r="D32" s="133"/>
      <c r="E32" s="133"/>
      <c r="F32" s="133"/>
      <c r="G32" s="134"/>
      <c r="H32" s="135"/>
      <c r="I32" s="136"/>
      <c r="J32" s="137"/>
      <c r="K32" s="136"/>
      <c r="L32" s="138"/>
    </row>
    <row r="33" spans="1:12" ht="49.5" customHeight="1">
      <c r="A33" s="12"/>
      <c r="B33" s="85" t="s">
        <v>204</v>
      </c>
      <c r="C33" s="86"/>
      <c r="D33" s="89"/>
      <c r="E33" s="145" t="s">
        <v>206</v>
      </c>
      <c r="F33" s="64"/>
      <c r="G33" s="1218" t="s">
        <v>205</v>
      </c>
      <c r="H33" s="1219"/>
      <c r="I33" s="149" t="s">
        <v>202</v>
      </c>
      <c r="J33" s="147" t="s">
        <v>207</v>
      </c>
      <c r="K33" s="1218" t="s">
        <v>203</v>
      </c>
      <c r="L33" s="1220"/>
    </row>
    <row r="34" spans="1:12" ht="27.95" customHeight="1">
      <c r="A34" s="12"/>
      <c r="B34" s="148">
        <v>1</v>
      </c>
      <c r="C34" s="86"/>
      <c r="D34" s="86"/>
      <c r="E34" s="151">
        <v>2</v>
      </c>
      <c r="F34" s="90"/>
      <c r="G34" s="151">
        <v>3</v>
      </c>
      <c r="H34" s="167"/>
      <c r="I34" s="167">
        <v>4</v>
      </c>
      <c r="J34" s="99">
        <v>5</v>
      </c>
      <c r="K34" s="92"/>
      <c r="L34" s="93">
        <v>6</v>
      </c>
    </row>
    <row r="35" spans="1:12" ht="27.95" customHeight="1">
      <c r="A35" s="12"/>
      <c r="B35" s="265" t="e">
        <f>'0422Master'!#REF!</f>
        <v>#REF!</v>
      </c>
      <c r="C35" s="163"/>
      <c r="D35" s="164"/>
      <c r="E35" s="166" t="s">
        <v>363</v>
      </c>
      <c r="F35" s="164"/>
      <c r="G35" s="166" t="s">
        <v>364</v>
      </c>
      <c r="H35" s="64"/>
      <c r="I35" s="10" t="s">
        <v>365</v>
      </c>
      <c r="J35" s="264">
        <v>1</v>
      </c>
      <c r="K35" s="1221" t="s">
        <v>37</v>
      </c>
      <c r="L35" s="1222"/>
    </row>
    <row r="36" spans="1:12" ht="27.95" customHeight="1">
      <c r="A36" s="12"/>
      <c r="B36" s="85"/>
      <c r="C36" s="163"/>
      <c r="D36" s="164"/>
      <c r="E36" s="165"/>
      <c r="F36" s="164"/>
      <c r="G36" s="165"/>
      <c r="H36" s="64"/>
      <c r="I36" s="10"/>
      <c r="J36" s="10"/>
      <c r="K36" s="166"/>
      <c r="L36" s="64"/>
    </row>
    <row r="37" spans="1:12" ht="26.25" customHeight="1">
      <c r="A37" s="12"/>
      <c r="B37" s="85"/>
      <c r="C37" s="163"/>
      <c r="D37" s="164"/>
      <c r="E37" s="165"/>
      <c r="F37" s="164"/>
      <c r="G37" s="165"/>
      <c r="H37" s="64"/>
      <c r="I37" s="10"/>
      <c r="J37" s="10"/>
      <c r="K37" s="166"/>
      <c r="L37" s="64"/>
    </row>
    <row r="38" spans="1:12" ht="27.75" customHeight="1">
      <c r="A38" s="12"/>
      <c r="B38" s="71"/>
      <c r="C38" s="16"/>
      <c r="D38" s="72"/>
      <c r="E38" s="165"/>
      <c r="F38" s="164"/>
      <c r="G38" s="165"/>
      <c r="H38" s="64"/>
      <c r="I38" s="10"/>
      <c r="J38" s="10"/>
      <c r="K38" s="166"/>
      <c r="L38" s="64"/>
    </row>
    <row r="39" spans="1:12">
      <c r="A39" s="12"/>
      <c r="B39" t="s">
        <v>208</v>
      </c>
      <c r="L39" s="13"/>
    </row>
    <row r="40" spans="1:12">
      <c r="A40" s="12"/>
      <c r="B40" t="s">
        <v>209</v>
      </c>
      <c r="L40" s="13"/>
    </row>
    <row r="41" spans="1:12">
      <c r="A41" s="12"/>
      <c r="B41" t="s">
        <v>210</v>
      </c>
      <c r="L41" s="13"/>
    </row>
    <row r="42" spans="1:12">
      <c r="A42" s="12"/>
      <c r="L42" s="13"/>
    </row>
    <row r="43" spans="1:12">
      <c r="A43" s="12"/>
      <c r="I43" t="s">
        <v>211</v>
      </c>
      <c r="L43" s="13"/>
    </row>
    <row r="44" spans="1:12" ht="18.75">
      <c r="A44" s="12"/>
      <c r="F44" s="153" t="s">
        <v>194</v>
      </c>
      <c r="L44" s="13"/>
    </row>
    <row r="45" spans="1:12">
      <c r="A45" s="12" t="s">
        <v>195</v>
      </c>
      <c r="K45" s="203" t="e">
        <f>'0422Master'!#REF!</f>
        <v>#REF!</v>
      </c>
      <c r="L45" s="13"/>
    </row>
    <row r="46" spans="1:12">
      <c r="A46" s="12" t="s">
        <v>196</v>
      </c>
      <c r="L46" s="13"/>
    </row>
    <row r="47" spans="1:12">
      <c r="A47" s="12"/>
      <c r="L47" s="13"/>
    </row>
    <row r="48" spans="1:12">
      <c r="A48" s="12"/>
      <c r="L48" s="13"/>
    </row>
    <row r="49" spans="1:12">
      <c r="A49" s="12"/>
      <c r="F49" t="s">
        <v>197</v>
      </c>
      <c r="L49" s="13"/>
    </row>
    <row r="50" spans="1:12">
      <c r="A50" s="12" t="s">
        <v>198</v>
      </c>
      <c r="B50" t="s">
        <v>362</v>
      </c>
      <c r="F50" t="str">
        <f>'0422Master'!AP5</f>
        <v>Burgeon IT Services Pvt.Ltd.</v>
      </c>
      <c r="L50" s="13"/>
    </row>
    <row r="51" spans="1:12">
      <c r="A51" s="12" t="s">
        <v>199</v>
      </c>
      <c r="B51" s="263" t="e">
        <f>'0422Master'!#REF!</f>
        <v>#REF!</v>
      </c>
      <c r="F51" t="str">
        <f>'0422Master'!AP6</f>
        <v>Siri Mansion LIGB 436 Dr.A S Rao Nagar,Hyderabad</v>
      </c>
      <c r="L51" s="13"/>
    </row>
    <row r="52" spans="1:12" ht="15.75" thickBot="1">
      <c r="A52" s="24"/>
      <c r="B52" s="22"/>
      <c r="C52" s="22"/>
      <c r="D52" s="22"/>
      <c r="E52" s="22"/>
      <c r="F52" s="22"/>
      <c r="G52" s="22"/>
      <c r="H52" s="22"/>
      <c r="I52" s="22"/>
      <c r="J52" s="22"/>
      <c r="K52" s="22"/>
      <c r="L52" s="23"/>
    </row>
    <row r="53" spans="1:12" ht="27.95" customHeight="1">
      <c r="A53" s="73"/>
      <c r="B53" s="1214" t="s">
        <v>182</v>
      </c>
      <c r="C53" s="1105"/>
      <c r="D53" s="1105"/>
      <c r="E53" s="1105"/>
      <c r="F53" s="1105"/>
      <c r="G53" s="1105"/>
      <c r="H53" s="1105"/>
      <c r="I53" s="1105"/>
      <c r="J53" s="1105"/>
      <c r="K53" s="1105"/>
      <c r="L53" s="1106"/>
    </row>
    <row r="54" spans="1:12" ht="27.95" customHeight="1">
      <c r="A54" s="12"/>
      <c r="B54" s="1223" t="s">
        <v>183</v>
      </c>
      <c r="C54" s="1223"/>
      <c r="D54" s="1223"/>
      <c r="E54" s="1223"/>
      <c r="F54" s="1223"/>
      <c r="G54" s="1223"/>
      <c r="H54" s="1223"/>
      <c r="I54" s="1223"/>
      <c r="J54" s="1223"/>
      <c r="K54" s="1223"/>
      <c r="L54" s="1086"/>
    </row>
    <row r="55" spans="1:12" ht="27.95" customHeight="1" thickBot="1">
      <c r="A55" s="24"/>
      <c r="B55" s="1088" t="s">
        <v>184</v>
      </c>
      <c r="C55" s="1088"/>
      <c r="D55" s="1088"/>
      <c r="E55" s="1088"/>
      <c r="F55" s="1088"/>
      <c r="G55" s="1088"/>
      <c r="H55" s="1088"/>
      <c r="I55" s="1088"/>
      <c r="J55" s="1088"/>
      <c r="K55" s="1088"/>
      <c r="L55" s="1089"/>
    </row>
    <row r="56" spans="1:12" ht="27.95" customHeight="1">
      <c r="A56" s="12"/>
      <c r="B56" s="1224" t="s">
        <v>109</v>
      </c>
      <c r="C56" s="1224"/>
      <c r="D56" s="1224"/>
      <c r="E56" s="1224"/>
      <c r="F56" s="1224"/>
      <c r="H56" s="1225" t="s">
        <v>110</v>
      </c>
      <c r="I56" s="1225"/>
      <c r="J56" s="1225"/>
      <c r="K56" s="1225"/>
      <c r="L56" s="1093"/>
    </row>
    <row r="57" spans="1:12" ht="27.95" customHeight="1" thickBot="1">
      <c r="A57" s="12"/>
      <c r="B57" s="1224"/>
      <c r="C57" s="1224"/>
      <c r="D57" s="1224"/>
      <c r="E57" s="1224"/>
      <c r="F57" s="1224"/>
      <c r="H57" s="1225"/>
      <c r="I57" s="1225"/>
      <c r="J57" s="1225"/>
      <c r="K57" s="1225"/>
      <c r="L57" s="1093"/>
    </row>
    <row r="58" spans="1:12" ht="27.95" customHeight="1">
      <c r="A58" s="12"/>
      <c r="B58" s="73"/>
      <c r="C58" s="74"/>
      <c r="D58" s="74"/>
      <c r="E58" s="74"/>
      <c r="F58" s="75"/>
      <c r="H58" s="73"/>
      <c r="I58" s="74"/>
      <c r="J58" s="74"/>
      <c r="K58" s="74"/>
      <c r="L58" s="75"/>
    </row>
    <row r="59" spans="1:12">
      <c r="A59" s="12"/>
      <c r="B59" s="76" t="str">
        <f>'0422Master'!F5</f>
        <v>Burgeon IT Services Pvt.Ltd.</v>
      </c>
      <c r="F59" s="13"/>
      <c r="H59" s="76" t="str">
        <f>'0422Master'!AP5</f>
        <v>Burgeon IT Services Pvt.Ltd.</v>
      </c>
      <c r="L59" s="13"/>
    </row>
    <row r="60" spans="1:12">
      <c r="A60" s="12"/>
      <c r="B60" s="12"/>
      <c r="F60" s="13"/>
      <c r="H60" s="12"/>
      <c r="L60" s="13"/>
    </row>
    <row r="61" spans="1:12">
      <c r="A61" s="12"/>
      <c r="B61" s="76" t="str">
        <f>'0422Master'!F6</f>
        <v>Siri Mansion LIGB 436 Dr.A S Rao Nagar,Hyderabad</v>
      </c>
      <c r="F61" s="13"/>
      <c r="H61" s="76" t="str">
        <f>'0422Master'!AP6</f>
        <v>Siri Mansion LIGB 436 Dr.A S Rao Nagar,Hyderabad</v>
      </c>
      <c r="L61" s="13"/>
    </row>
    <row r="62" spans="1:12" ht="15.75" thickBot="1">
      <c r="A62" s="12"/>
      <c r="B62" s="24"/>
      <c r="C62" s="22"/>
      <c r="D62" s="22"/>
      <c r="E62" s="22"/>
      <c r="F62" s="23"/>
      <c r="H62" s="24"/>
      <c r="I62" s="22"/>
      <c r="J62" s="22"/>
      <c r="K62" s="22"/>
      <c r="L62" s="23"/>
    </row>
    <row r="63" spans="1:12">
      <c r="A63" s="12"/>
      <c r="J63" t="s">
        <v>111</v>
      </c>
      <c r="L63" s="13"/>
    </row>
    <row r="64" spans="1:12">
      <c r="A64" s="12"/>
      <c r="B64" s="1226" t="s">
        <v>112</v>
      </c>
      <c r="C64" s="1226"/>
      <c r="D64" s="1226"/>
      <c r="E64" s="1226"/>
      <c r="F64" s="1226"/>
      <c r="H64" s="1226" t="s">
        <v>4</v>
      </c>
      <c r="I64" s="1226"/>
      <c r="J64" s="1226"/>
      <c r="K64" s="1226"/>
      <c r="L64" s="1096"/>
    </row>
    <row r="65" spans="1:12" ht="15.75" thickBot="1">
      <c r="A65" s="12"/>
      <c r="L65" s="13"/>
    </row>
    <row r="66" spans="1:12">
      <c r="A66" s="12"/>
      <c r="B66" s="73"/>
      <c r="C66" s="74"/>
      <c r="D66" s="74"/>
      <c r="E66" s="74"/>
      <c r="F66" s="75"/>
      <c r="H66" s="77"/>
      <c r="I66" s="78"/>
      <c r="J66" s="78"/>
      <c r="K66" s="78"/>
      <c r="L66" s="79"/>
    </row>
    <row r="67" spans="1:12">
      <c r="A67" s="12"/>
      <c r="B67" s="12"/>
      <c r="F67" s="13"/>
      <c r="H67" s="76" t="str">
        <f>'0422Master'!AP10</f>
        <v>INFOSYS  LTD.IL Pune SEZ Unit-II,Plot No. 24/3</v>
      </c>
      <c r="I67" s="2"/>
      <c r="J67" s="2"/>
      <c r="K67" s="2"/>
      <c r="L67" s="80"/>
    </row>
    <row r="68" spans="1:12">
      <c r="A68" s="12"/>
      <c r="B68" s="76" t="str">
        <f>'0422Master'!F8</f>
        <v>IT SUPPORTIVE SERVICES&amp; PUNE SEZ UNIT-II</v>
      </c>
      <c r="F68" s="13"/>
      <c r="H68" s="76"/>
      <c r="I68" s="2"/>
      <c r="J68" s="2"/>
      <c r="K68" s="2"/>
      <c r="L68" s="80"/>
    </row>
    <row r="69" spans="1:12">
      <c r="A69" s="12"/>
      <c r="B69" s="12"/>
      <c r="F69" s="13"/>
      <c r="H69" s="76" t="str">
        <f>'0422Master'!AP11</f>
        <v>Rajiv gandhi Info tech park,Village Mann,Pune,Maharashtra 411057</v>
      </c>
      <c r="I69" s="2"/>
      <c r="J69" s="2"/>
      <c r="K69" s="2"/>
      <c r="L69" s="80"/>
    </row>
    <row r="70" spans="1:12" ht="15.75" thickBot="1">
      <c r="A70" s="12"/>
      <c r="B70" s="24"/>
      <c r="C70" s="22"/>
      <c r="D70" s="22"/>
      <c r="E70" s="22"/>
      <c r="F70" s="23"/>
      <c r="H70" s="81"/>
      <c r="I70" s="82"/>
      <c r="J70" s="82"/>
      <c r="K70" s="82"/>
      <c r="L70" s="83"/>
    </row>
    <row r="71" spans="1:12">
      <c r="A71" s="84"/>
      <c r="B71" s="1213" t="s">
        <v>185</v>
      </c>
      <c r="C71" s="1213"/>
      <c r="D71" s="1213"/>
      <c r="E71" s="1213"/>
      <c r="F71" s="1213"/>
      <c r="G71" s="1213"/>
      <c r="H71" s="1233" t="e">
        <f>'0422Master'!#REF!</f>
        <v>#REF!</v>
      </c>
      <c r="I71" s="1228"/>
      <c r="J71" s="1228"/>
      <c r="K71" s="1228"/>
      <c r="L71" s="1071"/>
    </row>
    <row r="72" spans="1:12">
      <c r="A72" s="84"/>
      <c r="B72" s="1234" t="s">
        <v>186</v>
      </c>
      <c r="C72" s="1234"/>
      <c r="D72" s="1234"/>
      <c r="E72" s="1234"/>
      <c r="F72" s="1234"/>
      <c r="G72" s="1234"/>
      <c r="H72" s="1233" t="e">
        <f>'0422Master'!#REF!</f>
        <v>#REF!</v>
      </c>
      <c r="I72" s="1228"/>
      <c r="J72" s="1228"/>
      <c r="K72" s="1228"/>
      <c r="L72" s="1071"/>
    </row>
    <row r="73" spans="1:12">
      <c r="A73" s="84"/>
      <c r="B73" s="1213" t="s">
        <v>187</v>
      </c>
      <c r="C73" s="1213"/>
      <c r="D73" s="1213"/>
      <c r="E73" s="1213"/>
      <c r="F73" s="1213"/>
      <c r="G73" s="1213"/>
      <c r="H73" s="1233" t="e">
        <f>'0422Master'!#REF!</f>
        <v>#REF!</v>
      </c>
      <c r="I73" s="1228"/>
      <c r="J73" s="1228"/>
      <c r="K73" s="1228"/>
      <c r="L73" s="1071"/>
    </row>
    <row r="74" spans="1:12">
      <c r="A74" s="84"/>
      <c r="B74" s="1213" t="s">
        <v>188</v>
      </c>
      <c r="C74" s="1213"/>
      <c r="D74" s="1213"/>
      <c r="E74" s="1213"/>
      <c r="F74" s="1213"/>
      <c r="G74" s="1213"/>
      <c r="H74" s="1227" t="e">
        <f>'0422Master'!#REF!</f>
        <v>#REF!</v>
      </c>
      <c r="I74" s="1228"/>
      <c r="J74" s="1228"/>
      <c r="K74" s="1228"/>
      <c r="L74" s="1071"/>
    </row>
    <row r="75" spans="1:12">
      <c r="A75" s="84"/>
      <c r="B75" s="85" t="s">
        <v>189</v>
      </c>
      <c r="C75" s="86"/>
      <c r="D75" s="86"/>
      <c r="E75" s="86"/>
      <c r="F75" s="86"/>
      <c r="G75" s="86"/>
      <c r="H75" s="1229" t="s">
        <v>190</v>
      </c>
      <c r="I75" s="1230"/>
      <c r="J75" s="1230"/>
      <c r="K75" s="1230"/>
      <c r="L75" s="1231"/>
    </row>
    <row r="76" spans="1:12">
      <c r="A76" s="84"/>
      <c r="B76" s="85" t="s">
        <v>191</v>
      </c>
      <c r="C76" s="86"/>
      <c r="D76" s="86"/>
      <c r="E76" s="86"/>
      <c r="F76" s="86"/>
      <c r="G76" s="86"/>
      <c r="H76" s="87"/>
      <c r="I76" s="89"/>
      <c r="J76" s="152"/>
      <c r="K76" s="89"/>
      <c r="L76" s="94"/>
    </row>
    <row r="77" spans="1:12">
      <c r="A77" s="84"/>
      <c r="B77" s="1082" t="s">
        <v>192</v>
      </c>
      <c r="C77" s="1082"/>
      <c r="D77" s="1082"/>
      <c r="E77" s="1082"/>
      <c r="F77" s="1082"/>
      <c r="G77" s="1082"/>
      <c r="H77" s="1074" t="e">
        <f>'0422Master'!#REF!</f>
        <v>#REF!</v>
      </c>
      <c r="I77" s="1075"/>
      <c r="J77" s="1075"/>
      <c r="K77" s="1075"/>
      <c r="L77" s="1076"/>
    </row>
    <row r="78" spans="1:12">
      <c r="A78" s="84"/>
      <c r="B78" s="1213"/>
      <c r="C78" s="1213"/>
      <c r="D78" s="1213"/>
      <c r="E78" s="1213"/>
      <c r="F78" s="1213"/>
      <c r="G78" s="1213"/>
      <c r="H78" s="1232" t="e">
        <f>'0422Master'!#REF!</f>
        <v>#REF!</v>
      </c>
      <c r="I78" s="1228"/>
      <c r="J78" s="1228"/>
      <c r="K78" s="1228"/>
      <c r="L78" s="1071"/>
    </row>
    <row r="79" spans="1:12">
      <c r="A79" s="12"/>
      <c r="B79" s="1213"/>
      <c r="C79" s="1213"/>
      <c r="D79" s="1213"/>
      <c r="E79" s="1213"/>
      <c r="F79" s="1213"/>
      <c r="G79" s="1213"/>
      <c r="H79" s="1233" t="e">
        <f>'0422Master'!#REF!</f>
        <v>#REF!</v>
      </c>
      <c r="I79" s="1228"/>
      <c r="J79" s="1228"/>
      <c r="K79" s="1228"/>
      <c r="L79" s="1071"/>
    </row>
    <row r="80" spans="1:12" ht="15" customHeight="1">
      <c r="A80" s="12"/>
      <c r="B80" s="85" t="s">
        <v>193</v>
      </c>
      <c r="C80" s="86"/>
      <c r="D80" s="86"/>
      <c r="E80" s="86"/>
      <c r="F80" s="86"/>
      <c r="G80" s="90"/>
      <c r="H80" s="1215" t="e">
        <f>'0422Master'!#REF!</f>
        <v>#REF!</v>
      </c>
      <c r="I80" s="1216"/>
      <c r="J80" s="1216"/>
      <c r="K80" s="1216"/>
      <c r="L80" s="1217"/>
    </row>
    <row r="81" spans="1:12">
      <c r="A81" s="12"/>
      <c r="B81" s="85"/>
      <c r="C81" s="86"/>
      <c r="D81" s="86"/>
      <c r="E81" s="86"/>
      <c r="F81" s="86"/>
      <c r="G81" s="90"/>
      <c r="H81" s="1215" t="e">
        <f>'0422Master'!#REF!</f>
        <v>#REF!</v>
      </c>
      <c r="I81" s="1216"/>
      <c r="J81" s="1216"/>
      <c r="K81" s="1216"/>
      <c r="L81" s="1217"/>
    </row>
    <row r="82" spans="1:12">
      <c r="A82" s="12"/>
      <c r="B82" s="85"/>
      <c r="C82" s="86"/>
      <c r="D82" s="86"/>
      <c r="E82" s="86"/>
      <c r="F82" s="86"/>
      <c r="G82" s="90"/>
      <c r="H82" s="1215" t="e">
        <f>'0422Master'!#REF!</f>
        <v>#REF!</v>
      </c>
      <c r="I82" s="1216"/>
      <c r="J82" s="1216"/>
      <c r="K82" s="1216"/>
      <c r="L82" s="1217"/>
    </row>
    <row r="83" spans="1:12">
      <c r="A83" s="12"/>
      <c r="B83" s="85" t="s">
        <v>200</v>
      </c>
      <c r="C83" s="86"/>
      <c r="D83" s="86"/>
      <c r="E83" s="86"/>
      <c r="F83" s="86"/>
      <c r="G83" s="90"/>
      <c r="H83" s="87"/>
      <c r="I83" s="89"/>
      <c r="J83" s="89"/>
      <c r="K83" s="89"/>
      <c r="L83" s="94"/>
    </row>
    <row r="84" spans="1:12">
      <c r="A84" s="12"/>
      <c r="B84" s="96" t="s">
        <v>201</v>
      </c>
      <c r="C84" s="133"/>
      <c r="D84" s="133"/>
      <c r="E84" s="133"/>
      <c r="F84" s="133"/>
      <c r="G84" s="134"/>
      <c r="H84" s="135"/>
      <c r="I84" s="136"/>
      <c r="J84" s="137"/>
      <c r="K84" s="136"/>
      <c r="L84" s="138"/>
    </row>
    <row r="85" spans="1:12" ht="45">
      <c r="A85" s="12"/>
      <c r="B85" s="85" t="s">
        <v>204</v>
      </c>
      <c r="C85" s="86"/>
      <c r="D85" s="89"/>
      <c r="E85" s="145" t="s">
        <v>206</v>
      </c>
      <c r="F85" s="64"/>
      <c r="G85" s="1218" t="s">
        <v>205</v>
      </c>
      <c r="H85" s="1219"/>
      <c r="I85" s="149" t="s">
        <v>202</v>
      </c>
      <c r="J85" s="147" t="s">
        <v>207</v>
      </c>
      <c r="K85" s="1218" t="s">
        <v>203</v>
      </c>
      <c r="L85" s="1220"/>
    </row>
    <row r="86" spans="1:12">
      <c r="A86" s="12"/>
      <c r="B86" s="148">
        <v>1</v>
      </c>
      <c r="C86" s="86"/>
      <c r="D86" s="86"/>
      <c r="E86" s="151">
        <v>2</v>
      </c>
      <c r="F86" s="90"/>
      <c r="G86" s="151">
        <v>3</v>
      </c>
      <c r="H86" s="167"/>
      <c r="I86" s="167">
        <v>4</v>
      </c>
      <c r="J86" s="99">
        <v>5</v>
      </c>
      <c r="K86" s="92"/>
      <c r="L86" s="93">
        <v>6</v>
      </c>
    </row>
    <row r="87" spans="1:12">
      <c r="A87" s="12"/>
      <c r="B87" s="265" t="e">
        <f>'0422Master'!#REF!</f>
        <v>#REF!</v>
      </c>
      <c r="C87" s="163"/>
      <c r="D87" s="164"/>
      <c r="E87" s="166" t="s">
        <v>363</v>
      </c>
      <c r="F87" s="164"/>
      <c r="G87" s="166" t="s">
        <v>364</v>
      </c>
      <c r="H87" s="64"/>
      <c r="I87" s="10" t="s">
        <v>365</v>
      </c>
      <c r="J87" s="264">
        <v>1</v>
      </c>
      <c r="K87" s="1221" t="s">
        <v>37</v>
      </c>
      <c r="L87" s="1222"/>
    </row>
    <row r="88" spans="1:12">
      <c r="A88" s="12"/>
      <c r="B88" s="85"/>
      <c r="C88" s="163"/>
      <c r="D88" s="164"/>
      <c r="E88" s="165"/>
      <c r="F88" s="164"/>
      <c r="G88" s="165"/>
      <c r="H88" s="64"/>
      <c r="I88" s="10"/>
      <c r="J88" s="10"/>
      <c r="K88" s="166"/>
      <c r="L88" s="64"/>
    </row>
    <row r="89" spans="1:12">
      <c r="A89" s="12"/>
      <c r="B89" s="85"/>
      <c r="C89" s="163"/>
      <c r="D89" s="164"/>
      <c r="E89" s="165"/>
      <c r="F89" s="164"/>
      <c r="G89" s="165"/>
      <c r="H89" s="64"/>
      <c r="I89" s="10"/>
      <c r="J89" s="10"/>
      <c r="K89" s="166"/>
      <c r="L89" s="64"/>
    </row>
    <row r="90" spans="1:12">
      <c r="A90" s="12"/>
      <c r="B90" s="71"/>
      <c r="C90" s="16"/>
      <c r="D90" s="72"/>
      <c r="E90" s="165"/>
      <c r="F90" s="164"/>
      <c r="G90" s="165"/>
      <c r="H90" s="64"/>
      <c r="I90" s="10"/>
      <c r="J90" s="10"/>
      <c r="K90" s="166"/>
      <c r="L90" s="64"/>
    </row>
    <row r="91" spans="1:12">
      <c r="A91" s="12"/>
      <c r="B91" t="s">
        <v>208</v>
      </c>
      <c r="L91" s="13"/>
    </row>
    <row r="92" spans="1:12">
      <c r="A92" s="12"/>
      <c r="B92" t="s">
        <v>209</v>
      </c>
      <c r="L92" s="13"/>
    </row>
    <row r="93" spans="1:12">
      <c r="A93" s="12"/>
      <c r="B93" t="s">
        <v>210</v>
      </c>
      <c r="L93" s="13"/>
    </row>
    <row r="94" spans="1:12">
      <c r="A94" s="12"/>
      <c r="L94" s="13"/>
    </row>
    <row r="95" spans="1:12" ht="27.95" customHeight="1">
      <c r="A95" s="12"/>
      <c r="I95" t="s">
        <v>211</v>
      </c>
      <c r="L95" s="13"/>
    </row>
    <row r="96" spans="1:12" ht="27.95" customHeight="1">
      <c r="A96" s="12"/>
      <c r="F96" s="153" t="s">
        <v>194</v>
      </c>
      <c r="L96" s="13"/>
    </row>
    <row r="97" spans="1:12" ht="27.95" customHeight="1">
      <c r="A97" s="12" t="s">
        <v>195</v>
      </c>
      <c r="K97" s="203" t="e">
        <f>'0422Master'!#REF!</f>
        <v>#REF!</v>
      </c>
      <c r="L97" s="13"/>
    </row>
    <row r="98" spans="1:12" ht="27.95" customHeight="1">
      <c r="A98" s="12" t="s">
        <v>196</v>
      </c>
      <c r="L98" s="13"/>
    </row>
    <row r="99" spans="1:12" ht="27.95" customHeight="1">
      <c r="A99" s="12"/>
      <c r="L99" s="13"/>
    </row>
    <row r="100" spans="1:12" ht="27.95" customHeight="1">
      <c r="A100" s="12"/>
      <c r="L100" s="13"/>
    </row>
    <row r="101" spans="1:12" ht="27.95" customHeight="1">
      <c r="A101" s="12"/>
      <c r="F101" t="s">
        <v>197</v>
      </c>
      <c r="L101" s="13"/>
    </row>
    <row r="102" spans="1:12" ht="27.95" customHeight="1">
      <c r="A102" s="12" t="s">
        <v>198</v>
      </c>
      <c r="B102" t="s">
        <v>362</v>
      </c>
      <c r="F102" t="str">
        <f>'0422Master'!F5</f>
        <v>Burgeon IT Services Pvt.Ltd.</v>
      </c>
      <c r="L102" s="13"/>
    </row>
    <row r="103" spans="1:12" ht="27.95" customHeight="1">
      <c r="A103" s="12" t="s">
        <v>199</v>
      </c>
      <c r="B103" s="263" t="e">
        <f>'0422Master'!#REF!</f>
        <v>#REF!</v>
      </c>
      <c r="F103" t="str">
        <f>'0422Master'!F6</f>
        <v>Siri Mansion LIGB 436 Dr.A S Rao Nagar,Hyderabad</v>
      </c>
      <c r="L103" s="13"/>
    </row>
    <row r="104" spans="1:12" ht="27.95" customHeight="1" thickBot="1">
      <c r="A104" s="24"/>
      <c r="B104" s="22"/>
      <c r="C104" s="22"/>
      <c r="D104" s="22"/>
      <c r="E104" s="22"/>
      <c r="F104" s="22"/>
      <c r="G104" s="22"/>
      <c r="H104" s="22"/>
      <c r="I104" s="22"/>
      <c r="J104" s="22"/>
      <c r="K104" s="22"/>
      <c r="L104" s="23"/>
    </row>
    <row r="105" spans="1:12" ht="27.95" customHeight="1">
      <c r="B105" s="154"/>
      <c r="C105" s="150"/>
      <c r="D105" s="150"/>
      <c r="E105" s="150"/>
      <c r="F105" s="150"/>
      <c r="G105" s="150"/>
      <c r="H105" s="1235"/>
      <c r="I105" s="1236"/>
      <c r="J105" s="1236"/>
      <c r="K105" s="1236"/>
      <c r="L105" s="1236"/>
    </row>
    <row r="106" spans="1:12" ht="27.95" customHeight="1" thickBot="1">
      <c r="B106" s="154"/>
      <c r="C106" s="150"/>
      <c r="D106" s="150"/>
      <c r="E106" s="150"/>
      <c r="F106" s="150"/>
      <c r="G106" s="150"/>
      <c r="H106" s="1235"/>
      <c r="I106" s="1236"/>
      <c r="J106" s="1236"/>
      <c r="K106" s="1236"/>
      <c r="L106" s="1236"/>
    </row>
    <row r="107" spans="1:12" ht="27.95" customHeight="1">
      <c r="A107" s="73"/>
      <c r="B107" s="1214" t="s">
        <v>182</v>
      </c>
      <c r="C107" s="1105"/>
      <c r="D107" s="1105"/>
      <c r="E107" s="1105"/>
      <c r="F107" s="1105"/>
      <c r="G107" s="1105"/>
      <c r="H107" s="1105"/>
      <c r="I107" s="1105"/>
      <c r="J107" s="1105"/>
      <c r="K107" s="1105"/>
      <c r="L107" s="1106"/>
    </row>
    <row r="108" spans="1:12" ht="27.95" customHeight="1">
      <c r="A108" s="12"/>
      <c r="B108" s="1223" t="s">
        <v>183</v>
      </c>
      <c r="C108" s="1223"/>
      <c r="D108" s="1223"/>
      <c r="E108" s="1223"/>
      <c r="F108" s="1223"/>
      <c r="G108" s="1223"/>
      <c r="H108" s="1223"/>
      <c r="I108" s="1223"/>
      <c r="J108" s="1223"/>
      <c r="K108" s="1223"/>
      <c r="L108" s="1086"/>
    </row>
    <row r="109" spans="1:12" ht="27.95" customHeight="1" thickBot="1">
      <c r="A109" s="24"/>
      <c r="B109" s="1088" t="s">
        <v>184</v>
      </c>
      <c r="C109" s="1088"/>
      <c r="D109" s="1088"/>
      <c r="E109" s="1088"/>
      <c r="F109" s="1088"/>
      <c r="G109" s="1088"/>
      <c r="H109" s="1088"/>
      <c r="I109" s="1088"/>
      <c r="J109" s="1088"/>
      <c r="K109" s="1088"/>
      <c r="L109" s="1089"/>
    </row>
    <row r="110" spans="1:12" ht="27.95" customHeight="1">
      <c r="A110" s="12"/>
      <c r="B110" s="1224" t="s">
        <v>109</v>
      </c>
      <c r="C110" s="1224"/>
      <c r="D110" s="1224"/>
      <c r="E110" s="1224"/>
      <c r="F110" s="1224"/>
      <c r="H110" s="1225" t="s">
        <v>110</v>
      </c>
      <c r="I110" s="1225"/>
      <c r="J110" s="1225"/>
      <c r="K110" s="1225"/>
      <c r="L110" s="1093"/>
    </row>
    <row r="111" spans="1:12" ht="27.95" customHeight="1" thickBot="1">
      <c r="A111" s="12"/>
      <c r="B111" s="1224"/>
      <c r="C111" s="1224"/>
      <c r="D111" s="1224"/>
      <c r="E111" s="1224"/>
      <c r="F111" s="1224"/>
      <c r="H111" s="1225"/>
      <c r="I111" s="1225"/>
      <c r="J111" s="1225"/>
      <c r="K111" s="1225"/>
      <c r="L111" s="1093"/>
    </row>
    <row r="112" spans="1:12" ht="27.95" customHeight="1">
      <c r="A112" s="12"/>
      <c r="B112" s="73"/>
      <c r="C112" s="74"/>
      <c r="D112" s="74"/>
      <c r="E112" s="74"/>
      <c r="F112" s="75"/>
      <c r="H112" s="73"/>
      <c r="I112" s="74"/>
      <c r="J112" s="74"/>
      <c r="K112" s="74"/>
      <c r="L112" s="75"/>
    </row>
    <row r="113" spans="1:12">
      <c r="A113" s="12"/>
      <c r="B113" s="76" t="str">
        <f>'0422Master'!F5</f>
        <v>Burgeon IT Services Pvt.Ltd.</v>
      </c>
      <c r="F113" s="13"/>
      <c r="H113" s="76" t="str">
        <f>'0422Master'!AP5</f>
        <v>Burgeon IT Services Pvt.Ltd.</v>
      </c>
      <c r="L113" s="13"/>
    </row>
    <row r="114" spans="1:12">
      <c r="A114" s="12"/>
      <c r="B114" s="12"/>
      <c r="F114" s="13"/>
      <c r="H114" s="12"/>
      <c r="L114" s="13"/>
    </row>
    <row r="115" spans="1:12">
      <c r="A115" s="12"/>
      <c r="B115" s="76" t="str">
        <f>'0422Master'!F6</f>
        <v>Siri Mansion LIGB 436 Dr.A S Rao Nagar,Hyderabad</v>
      </c>
      <c r="F115" s="13"/>
      <c r="H115" s="76" t="str">
        <f>'0422Master'!AP6</f>
        <v>Siri Mansion LIGB 436 Dr.A S Rao Nagar,Hyderabad</v>
      </c>
      <c r="L115" s="13"/>
    </row>
    <row r="116" spans="1:12" ht="15.75" thickBot="1">
      <c r="A116" s="12"/>
      <c r="B116" s="24"/>
      <c r="C116" s="22"/>
      <c r="D116" s="22"/>
      <c r="E116" s="22"/>
      <c r="F116" s="23"/>
      <c r="H116" s="24"/>
      <c r="I116" s="22"/>
      <c r="J116" s="22"/>
      <c r="K116" s="22"/>
      <c r="L116" s="23"/>
    </row>
    <row r="117" spans="1:12">
      <c r="A117" s="12"/>
      <c r="J117" t="s">
        <v>111</v>
      </c>
      <c r="L117" s="13"/>
    </row>
    <row r="118" spans="1:12">
      <c r="A118" s="12"/>
      <c r="B118" s="1226" t="s">
        <v>112</v>
      </c>
      <c r="C118" s="1226"/>
      <c r="D118" s="1226"/>
      <c r="E118" s="1226"/>
      <c r="F118" s="1226"/>
      <c r="H118" s="1226" t="s">
        <v>4</v>
      </c>
      <c r="I118" s="1226"/>
      <c r="J118" s="1226"/>
      <c r="K118" s="1226"/>
      <c r="L118" s="1096"/>
    </row>
    <row r="119" spans="1:12" ht="15.75" thickBot="1">
      <c r="A119" s="12"/>
      <c r="L119" s="13"/>
    </row>
    <row r="120" spans="1:12">
      <c r="A120" s="12"/>
      <c r="B120" s="73"/>
      <c r="C120" s="74"/>
      <c r="D120" s="74"/>
      <c r="E120" s="74"/>
      <c r="F120" s="75"/>
      <c r="H120" s="77"/>
      <c r="I120" s="78"/>
      <c r="J120" s="78"/>
      <c r="K120" s="78"/>
      <c r="L120" s="79"/>
    </row>
    <row r="121" spans="1:12">
      <c r="A121" s="12"/>
      <c r="B121" s="12"/>
      <c r="F121" s="13"/>
      <c r="H121" s="76" t="str">
        <f>'0422Master'!AP10</f>
        <v>INFOSYS  LTD.IL Pune SEZ Unit-II,Plot No. 24/3</v>
      </c>
      <c r="I121" s="2"/>
      <c r="J121" s="2"/>
      <c r="K121" s="2"/>
      <c r="L121" s="80"/>
    </row>
    <row r="122" spans="1:12">
      <c r="A122" s="12"/>
      <c r="B122" s="76" t="str">
        <f>'0422Master'!F8</f>
        <v>IT SUPPORTIVE SERVICES&amp; PUNE SEZ UNIT-II</v>
      </c>
      <c r="F122" s="13"/>
      <c r="H122" s="76"/>
      <c r="I122" s="2"/>
      <c r="J122" s="2"/>
      <c r="K122" s="2"/>
      <c r="L122" s="80"/>
    </row>
    <row r="123" spans="1:12">
      <c r="A123" s="12"/>
      <c r="B123" s="12"/>
      <c r="F123" s="13"/>
      <c r="H123" s="76" t="str">
        <f>'0422Master'!AP11</f>
        <v>Rajiv gandhi Info tech park,Village Mann,Pune,Maharashtra 411057</v>
      </c>
      <c r="I123" s="2"/>
      <c r="J123" s="2"/>
      <c r="K123" s="2"/>
      <c r="L123" s="80"/>
    </row>
    <row r="124" spans="1:12" ht="15.75" thickBot="1">
      <c r="A124" s="12"/>
      <c r="B124" s="24"/>
      <c r="C124" s="22"/>
      <c r="D124" s="22"/>
      <c r="E124" s="22"/>
      <c r="F124" s="23"/>
      <c r="H124" s="81"/>
      <c r="I124" s="82"/>
      <c r="J124" s="82"/>
      <c r="K124" s="82"/>
      <c r="L124" s="83"/>
    </row>
    <row r="125" spans="1:12">
      <c r="A125" s="84"/>
      <c r="B125" s="1213" t="s">
        <v>185</v>
      </c>
      <c r="C125" s="1213"/>
      <c r="D125" s="1213"/>
      <c r="E125" s="1213"/>
      <c r="F125" s="1213"/>
      <c r="G125" s="1213"/>
      <c r="H125" s="1233" t="e">
        <f>'0422Master'!#REF!</f>
        <v>#REF!</v>
      </c>
      <c r="I125" s="1228"/>
      <c r="J125" s="1228"/>
      <c r="K125" s="1228"/>
      <c r="L125" s="1071"/>
    </row>
    <row r="126" spans="1:12">
      <c r="A126" s="84"/>
      <c r="B126" s="1234" t="s">
        <v>186</v>
      </c>
      <c r="C126" s="1234"/>
      <c r="D126" s="1234"/>
      <c r="E126" s="1234"/>
      <c r="F126" s="1234"/>
      <c r="G126" s="1234"/>
      <c r="H126" s="1233" t="e">
        <f>'0422Master'!#REF!</f>
        <v>#REF!</v>
      </c>
      <c r="I126" s="1228"/>
      <c r="J126" s="1228"/>
      <c r="K126" s="1228"/>
      <c r="L126" s="1071"/>
    </row>
    <row r="127" spans="1:12">
      <c r="A127" s="84"/>
      <c r="B127" s="1213" t="s">
        <v>187</v>
      </c>
      <c r="C127" s="1213"/>
      <c r="D127" s="1213"/>
      <c r="E127" s="1213"/>
      <c r="F127" s="1213"/>
      <c r="G127" s="1213"/>
      <c r="H127" s="1233" t="e">
        <f>'0422Master'!#REF!</f>
        <v>#REF!</v>
      </c>
      <c r="I127" s="1228"/>
      <c r="J127" s="1228"/>
      <c r="K127" s="1228"/>
      <c r="L127" s="1071"/>
    </row>
    <row r="128" spans="1:12">
      <c r="A128" s="84"/>
      <c r="B128" s="1213" t="s">
        <v>188</v>
      </c>
      <c r="C128" s="1213"/>
      <c r="D128" s="1213"/>
      <c r="E128" s="1213"/>
      <c r="F128" s="1213"/>
      <c r="G128" s="1213"/>
      <c r="H128" s="1227" t="e">
        <f>'0422Master'!#REF!</f>
        <v>#REF!</v>
      </c>
      <c r="I128" s="1228"/>
      <c r="J128" s="1228"/>
      <c r="K128" s="1228"/>
      <c r="L128" s="1071"/>
    </row>
    <row r="129" spans="1:12">
      <c r="A129" s="84"/>
      <c r="B129" s="85" t="s">
        <v>189</v>
      </c>
      <c r="C129" s="86"/>
      <c r="D129" s="86"/>
      <c r="E129" s="86"/>
      <c r="F129" s="86"/>
      <c r="G129" s="86"/>
      <c r="H129" s="1229" t="s">
        <v>190</v>
      </c>
      <c r="I129" s="1230"/>
      <c r="J129" s="1230"/>
      <c r="K129" s="1230"/>
      <c r="L129" s="1231"/>
    </row>
    <row r="130" spans="1:12">
      <c r="A130" s="84"/>
      <c r="B130" s="85" t="s">
        <v>191</v>
      </c>
      <c r="C130" s="86"/>
      <c r="D130" s="86"/>
      <c r="E130" s="86"/>
      <c r="F130" s="86"/>
      <c r="G130" s="86"/>
      <c r="H130" s="87"/>
      <c r="I130" s="89"/>
      <c r="J130" s="152"/>
      <c r="K130" s="89"/>
      <c r="L130" s="94"/>
    </row>
    <row r="131" spans="1:12">
      <c r="A131" s="84"/>
      <c r="B131" s="1082" t="s">
        <v>192</v>
      </c>
      <c r="C131" s="1082"/>
      <c r="D131" s="1082"/>
      <c r="E131" s="1082"/>
      <c r="F131" s="1082"/>
      <c r="G131" s="1082"/>
      <c r="H131" s="1074" t="e">
        <f>'0422Master'!#REF!</f>
        <v>#REF!</v>
      </c>
      <c r="I131" s="1075"/>
      <c r="J131" s="1075"/>
      <c r="K131" s="1075"/>
      <c r="L131" s="1076"/>
    </row>
    <row r="132" spans="1:12">
      <c r="A132" s="84"/>
      <c r="B132" s="1213"/>
      <c r="C132" s="1213"/>
      <c r="D132" s="1213"/>
      <c r="E132" s="1213"/>
      <c r="F132" s="1213"/>
      <c r="G132" s="1213"/>
      <c r="H132" s="1232" t="e">
        <f>'0422Master'!#REF!</f>
        <v>#REF!</v>
      </c>
      <c r="I132" s="1228"/>
      <c r="J132" s="1228"/>
      <c r="K132" s="1228"/>
      <c r="L132" s="1071"/>
    </row>
    <row r="133" spans="1:12">
      <c r="A133" s="12"/>
      <c r="B133" s="1213"/>
      <c r="C133" s="1213"/>
      <c r="D133" s="1213"/>
      <c r="E133" s="1213"/>
      <c r="F133" s="1213"/>
      <c r="G133" s="1213"/>
      <c r="H133" s="1233" t="e">
        <f>'0422Master'!#REF!</f>
        <v>#REF!</v>
      </c>
      <c r="I133" s="1228"/>
      <c r="J133" s="1228"/>
      <c r="K133" s="1228"/>
      <c r="L133" s="1071"/>
    </row>
    <row r="134" spans="1:12">
      <c r="A134" s="12"/>
      <c r="B134" s="85" t="s">
        <v>193</v>
      </c>
      <c r="C134" s="86"/>
      <c r="D134" s="86"/>
      <c r="E134" s="86"/>
      <c r="F134" s="86"/>
      <c r="G134" s="90"/>
      <c r="H134" s="1215" t="e">
        <f>'0422Master'!#REF!</f>
        <v>#REF!</v>
      </c>
      <c r="I134" s="1216"/>
      <c r="J134" s="1216"/>
      <c r="K134" s="1216"/>
      <c r="L134" s="1217"/>
    </row>
    <row r="135" spans="1:12">
      <c r="A135" s="12"/>
      <c r="B135" s="85"/>
      <c r="C135" s="86"/>
      <c r="D135" s="86"/>
      <c r="E135" s="86"/>
      <c r="F135" s="86"/>
      <c r="G135" s="90"/>
      <c r="H135" s="1215" t="e">
        <f>'0422Master'!#REF!</f>
        <v>#REF!</v>
      </c>
      <c r="I135" s="1216"/>
      <c r="J135" s="1216"/>
      <c r="K135" s="1216"/>
      <c r="L135" s="1217"/>
    </row>
    <row r="136" spans="1:12">
      <c r="A136" s="12"/>
      <c r="B136" s="85"/>
      <c r="C136" s="86"/>
      <c r="D136" s="86"/>
      <c r="E136" s="86"/>
      <c r="F136" s="86"/>
      <c r="G136" s="90"/>
      <c r="H136" s="1215" t="e">
        <f>'0422Master'!#REF!</f>
        <v>#REF!</v>
      </c>
      <c r="I136" s="1216"/>
      <c r="J136" s="1216"/>
      <c r="K136" s="1216"/>
      <c r="L136" s="1217"/>
    </row>
    <row r="137" spans="1:12">
      <c r="A137" s="12"/>
      <c r="B137" s="85" t="s">
        <v>200</v>
      </c>
      <c r="C137" s="86"/>
      <c r="D137" s="86"/>
      <c r="E137" s="86"/>
      <c r="F137" s="86"/>
      <c r="G137" s="90"/>
      <c r="H137" s="87"/>
      <c r="I137" s="89"/>
      <c r="J137" s="89"/>
      <c r="K137" s="89"/>
      <c r="L137" s="94"/>
    </row>
    <row r="138" spans="1:12">
      <c r="A138" s="12"/>
      <c r="B138" s="96" t="s">
        <v>201</v>
      </c>
      <c r="C138" s="133"/>
      <c r="D138" s="133"/>
      <c r="E138" s="133"/>
      <c r="F138" s="133"/>
      <c r="G138" s="134"/>
      <c r="H138" s="135"/>
      <c r="I138" s="136"/>
      <c r="J138" s="137"/>
      <c r="K138" s="136"/>
      <c r="L138" s="138"/>
    </row>
    <row r="139" spans="1:12" ht="45">
      <c r="A139" s="12"/>
      <c r="B139" s="85" t="s">
        <v>204</v>
      </c>
      <c r="C139" s="86"/>
      <c r="D139" s="89"/>
      <c r="E139" s="145" t="s">
        <v>206</v>
      </c>
      <c r="F139" s="64"/>
      <c r="G139" s="1218" t="s">
        <v>205</v>
      </c>
      <c r="H139" s="1219"/>
      <c r="I139" s="149" t="s">
        <v>202</v>
      </c>
      <c r="J139" s="147" t="s">
        <v>207</v>
      </c>
      <c r="K139" s="1218" t="s">
        <v>203</v>
      </c>
      <c r="L139" s="1220"/>
    </row>
    <row r="140" spans="1:12">
      <c r="A140" s="12"/>
      <c r="B140" s="148">
        <v>1</v>
      </c>
      <c r="C140" s="86"/>
      <c r="D140" s="86"/>
      <c r="E140" s="151">
        <v>2</v>
      </c>
      <c r="F140" s="90"/>
      <c r="G140" s="151">
        <v>3</v>
      </c>
      <c r="H140" s="167"/>
      <c r="I140" s="167">
        <v>4</v>
      </c>
      <c r="J140" s="99">
        <v>5</v>
      </c>
      <c r="K140" s="92"/>
      <c r="L140" s="93">
        <v>6</v>
      </c>
    </row>
    <row r="141" spans="1:12">
      <c r="A141" s="12"/>
      <c r="B141" s="265" t="e">
        <f>'0422Master'!#REF!</f>
        <v>#REF!</v>
      </c>
      <c r="C141" s="163"/>
      <c r="D141" s="164"/>
      <c r="E141" s="166" t="s">
        <v>363</v>
      </c>
      <c r="F141" s="164"/>
      <c r="G141" s="166" t="s">
        <v>364</v>
      </c>
      <c r="H141" s="64"/>
      <c r="I141" s="10" t="s">
        <v>365</v>
      </c>
      <c r="J141" s="264">
        <v>1</v>
      </c>
      <c r="K141" s="1221" t="s">
        <v>37</v>
      </c>
      <c r="L141" s="1222"/>
    </row>
    <row r="142" spans="1:12">
      <c r="A142" s="12"/>
      <c r="B142" s="85"/>
      <c r="C142" s="163"/>
      <c r="D142" s="164"/>
      <c r="E142" s="165"/>
      <c r="F142" s="164"/>
      <c r="G142" s="165"/>
      <c r="H142" s="64"/>
      <c r="I142" s="10"/>
      <c r="J142" s="10"/>
      <c r="K142" s="166"/>
      <c r="L142" s="64"/>
    </row>
    <row r="143" spans="1:12">
      <c r="A143" s="12"/>
      <c r="B143" s="85"/>
      <c r="C143" s="163"/>
      <c r="D143" s="164"/>
      <c r="E143" s="165"/>
      <c r="F143" s="164"/>
      <c r="G143" s="165"/>
      <c r="H143" s="64"/>
      <c r="I143" s="10"/>
      <c r="J143" s="10"/>
      <c r="K143" s="166"/>
      <c r="L143" s="64"/>
    </row>
    <row r="144" spans="1:12">
      <c r="A144" s="12"/>
      <c r="B144" s="71"/>
      <c r="C144" s="16"/>
      <c r="D144" s="72"/>
      <c r="E144" s="165"/>
      <c r="F144" s="164"/>
      <c r="G144" s="165"/>
      <c r="H144" s="64"/>
      <c r="I144" s="10"/>
      <c r="J144" s="10"/>
      <c r="K144" s="166"/>
      <c r="L144" s="64"/>
    </row>
    <row r="145" spans="1:12">
      <c r="A145" s="12"/>
      <c r="B145" t="s">
        <v>208</v>
      </c>
      <c r="L145" s="13"/>
    </row>
    <row r="146" spans="1:12">
      <c r="A146" s="12"/>
      <c r="B146" t="s">
        <v>209</v>
      </c>
      <c r="L146" s="13"/>
    </row>
    <row r="147" spans="1:12">
      <c r="A147" s="12"/>
      <c r="B147" t="s">
        <v>210</v>
      </c>
      <c r="L147" s="13"/>
    </row>
    <row r="148" spans="1:12" ht="27.95" customHeight="1">
      <c r="A148" s="12"/>
      <c r="L148" s="13"/>
    </row>
    <row r="149" spans="1:12" ht="27.95" customHeight="1">
      <c r="A149" s="12"/>
      <c r="I149" t="s">
        <v>211</v>
      </c>
      <c r="L149" s="13"/>
    </row>
    <row r="150" spans="1:12" ht="27.95" customHeight="1">
      <c r="A150" s="12"/>
      <c r="F150" s="153" t="s">
        <v>194</v>
      </c>
      <c r="L150" s="13"/>
    </row>
    <row r="151" spans="1:12" ht="27.95" customHeight="1">
      <c r="A151" s="12" t="s">
        <v>195</v>
      </c>
      <c r="K151" s="203" t="e">
        <f>'0422Master'!#REF!</f>
        <v>#REF!</v>
      </c>
      <c r="L151" s="13"/>
    </row>
    <row r="152" spans="1:12" ht="27.95" customHeight="1">
      <c r="A152" s="12" t="s">
        <v>196</v>
      </c>
      <c r="L152" s="13"/>
    </row>
    <row r="153" spans="1:12" ht="27.95" customHeight="1">
      <c r="A153" s="12"/>
      <c r="L153" s="13"/>
    </row>
    <row r="154" spans="1:12" ht="27.95" customHeight="1">
      <c r="A154" s="12"/>
      <c r="L154" s="13"/>
    </row>
    <row r="155" spans="1:12" ht="27.95" customHeight="1">
      <c r="A155" s="12"/>
      <c r="F155" t="s">
        <v>197</v>
      </c>
      <c r="L155" s="13"/>
    </row>
    <row r="156" spans="1:12" ht="27.95" customHeight="1">
      <c r="A156" s="12" t="s">
        <v>198</v>
      </c>
      <c r="B156" t="s">
        <v>362</v>
      </c>
      <c r="F156" t="str">
        <f>'0422Master'!F5</f>
        <v>Burgeon IT Services Pvt.Ltd.</v>
      </c>
      <c r="L156" s="13"/>
    </row>
    <row r="157" spans="1:12" ht="27.95" customHeight="1">
      <c r="A157" s="12" t="s">
        <v>199</v>
      </c>
      <c r="B157" s="263" t="e">
        <f>'0422Master'!#REF!</f>
        <v>#REF!</v>
      </c>
      <c r="F157" t="str">
        <f>'0422Master'!F6</f>
        <v>Siri Mansion LIGB 436 Dr.A S Rao Nagar,Hyderabad</v>
      </c>
      <c r="L157" s="13"/>
    </row>
    <row r="158" spans="1:12" ht="27.95" customHeight="1" thickBot="1">
      <c r="A158" s="24"/>
      <c r="B158" s="22"/>
      <c r="C158" s="22"/>
      <c r="D158" s="22"/>
      <c r="E158" s="22"/>
      <c r="F158" s="22"/>
      <c r="G158" s="22"/>
      <c r="H158" s="22"/>
      <c r="I158" s="22"/>
      <c r="J158" s="22"/>
      <c r="K158" s="22"/>
      <c r="L158" s="23"/>
    </row>
    <row r="159" spans="1:12" ht="27.95" customHeight="1" thickBot="1">
      <c r="B159" s="154"/>
      <c r="C159" s="150"/>
      <c r="D159" s="150"/>
      <c r="E159" s="150"/>
      <c r="F159" s="150"/>
      <c r="G159" s="150"/>
      <c r="H159" s="139"/>
      <c r="I159" s="139"/>
      <c r="J159" s="140"/>
      <c r="K159" s="139"/>
      <c r="L159" s="139"/>
    </row>
    <row r="160" spans="1:12" ht="27.95" customHeight="1">
      <c r="A160" s="73"/>
      <c r="B160" s="1214" t="s">
        <v>182</v>
      </c>
      <c r="C160" s="1105"/>
      <c r="D160" s="1105"/>
      <c r="E160" s="1105"/>
      <c r="F160" s="1105"/>
      <c r="G160" s="1105"/>
      <c r="H160" s="1105"/>
      <c r="I160" s="1105"/>
      <c r="J160" s="1105"/>
      <c r="K160" s="1105"/>
      <c r="L160" s="1106"/>
    </row>
    <row r="161" spans="1:12" ht="27.95" customHeight="1">
      <c r="A161" s="12"/>
      <c r="B161" s="1223" t="s">
        <v>183</v>
      </c>
      <c r="C161" s="1223"/>
      <c r="D161" s="1223"/>
      <c r="E161" s="1223"/>
      <c r="F161" s="1223"/>
      <c r="G161" s="1223"/>
      <c r="H161" s="1223"/>
      <c r="I161" s="1223"/>
      <c r="J161" s="1223"/>
      <c r="K161" s="1223"/>
      <c r="L161" s="1086"/>
    </row>
    <row r="162" spans="1:12" ht="27.95" customHeight="1" thickBot="1">
      <c r="A162" s="24"/>
      <c r="B162" s="1088" t="s">
        <v>184</v>
      </c>
      <c r="C162" s="1088"/>
      <c r="D162" s="1088"/>
      <c r="E162" s="1088"/>
      <c r="F162" s="1088"/>
      <c r="G162" s="1088"/>
      <c r="H162" s="1088"/>
      <c r="I162" s="1088"/>
      <c r="J162" s="1088"/>
      <c r="K162" s="1088"/>
      <c r="L162" s="1089"/>
    </row>
    <row r="163" spans="1:12" ht="27.95" customHeight="1">
      <c r="A163" s="12"/>
      <c r="B163" s="1224" t="s">
        <v>109</v>
      </c>
      <c r="C163" s="1224"/>
      <c r="D163" s="1224"/>
      <c r="E163" s="1224"/>
      <c r="F163" s="1224"/>
      <c r="H163" s="1225" t="s">
        <v>110</v>
      </c>
      <c r="I163" s="1225"/>
      <c r="J163" s="1225"/>
      <c r="K163" s="1225"/>
      <c r="L163" s="1093"/>
    </row>
    <row r="164" spans="1:12" ht="27.95" customHeight="1" thickBot="1">
      <c r="A164" s="12"/>
      <c r="B164" s="1224"/>
      <c r="C164" s="1224"/>
      <c r="D164" s="1224"/>
      <c r="E164" s="1224"/>
      <c r="F164" s="1224"/>
      <c r="H164" s="1225"/>
      <c r="I164" s="1225"/>
      <c r="J164" s="1225"/>
      <c r="K164" s="1225"/>
      <c r="L164" s="1093"/>
    </row>
    <row r="165" spans="1:12" ht="27.95" customHeight="1">
      <c r="A165" s="12"/>
      <c r="B165" s="73"/>
      <c r="C165" s="74"/>
      <c r="D165" s="74"/>
      <c r="E165" s="74"/>
      <c r="F165" s="75"/>
      <c r="H165" s="73"/>
      <c r="I165" s="74"/>
      <c r="J165" s="74"/>
      <c r="K165" s="74"/>
      <c r="L165" s="75"/>
    </row>
    <row r="166" spans="1:12">
      <c r="A166" s="12"/>
      <c r="B166" s="76" t="str">
        <f>'0422Master'!F5</f>
        <v>Burgeon IT Services Pvt.Ltd.</v>
      </c>
      <c r="F166" s="13"/>
      <c r="H166" s="76" t="str">
        <f>'0422Master'!AP5</f>
        <v>Burgeon IT Services Pvt.Ltd.</v>
      </c>
      <c r="L166" s="13"/>
    </row>
    <row r="167" spans="1:12">
      <c r="A167" s="12"/>
      <c r="B167" s="12"/>
      <c r="F167" s="13"/>
      <c r="H167" s="12"/>
      <c r="L167" s="13"/>
    </row>
    <row r="168" spans="1:12">
      <c r="A168" s="12"/>
      <c r="B168" s="76" t="str">
        <f>'0422Master'!F6</f>
        <v>Siri Mansion LIGB 436 Dr.A S Rao Nagar,Hyderabad</v>
      </c>
      <c r="F168" s="13"/>
      <c r="H168" s="76" t="str">
        <f>'0422Master'!AP6</f>
        <v>Siri Mansion LIGB 436 Dr.A S Rao Nagar,Hyderabad</v>
      </c>
      <c r="L168" s="13"/>
    </row>
    <row r="169" spans="1:12" ht="15.75" thickBot="1">
      <c r="A169" s="12"/>
      <c r="B169" s="24"/>
      <c r="C169" s="22"/>
      <c r="D169" s="22"/>
      <c r="E169" s="22"/>
      <c r="F169" s="23"/>
      <c r="H169" s="24"/>
      <c r="I169" s="22"/>
      <c r="J169" s="22"/>
      <c r="K169" s="22"/>
      <c r="L169" s="23"/>
    </row>
    <row r="170" spans="1:12">
      <c r="A170" s="12"/>
      <c r="J170" t="s">
        <v>111</v>
      </c>
      <c r="L170" s="13"/>
    </row>
    <row r="171" spans="1:12">
      <c r="A171" s="12"/>
      <c r="B171" s="1226" t="s">
        <v>112</v>
      </c>
      <c r="C171" s="1226"/>
      <c r="D171" s="1226"/>
      <c r="E171" s="1226"/>
      <c r="F171" s="1226"/>
      <c r="H171" s="1226" t="s">
        <v>4</v>
      </c>
      <c r="I171" s="1226"/>
      <c r="J171" s="1226"/>
      <c r="K171" s="1226"/>
      <c r="L171" s="1096"/>
    </row>
    <row r="172" spans="1:12" ht="15.75" thickBot="1">
      <c r="A172" s="12"/>
      <c r="L172" s="13"/>
    </row>
    <row r="173" spans="1:12">
      <c r="A173" s="12"/>
      <c r="B173" s="73"/>
      <c r="C173" s="74"/>
      <c r="D173" s="74"/>
      <c r="E173" s="74"/>
      <c r="F173" s="75"/>
      <c r="H173" s="77"/>
      <c r="I173" s="78"/>
      <c r="J173" s="78"/>
      <c r="K173" s="78"/>
      <c r="L173" s="79"/>
    </row>
    <row r="174" spans="1:12">
      <c r="A174" s="12"/>
      <c r="B174" s="12"/>
      <c r="F174" s="13"/>
      <c r="H174" s="76" t="str">
        <f>'0422Master'!AP10</f>
        <v>INFOSYS  LTD.IL Pune SEZ Unit-II,Plot No. 24/3</v>
      </c>
      <c r="I174" s="2"/>
      <c r="J174" s="2"/>
      <c r="K174" s="2"/>
      <c r="L174" s="80"/>
    </row>
    <row r="175" spans="1:12">
      <c r="A175" s="12"/>
      <c r="B175" s="76" t="str">
        <f>'0422Master'!F8</f>
        <v>IT SUPPORTIVE SERVICES&amp; PUNE SEZ UNIT-II</v>
      </c>
      <c r="F175" s="13"/>
      <c r="H175" s="76"/>
      <c r="I175" s="2"/>
      <c r="J175" s="2"/>
      <c r="K175" s="2"/>
      <c r="L175" s="80"/>
    </row>
    <row r="176" spans="1:12">
      <c r="A176" s="12"/>
      <c r="B176" s="12"/>
      <c r="F176" s="13"/>
      <c r="H176" s="76" t="str">
        <f>'0422Master'!AP11</f>
        <v>Rajiv gandhi Info tech park,Village Mann,Pune,Maharashtra 411057</v>
      </c>
      <c r="I176" s="2"/>
      <c r="J176" s="2"/>
      <c r="K176" s="2"/>
      <c r="L176" s="80"/>
    </row>
    <row r="177" spans="1:12" ht="15.75" thickBot="1">
      <c r="A177" s="12"/>
      <c r="B177" s="24"/>
      <c r="C177" s="22"/>
      <c r="D177" s="22"/>
      <c r="E177" s="22"/>
      <c r="F177" s="23"/>
      <c r="H177" s="81"/>
      <c r="I177" s="82"/>
      <c r="J177" s="82"/>
      <c r="K177" s="82"/>
      <c r="L177" s="83"/>
    </row>
    <row r="178" spans="1:12">
      <c r="A178" s="84"/>
      <c r="B178" s="1213" t="s">
        <v>185</v>
      </c>
      <c r="C178" s="1213"/>
      <c r="D178" s="1213"/>
      <c r="E178" s="1213"/>
      <c r="F178" s="1213"/>
      <c r="G178" s="1213"/>
      <c r="H178" s="1233" t="e">
        <f>'0422Master'!#REF!</f>
        <v>#REF!</v>
      </c>
      <c r="I178" s="1228"/>
      <c r="J178" s="1228"/>
      <c r="K178" s="1228"/>
      <c r="L178" s="1071"/>
    </row>
    <row r="179" spans="1:12">
      <c r="A179" s="84"/>
      <c r="B179" s="1234" t="s">
        <v>186</v>
      </c>
      <c r="C179" s="1234"/>
      <c r="D179" s="1234"/>
      <c r="E179" s="1234"/>
      <c r="F179" s="1234"/>
      <c r="G179" s="1234"/>
      <c r="H179" s="1233" t="e">
        <f>'0422Master'!#REF!</f>
        <v>#REF!</v>
      </c>
      <c r="I179" s="1228"/>
      <c r="J179" s="1228"/>
      <c r="K179" s="1228"/>
      <c r="L179" s="1071"/>
    </row>
    <row r="180" spans="1:12">
      <c r="A180" s="84"/>
      <c r="B180" s="1213" t="s">
        <v>187</v>
      </c>
      <c r="C180" s="1213"/>
      <c r="D180" s="1213"/>
      <c r="E180" s="1213"/>
      <c r="F180" s="1213"/>
      <c r="G180" s="1213"/>
      <c r="H180" s="1233" t="e">
        <f>'0422Master'!#REF!</f>
        <v>#REF!</v>
      </c>
      <c r="I180" s="1228"/>
      <c r="J180" s="1228"/>
      <c r="K180" s="1228"/>
      <c r="L180" s="1071"/>
    </row>
    <row r="181" spans="1:12">
      <c r="A181" s="84"/>
      <c r="B181" s="1213" t="s">
        <v>188</v>
      </c>
      <c r="C181" s="1213"/>
      <c r="D181" s="1213"/>
      <c r="E181" s="1213"/>
      <c r="F181" s="1213"/>
      <c r="G181" s="1213"/>
      <c r="H181" s="1227" t="e">
        <f>'0422Master'!#REF!</f>
        <v>#REF!</v>
      </c>
      <c r="I181" s="1228"/>
      <c r="J181" s="1228"/>
      <c r="K181" s="1228"/>
      <c r="L181" s="1071"/>
    </row>
    <row r="182" spans="1:12">
      <c r="A182" s="84"/>
      <c r="B182" s="85" t="s">
        <v>189</v>
      </c>
      <c r="C182" s="86"/>
      <c r="D182" s="86"/>
      <c r="E182" s="86"/>
      <c r="F182" s="86"/>
      <c r="G182" s="86"/>
      <c r="H182" s="1229" t="s">
        <v>190</v>
      </c>
      <c r="I182" s="1230"/>
      <c r="J182" s="1230"/>
      <c r="K182" s="1230"/>
      <c r="L182" s="1231"/>
    </row>
    <row r="183" spans="1:12">
      <c r="A183" s="84"/>
      <c r="B183" s="85" t="s">
        <v>191</v>
      </c>
      <c r="C183" s="86"/>
      <c r="D183" s="86"/>
      <c r="E183" s="86"/>
      <c r="F183" s="86"/>
      <c r="G183" s="86"/>
      <c r="H183" s="87"/>
      <c r="I183" s="89"/>
      <c r="J183" s="152"/>
      <c r="K183" s="89"/>
      <c r="L183" s="94"/>
    </row>
    <row r="184" spans="1:12">
      <c r="A184" s="84"/>
      <c r="B184" s="1082" t="s">
        <v>192</v>
      </c>
      <c r="C184" s="1082"/>
      <c r="D184" s="1082"/>
      <c r="E184" s="1082"/>
      <c r="F184" s="1082"/>
      <c r="G184" s="1082"/>
      <c r="H184" s="1074" t="e">
        <f>'0422Master'!#REF!</f>
        <v>#REF!</v>
      </c>
      <c r="I184" s="1075"/>
      <c r="J184" s="1075"/>
      <c r="K184" s="1075"/>
      <c r="L184" s="1076"/>
    </row>
    <row r="185" spans="1:12">
      <c r="A185" s="84"/>
      <c r="B185" s="1213"/>
      <c r="C185" s="1213"/>
      <c r="D185" s="1213"/>
      <c r="E185" s="1213"/>
      <c r="F185" s="1213"/>
      <c r="G185" s="1213"/>
      <c r="H185" s="1232" t="e">
        <f>'0422Master'!#REF!</f>
        <v>#REF!</v>
      </c>
      <c r="I185" s="1228"/>
      <c r="J185" s="1228"/>
      <c r="K185" s="1228"/>
      <c r="L185" s="1071"/>
    </row>
    <row r="186" spans="1:12">
      <c r="A186" s="12"/>
      <c r="B186" s="1213"/>
      <c r="C186" s="1213"/>
      <c r="D186" s="1213"/>
      <c r="E186" s="1213"/>
      <c r="F186" s="1213"/>
      <c r="G186" s="1213"/>
      <c r="H186" s="1233" t="e">
        <f>'0422Master'!#REF!</f>
        <v>#REF!</v>
      </c>
      <c r="I186" s="1228"/>
      <c r="J186" s="1228"/>
      <c r="K186" s="1228"/>
      <c r="L186" s="1071"/>
    </row>
    <row r="187" spans="1:12">
      <c r="A187" s="12"/>
      <c r="B187" s="85" t="s">
        <v>193</v>
      </c>
      <c r="C187" s="86"/>
      <c r="D187" s="86"/>
      <c r="E187" s="86"/>
      <c r="F187" s="86"/>
      <c r="G187" s="90"/>
      <c r="H187" s="1215" t="e">
        <f>'0422Master'!#REF!</f>
        <v>#REF!</v>
      </c>
      <c r="I187" s="1216"/>
      <c r="J187" s="1216"/>
      <c r="K187" s="1216"/>
      <c r="L187" s="1217"/>
    </row>
    <row r="188" spans="1:12">
      <c r="A188" s="12"/>
      <c r="B188" s="85"/>
      <c r="C188" s="86"/>
      <c r="D188" s="86"/>
      <c r="E188" s="86"/>
      <c r="F188" s="86"/>
      <c r="G188" s="90"/>
      <c r="H188" s="1215" t="e">
        <f>'0422Master'!#REF!</f>
        <v>#REF!</v>
      </c>
      <c r="I188" s="1216"/>
      <c r="J188" s="1216"/>
      <c r="K188" s="1216"/>
      <c r="L188" s="1217"/>
    </row>
    <row r="189" spans="1:12">
      <c r="A189" s="12"/>
      <c r="B189" s="85"/>
      <c r="C189" s="86"/>
      <c r="D189" s="86"/>
      <c r="E189" s="86"/>
      <c r="F189" s="86"/>
      <c r="G189" s="90"/>
      <c r="H189" s="1215" t="e">
        <f>'0422Master'!#REF!</f>
        <v>#REF!</v>
      </c>
      <c r="I189" s="1216"/>
      <c r="J189" s="1216"/>
      <c r="K189" s="1216"/>
      <c r="L189" s="1217"/>
    </row>
    <row r="190" spans="1:12">
      <c r="A190" s="12"/>
      <c r="B190" s="85" t="s">
        <v>200</v>
      </c>
      <c r="C190" s="86"/>
      <c r="D190" s="86"/>
      <c r="E190" s="86"/>
      <c r="F190" s="86"/>
      <c r="G190" s="90"/>
      <c r="H190" s="87"/>
      <c r="I190" s="89"/>
      <c r="J190" s="89"/>
      <c r="K190" s="89"/>
      <c r="L190" s="94"/>
    </row>
    <row r="191" spans="1:12">
      <c r="A191" s="12"/>
      <c r="B191" s="96" t="s">
        <v>201</v>
      </c>
      <c r="C191" s="133"/>
      <c r="D191" s="133"/>
      <c r="E191" s="133"/>
      <c r="F191" s="133"/>
      <c r="G191" s="134"/>
      <c r="H191" s="135"/>
      <c r="I191" s="136"/>
      <c r="J191" s="137"/>
      <c r="K191" s="136"/>
      <c r="L191" s="138"/>
    </row>
    <row r="192" spans="1:12" ht="45">
      <c r="A192" s="12"/>
      <c r="B192" s="85" t="s">
        <v>204</v>
      </c>
      <c r="C192" s="86"/>
      <c r="D192" s="89"/>
      <c r="E192" s="145" t="s">
        <v>206</v>
      </c>
      <c r="F192" s="64"/>
      <c r="G192" s="1218" t="s">
        <v>205</v>
      </c>
      <c r="H192" s="1219"/>
      <c r="I192" s="149" t="s">
        <v>202</v>
      </c>
      <c r="J192" s="147" t="s">
        <v>207</v>
      </c>
      <c r="K192" s="1218" t="s">
        <v>203</v>
      </c>
      <c r="L192" s="1220"/>
    </row>
    <row r="193" spans="1:12">
      <c r="A193" s="12"/>
      <c r="B193" s="148">
        <v>1</v>
      </c>
      <c r="C193" s="86"/>
      <c r="D193" s="86"/>
      <c r="E193" s="151">
        <v>2</v>
      </c>
      <c r="F193" s="90"/>
      <c r="G193" s="151">
        <v>3</v>
      </c>
      <c r="H193" s="167"/>
      <c r="I193" s="167">
        <v>4</v>
      </c>
      <c r="J193" s="99">
        <v>5</v>
      </c>
      <c r="K193" s="92"/>
      <c r="L193" s="93">
        <v>6</v>
      </c>
    </row>
    <row r="194" spans="1:12">
      <c r="A194" s="12"/>
      <c r="B194" s="265" t="e">
        <f>'0422Master'!#REF!</f>
        <v>#REF!</v>
      </c>
      <c r="C194" s="163"/>
      <c r="D194" s="164"/>
      <c r="E194" s="166" t="s">
        <v>363</v>
      </c>
      <c r="F194" s="164"/>
      <c r="G194" s="166" t="s">
        <v>364</v>
      </c>
      <c r="H194" s="64"/>
      <c r="I194" s="10" t="s">
        <v>365</v>
      </c>
      <c r="J194" s="264">
        <v>1</v>
      </c>
      <c r="K194" s="1221" t="s">
        <v>37</v>
      </c>
      <c r="L194" s="1222"/>
    </row>
    <row r="195" spans="1:12">
      <c r="A195" s="12"/>
      <c r="B195" s="85"/>
      <c r="C195" s="163"/>
      <c r="D195" s="164"/>
      <c r="E195" s="165"/>
      <c r="F195" s="164"/>
      <c r="G195" s="165"/>
      <c r="H195" s="64"/>
      <c r="I195" s="10"/>
      <c r="J195" s="10"/>
      <c r="K195" s="166"/>
      <c r="L195" s="64"/>
    </row>
    <row r="196" spans="1:12">
      <c r="A196" s="12"/>
      <c r="B196" s="85"/>
      <c r="C196" s="163"/>
      <c r="D196" s="164"/>
      <c r="E196" s="165"/>
      <c r="F196" s="164"/>
      <c r="G196" s="165"/>
      <c r="H196" s="64"/>
      <c r="I196" s="10"/>
      <c r="J196" s="10"/>
      <c r="K196" s="166"/>
      <c r="L196" s="64"/>
    </row>
    <row r="197" spans="1:12">
      <c r="A197" s="12"/>
      <c r="B197" s="71"/>
      <c r="C197" s="16"/>
      <c r="D197" s="72"/>
      <c r="E197" s="165"/>
      <c r="F197" s="164"/>
      <c r="G197" s="165"/>
      <c r="H197" s="64"/>
      <c r="I197" s="10"/>
      <c r="J197" s="10"/>
      <c r="K197" s="166"/>
      <c r="L197" s="64"/>
    </row>
    <row r="198" spans="1:12">
      <c r="A198" s="12"/>
      <c r="B198" t="s">
        <v>208</v>
      </c>
      <c r="L198" s="13"/>
    </row>
    <row r="199" spans="1:12">
      <c r="A199" s="12"/>
      <c r="B199" t="s">
        <v>209</v>
      </c>
      <c r="L199" s="13"/>
    </row>
    <row r="200" spans="1:12">
      <c r="A200" s="12"/>
      <c r="B200" t="s">
        <v>210</v>
      </c>
      <c r="L200" s="13"/>
    </row>
    <row r="201" spans="1:12" ht="27.95" customHeight="1">
      <c r="A201" s="12"/>
      <c r="L201" s="13"/>
    </row>
    <row r="202" spans="1:12" ht="27.95" customHeight="1">
      <c r="A202" s="12"/>
      <c r="I202" t="s">
        <v>211</v>
      </c>
      <c r="L202" s="13"/>
    </row>
    <row r="203" spans="1:12" ht="27.95" customHeight="1">
      <c r="A203" s="12"/>
      <c r="F203" s="153" t="s">
        <v>194</v>
      </c>
      <c r="L203" s="13"/>
    </row>
    <row r="204" spans="1:12" ht="27.95" customHeight="1">
      <c r="A204" s="12" t="s">
        <v>195</v>
      </c>
      <c r="K204" s="203" t="e">
        <f>'0422Master'!#REF!</f>
        <v>#REF!</v>
      </c>
      <c r="L204" s="13"/>
    </row>
    <row r="205" spans="1:12" ht="27.95" customHeight="1">
      <c r="A205" s="12" t="s">
        <v>196</v>
      </c>
      <c r="L205" s="13"/>
    </row>
    <row r="206" spans="1:12" ht="27.95" customHeight="1">
      <c r="A206" s="12"/>
      <c r="L206" s="13"/>
    </row>
    <row r="207" spans="1:12" ht="27.95" customHeight="1">
      <c r="A207" s="12"/>
      <c r="L207" s="13"/>
    </row>
    <row r="208" spans="1:12" ht="27.95" customHeight="1">
      <c r="A208" s="12"/>
      <c r="F208" t="s">
        <v>197</v>
      </c>
      <c r="L208" s="13"/>
    </row>
    <row r="209" spans="1:12" ht="27.95" customHeight="1">
      <c r="A209" s="12" t="s">
        <v>198</v>
      </c>
      <c r="B209" t="s">
        <v>362</v>
      </c>
      <c r="F209" t="str">
        <f>'0422Master'!F5</f>
        <v>Burgeon IT Services Pvt.Ltd.</v>
      </c>
      <c r="L209" s="13"/>
    </row>
    <row r="210" spans="1:12" ht="27.95" customHeight="1">
      <c r="A210" s="12" t="s">
        <v>199</v>
      </c>
      <c r="B210" s="263" t="e">
        <f>'0422Master'!#REF!</f>
        <v>#REF!</v>
      </c>
      <c r="F210" t="str">
        <f>'0422Master'!F6</f>
        <v>Siri Mansion LIGB 436 Dr.A S Rao Nagar,Hyderabad</v>
      </c>
      <c r="L210" s="13"/>
    </row>
    <row r="211" spans="1:12" ht="27.95" customHeight="1" thickBot="1">
      <c r="A211" s="24"/>
      <c r="B211" s="22"/>
      <c r="C211" s="22"/>
      <c r="D211" s="22"/>
      <c r="E211" s="22"/>
      <c r="F211" s="22"/>
      <c r="G211" s="22"/>
      <c r="H211" s="22"/>
      <c r="I211" s="22"/>
      <c r="J211" s="22"/>
      <c r="K211" s="22"/>
      <c r="L211" s="23"/>
    </row>
    <row r="212" spans="1:12" ht="27.95" customHeight="1" thickBot="1">
      <c r="B212" s="154"/>
      <c r="C212" s="150"/>
      <c r="D212" s="150"/>
      <c r="E212" s="150"/>
      <c r="F212" s="150"/>
      <c r="G212" s="150"/>
      <c r="H212" s="139"/>
      <c r="I212" s="139"/>
      <c r="J212" s="140"/>
      <c r="K212" s="139"/>
      <c r="L212" s="139"/>
    </row>
    <row r="213" spans="1:12" ht="27.95" customHeight="1">
      <c r="A213" s="73"/>
      <c r="B213" s="1214" t="s">
        <v>182</v>
      </c>
      <c r="C213" s="1105"/>
      <c r="D213" s="1105"/>
      <c r="E213" s="1105"/>
      <c r="F213" s="1105"/>
      <c r="G213" s="1105"/>
      <c r="H213" s="1105"/>
      <c r="I213" s="1105"/>
      <c r="J213" s="1105"/>
      <c r="K213" s="1105"/>
      <c r="L213" s="1106"/>
    </row>
    <row r="214" spans="1:12" ht="27.95" customHeight="1">
      <c r="A214" s="12"/>
      <c r="B214" s="1223" t="s">
        <v>183</v>
      </c>
      <c r="C214" s="1223"/>
      <c r="D214" s="1223"/>
      <c r="E214" s="1223"/>
      <c r="F214" s="1223"/>
      <c r="G214" s="1223"/>
      <c r="H214" s="1223"/>
      <c r="I214" s="1223"/>
      <c r="J214" s="1223"/>
      <c r="K214" s="1223"/>
      <c r="L214" s="1086"/>
    </row>
    <row r="215" spans="1:12" ht="27.95" customHeight="1" thickBot="1">
      <c r="A215" s="24"/>
      <c r="B215" s="1088" t="s">
        <v>184</v>
      </c>
      <c r="C215" s="1088"/>
      <c r="D215" s="1088"/>
      <c r="E215" s="1088"/>
      <c r="F215" s="1088"/>
      <c r="G215" s="1088"/>
      <c r="H215" s="1088"/>
      <c r="I215" s="1088"/>
      <c r="J215" s="1088"/>
      <c r="K215" s="1088"/>
      <c r="L215" s="1089"/>
    </row>
    <row r="216" spans="1:12" ht="27.95" customHeight="1">
      <c r="A216" s="12"/>
      <c r="B216" s="1224" t="s">
        <v>109</v>
      </c>
      <c r="C216" s="1224"/>
      <c r="D216" s="1224"/>
      <c r="E216" s="1224"/>
      <c r="F216" s="1224"/>
      <c r="H216" s="1225" t="s">
        <v>110</v>
      </c>
      <c r="I216" s="1225"/>
      <c r="J216" s="1225"/>
      <c r="K216" s="1225"/>
      <c r="L216" s="1093"/>
    </row>
    <row r="217" spans="1:12" ht="27.95" customHeight="1" thickBot="1">
      <c r="A217" s="12"/>
      <c r="B217" s="1224"/>
      <c r="C217" s="1224"/>
      <c r="D217" s="1224"/>
      <c r="E217" s="1224"/>
      <c r="F217" s="1224"/>
      <c r="H217" s="1225"/>
      <c r="I217" s="1225"/>
      <c r="J217" s="1225"/>
      <c r="K217" s="1225"/>
      <c r="L217" s="1093"/>
    </row>
    <row r="218" spans="1:12" ht="27.95" customHeight="1">
      <c r="A218" s="12"/>
      <c r="B218" s="73"/>
      <c r="C218" s="74"/>
      <c r="D218" s="74"/>
      <c r="E218" s="74"/>
      <c r="F218" s="75"/>
      <c r="H218" s="73"/>
      <c r="I218" s="74"/>
      <c r="J218" s="74"/>
      <c r="K218" s="74"/>
      <c r="L218" s="75"/>
    </row>
    <row r="219" spans="1:12">
      <c r="A219" s="12"/>
      <c r="B219" s="76" t="str">
        <f>'0422Master'!F5</f>
        <v>Burgeon IT Services Pvt.Ltd.</v>
      </c>
      <c r="F219" s="13"/>
      <c r="H219" s="76" t="str">
        <f>'0422Master'!AP5</f>
        <v>Burgeon IT Services Pvt.Ltd.</v>
      </c>
      <c r="L219" s="13"/>
    </row>
    <row r="220" spans="1:12">
      <c r="A220" s="12"/>
      <c r="B220" s="12"/>
      <c r="F220" s="13"/>
      <c r="H220" s="12"/>
      <c r="L220" s="13"/>
    </row>
    <row r="221" spans="1:12">
      <c r="A221" s="12"/>
      <c r="B221" s="76" t="str">
        <f>'0422Master'!F6</f>
        <v>Siri Mansion LIGB 436 Dr.A S Rao Nagar,Hyderabad</v>
      </c>
      <c r="F221" s="13"/>
      <c r="H221" s="76" t="str">
        <f>'0422Master'!AP6</f>
        <v>Siri Mansion LIGB 436 Dr.A S Rao Nagar,Hyderabad</v>
      </c>
      <c r="L221" s="13"/>
    </row>
    <row r="222" spans="1:12" ht="15.75" thickBot="1">
      <c r="A222" s="12"/>
      <c r="B222" s="24"/>
      <c r="C222" s="22"/>
      <c r="D222" s="22"/>
      <c r="E222" s="22"/>
      <c r="F222" s="23"/>
      <c r="H222" s="24"/>
      <c r="I222" s="22"/>
      <c r="J222" s="22"/>
      <c r="K222" s="22"/>
      <c r="L222" s="23"/>
    </row>
    <row r="223" spans="1:12">
      <c r="A223" s="12"/>
      <c r="J223" t="s">
        <v>111</v>
      </c>
      <c r="L223" s="13"/>
    </row>
    <row r="224" spans="1:12">
      <c r="A224" s="12"/>
      <c r="B224" s="1226" t="s">
        <v>112</v>
      </c>
      <c r="C224" s="1226"/>
      <c r="D224" s="1226"/>
      <c r="E224" s="1226"/>
      <c r="F224" s="1226"/>
      <c r="H224" s="1226" t="s">
        <v>4</v>
      </c>
      <c r="I224" s="1226"/>
      <c r="J224" s="1226"/>
      <c r="K224" s="1226"/>
      <c r="L224" s="1096"/>
    </row>
    <row r="225" spans="1:12" ht="15.75" thickBot="1">
      <c r="A225" s="12"/>
      <c r="L225" s="13"/>
    </row>
    <row r="226" spans="1:12">
      <c r="A226" s="12"/>
      <c r="B226" s="73"/>
      <c r="C226" s="74"/>
      <c r="D226" s="74"/>
      <c r="E226" s="74"/>
      <c r="F226" s="75"/>
      <c r="H226" s="77"/>
      <c r="I226" s="78"/>
      <c r="J226" s="78"/>
      <c r="K226" s="78"/>
      <c r="L226" s="79"/>
    </row>
    <row r="227" spans="1:12">
      <c r="A227" s="12"/>
      <c r="B227" s="12"/>
      <c r="F227" s="13"/>
      <c r="H227" s="76" t="str">
        <f>'0422Master'!AP10</f>
        <v>INFOSYS  LTD.IL Pune SEZ Unit-II,Plot No. 24/3</v>
      </c>
      <c r="I227" s="2"/>
      <c r="J227" s="2"/>
      <c r="K227" s="2"/>
      <c r="L227" s="80"/>
    </row>
    <row r="228" spans="1:12">
      <c r="A228" s="12"/>
      <c r="B228" s="76" t="str">
        <f>'0422Master'!F8</f>
        <v>IT SUPPORTIVE SERVICES&amp; PUNE SEZ UNIT-II</v>
      </c>
      <c r="F228" s="13"/>
      <c r="H228" s="76"/>
      <c r="I228" s="2"/>
      <c r="J228" s="2"/>
      <c r="K228" s="2"/>
      <c r="L228" s="80"/>
    </row>
    <row r="229" spans="1:12">
      <c r="A229" s="12"/>
      <c r="B229" s="12"/>
      <c r="F229" s="13"/>
      <c r="H229" s="76" t="str">
        <f>'0422Master'!AP11</f>
        <v>Rajiv gandhi Info tech park,Village Mann,Pune,Maharashtra 411057</v>
      </c>
      <c r="I229" s="2"/>
      <c r="J229" s="2"/>
      <c r="K229" s="2"/>
      <c r="L229" s="80"/>
    </row>
    <row r="230" spans="1:12" ht="15.75" thickBot="1">
      <c r="A230" s="12"/>
      <c r="B230" s="24"/>
      <c r="C230" s="22"/>
      <c r="D230" s="22"/>
      <c r="E230" s="22"/>
      <c r="F230" s="23"/>
      <c r="H230" s="81"/>
      <c r="I230" s="82"/>
      <c r="J230" s="82"/>
      <c r="K230" s="82"/>
      <c r="L230" s="83"/>
    </row>
    <row r="231" spans="1:12">
      <c r="A231" s="84"/>
      <c r="B231" s="1213" t="s">
        <v>185</v>
      </c>
      <c r="C231" s="1213"/>
      <c r="D231" s="1213"/>
      <c r="E231" s="1213"/>
      <c r="F231" s="1213"/>
      <c r="G231" s="1213"/>
      <c r="H231" s="1233" t="e">
        <f>'0422Master'!#REF!</f>
        <v>#REF!</v>
      </c>
      <c r="I231" s="1228"/>
      <c r="J231" s="1228"/>
      <c r="K231" s="1228"/>
      <c r="L231" s="1071"/>
    </row>
    <row r="232" spans="1:12">
      <c r="A232" s="84"/>
      <c r="B232" s="1234" t="s">
        <v>186</v>
      </c>
      <c r="C232" s="1234"/>
      <c r="D232" s="1234"/>
      <c r="E232" s="1234"/>
      <c r="F232" s="1234"/>
      <c r="G232" s="1234"/>
      <c r="H232" s="1233" t="e">
        <f>'0422Master'!#REF!</f>
        <v>#REF!</v>
      </c>
      <c r="I232" s="1228"/>
      <c r="J232" s="1228"/>
      <c r="K232" s="1228"/>
      <c r="L232" s="1071"/>
    </row>
    <row r="233" spans="1:12">
      <c r="A233" s="84"/>
      <c r="B233" s="1213" t="s">
        <v>187</v>
      </c>
      <c r="C233" s="1213"/>
      <c r="D233" s="1213"/>
      <c r="E233" s="1213"/>
      <c r="F233" s="1213"/>
      <c r="G233" s="1213"/>
      <c r="H233" s="1233" t="e">
        <f>'0422Master'!#REF!</f>
        <v>#REF!</v>
      </c>
      <c r="I233" s="1228"/>
      <c r="J233" s="1228"/>
      <c r="K233" s="1228"/>
      <c r="L233" s="1071"/>
    </row>
    <row r="234" spans="1:12">
      <c r="A234" s="84"/>
      <c r="B234" s="1213" t="s">
        <v>188</v>
      </c>
      <c r="C234" s="1213"/>
      <c r="D234" s="1213"/>
      <c r="E234" s="1213"/>
      <c r="F234" s="1213"/>
      <c r="G234" s="1213"/>
      <c r="H234" s="1227" t="e">
        <f>'0422Master'!#REF!</f>
        <v>#REF!</v>
      </c>
      <c r="I234" s="1228"/>
      <c r="J234" s="1228"/>
      <c r="K234" s="1228"/>
      <c r="L234" s="1071"/>
    </row>
    <row r="235" spans="1:12">
      <c r="A235" s="84"/>
      <c r="B235" s="85" t="s">
        <v>189</v>
      </c>
      <c r="C235" s="86"/>
      <c r="D235" s="86"/>
      <c r="E235" s="86"/>
      <c r="F235" s="86"/>
      <c r="G235" s="86"/>
      <c r="H235" s="1229" t="s">
        <v>190</v>
      </c>
      <c r="I235" s="1230"/>
      <c r="J235" s="1230"/>
      <c r="K235" s="1230"/>
      <c r="L235" s="1231"/>
    </row>
    <row r="236" spans="1:12">
      <c r="A236" s="84"/>
      <c r="B236" s="85" t="s">
        <v>191</v>
      </c>
      <c r="C236" s="86"/>
      <c r="D236" s="86"/>
      <c r="E236" s="86"/>
      <c r="F236" s="86"/>
      <c r="G236" s="86"/>
      <c r="H236" s="87"/>
      <c r="I236" s="89"/>
      <c r="J236" s="152"/>
      <c r="K236" s="89"/>
      <c r="L236" s="94"/>
    </row>
    <row r="237" spans="1:12">
      <c r="A237" s="84"/>
      <c r="B237" s="1082" t="s">
        <v>192</v>
      </c>
      <c r="C237" s="1082"/>
      <c r="D237" s="1082"/>
      <c r="E237" s="1082"/>
      <c r="F237" s="1082"/>
      <c r="G237" s="1082"/>
      <c r="H237" s="1074" t="e">
        <f>'0422Master'!#REF!</f>
        <v>#REF!</v>
      </c>
      <c r="I237" s="1075"/>
      <c r="J237" s="1075"/>
      <c r="K237" s="1075"/>
      <c r="L237" s="1076"/>
    </row>
    <row r="238" spans="1:12">
      <c r="A238" s="84"/>
      <c r="B238" s="1213"/>
      <c r="C238" s="1213"/>
      <c r="D238" s="1213"/>
      <c r="E238" s="1213"/>
      <c r="F238" s="1213"/>
      <c r="G238" s="1213"/>
      <c r="H238" s="1232" t="e">
        <f>'0422Master'!#REF!</f>
        <v>#REF!</v>
      </c>
      <c r="I238" s="1228"/>
      <c r="J238" s="1228"/>
      <c r="K238" s="1228"/>
      <c r="L238" s="1071"/>
    </row>
    <row r="239" spans="1:12">
      <c r="A239" s="12"/>
      <c r="B239" s="1213"/>
      <c r="C239" s="1213"/>
      <c r="D239" s="1213"/>
      <c r="E239" s="1213"/>
      <c r="F239" s="1213"/>
      <c r="G239" s="1213"/>
      <c r="H239" s="1233" t="e">
        <f>'0422Master'!#REF!</f>
        <v>#REF!</v>
      </c>
      <c r="I239" s="1228"/>
      <c r="J239" s="1228"/>
      <c r="K239" s="1228"/>
      <c r="L239" s="1071"/>
    </row>
    <row r="240" spans="1:12">
      <c r="A240" s="12"/>
      <c r="B240" s="85" t="s">
        <v>193</v>
      </c>
      <c r="C240" s="86"/>
      <c r="D240" s="86"/>
      <c r="E240" s="86"/>
      <c r="F240" s="86"/>
      <c r="G240" s="90"/>
      <c r="H240" s="1215" t="e">
        <f>'0422Master'!#REF!</f>
        <v>#REF!</v>
      </c>
      <c r="I240" s="1216"/>
      <c r="J240" s="1216"/>
      <c r="K240" s="1216"/>
      <c r="L240" s="1217"/>
    </row>
    <row r="241" spans="1:12">
      <c r="A241" s="12"/>
      <c r="B241" s="85"/>
      <c r="C241" s="86"/>
      <c r="D241" s="86"/>
      <c r="E241" s="86"/>
      <c r="F241" s="86"/>
      <c r="G241" s="90"/>
      <c r="H241" s="1215" t="e">
        <f>'0422Master'!#REF!</f>
        <v>#REF!</v>
      </c>
      <c r="I241" s="1216"/>
      <c r="J241" s="1216"/>
      <c r="K241" s="1216"/>
      <c r="L241" s="1217"/>
    </row>
    <row r="242" spans="1:12">
      <c r="A242" s="12"/>
      <c r="B242" s="85"/>
      <c r="C242" s="86"/>
      <c r="D242" s="86"/>
      <c r="E242" s="86"/>
      <c r="F242" s="86"/>
      <c r="G242" s="90"/>
      <c r="H242" s="1215" t="e">
        <f>'0422Master'!#REF!</f>
        <v>#REF!</v>
      </c>
      <c r="I242" s="1216"/>
      <c r="J242" s="1216"/>
      <c r="K242" s="1216"/>
      <c r="L242" s="1217"/>
    </row>
    <row r="243" spans="1:12">
      <c r="A243" s="12"/>
      <c r="B243" s="85" t="s">
        <v>200</v>
      </c>
      <c r="C243" s="86"/>
      <c r="D243" s="86"/>
      <c r="E243" s="86"/>
      <c r="F243" s="86"/>
      <c r="G243" s="90"/>
      <c r="H243" s="87"/>
      <c r="I243" s="89"/>
      <c r="J243" s="89"/>
      <c r="K243" s="89"/>
      <c r="L243" s="94"/>
    </row>
    <row r="244" spans="1:12">
      <c r="A244" s="12"/>
      <c r="B244" s="96" t="s">
        <v>201</v>
      </c>
      <c r="C244" s="133"/>
      <c r="D244" s="133"/>
      <c r="E244" s="133"/>
      <c r="F244" s="133"/>
      <c r="G244" s="134"/>
      <c r="H244" s="135"/>
      <c r="I244" s="136"/>
      <c r="J244" s="137"/>
      <c r="K244" s="136"/>
      <c r="L244" s="138"/>
    </row>
    <row r="245" spans="1:12" ht="45">
      <c r="A245" s="12"/>
      <c r="B245" s="85" t="s">
        <v>204</v>
      </c>
      <c r="C245" s="86"/>
      <c r="D245" s="89"/>
      <c r="E245" s="145" t="s">
        <v>206</v>
      </c>
      <c r="F245" s="64"/>
      <c r="G245" s="1218" t="s">
        <v>205</v>
      </c>
      <c r="H245" s="1219"/>
      <c r="I245" s="149" t="s">
        <v>202</v>
      </c>
      <c r="J245" s="147" t="s">
        <v>207</v>
      </c>
      <c r="K245" s="1218" t="s">
        <v>203</v>
      </c>
      <c r="L245" s="1220"/>
    </row>
    <row r="246" spans="1:12">
      <c r="A246" s="12"/>
      <c r="B246" s="148">
        <v>1</v>
      </c>
      <c r="C246" s="86"/>
      <c r="D246" s="86"/>
      <c r="E246" s="151">
        <v>2</v>
      </c>
      <c r="F246" s="90"/>
      <c r="G246" s="151">
        <v>3</v>
      </c>
      <c r="H246" s="167"/>
      <c r="I246" s="167">
        <v>4</v>
      </c>
      <c r="J246" s="99">
        <v>5</v>
      </c>
      <c r="K246" s="92"/>
      <c r="L246" s="93">
        <v>6</v>
      </c>
    </row>
    <row r="247" spans="1:12">
      <c r="A247" s="12"/>
      <c r="B247" s="265" t="e">
        <f>'0422Master'!#REF!</f>
        <v>#REF!</v>
      </c>
      <c r="C247" s="163"/>
      <c r="D247" s="164"/>
      <c r="E247" s="166" t="s">
        <v>363</v>
      </c>
      <c r="F247" s="164"/>
      <c r="G247" s="166" t="s">
        <v>364</v>
      </c>
      <c r="H247" s="64"/>
      <c r="I247" s="10" t="s">
        <v>365</v>
      </c>
      <c r="J247" s="264">
        <v>1</v>
      </c>
      <c r="K247" s="1221" t="s">
        <v>37</v>
      </c>
      <c r="L247" s="1222"/>
    </row>
    <row r="248" spans="1:12">
      <c r="A248" s="12"/>
      <c r="B248" s="85"/>
      <c r="C248" s="163"/>
      <c r="D248" s="164"/>
      <c r="E248" s="165"/>
      <c r="F248" s="164"/>
      <c r="G248" s="165"/>
      <c r="H248" s="64"/>
      <c r="I248" s="10"/>
      <c r="J248" s="10"/>
      <c r="K248" s="166"/>
      <c r="L248" s="64"/>
    </row>
    <row r="249" spans="1:12">
      <c r="A249" s="12"/>
      <c r="B249" s="85"/>
      <c r="C249" s="163"/>
      <c r="D249" s="164"/>
      <c r="E249" s="165"/>
      <c r="F249" s="164"/>
      <c r="G249" s="165"/>
      <c r="H249" s="64"/>
      <c r="I249" s="10"/>
      <c r="J249" s="10"/>
      <c r="K249" s="166"/>
      <c r="L249" s="64"/>
    </row>
    <row r="250" spans="1:12">
      <c r="A250" s="12"/>
      <c r="B250" s="71"/>
      <c r="C250" s="16"/>
      <c r="D250" s="72"/>
      <c r="E250" s="165"/>
      <c r="F250" s="164"/>
      <c r="G250" s="165"/>
      <c r="H250" s="64"/>
      <c r="I250" s="10"/>
      <c r="J250" s="10"/>
      <c r="K250" s="166"/>
      <c r="L250" s="64"/>
    </row>
    <row r="251" spans="1:12">
      <c r="A251" s="12"/>
      <c r="B251" t="s">
        <v>208</v>
      </c>
      <c r="L251" s="13"/>
    </row>
    <row r="252" spans="1:12">
      <c r="A252" s="12"/>
      <c r="B252" t="s">
        <v>209</v>
      </c>
      <c r="L252" s="13"/>
    </row>
    <row r="253" spans="1:12">
      <c r="A253" s="12"/>
      <c r="B253" t="s">
        <v>210</v>
      </c>
      <c r="L253" s="13"/>
    </row>
    <row r="254" spans="1:12" ht="27.95" customHeight="1">
      <c r="A254" s="12"/>
      <c r="L254" s="13"/>
    </row>
    <row r="255" spans="1:12" ht="27.95" customHeight="1">
      <c r="A255" s="12"/>
      <c r="I255" t="s">
        <v>211</v>
      </c>
      <c r="L255" s="13"/>
    </row>
    <row r="256" spans="1:12" ht="27.95" customHeight="1">
      <c r="A256" s="12"/>
      <c r="F256" s="153" t="s">
        <v>194</v>
      </c>
      <c r="L256" s="13"/>
    </row>
    <row r="257" spans="1:12" ht="27.95" customHeight="1">
      <c r="A257" s="12" t="s">
        <v>195</v>
      </c>
      <c r="K257" s="203" t="e">
        <f>'0422Master'!#REF!</f>
        <v>#REF!</v>
      </c>
      <c r="L257" s="13"/>
    </row>
    <row r="258" spans="1:12" ht="27.95" customHeight="1">
      <c r="A258" s="12" t="s">
        <v>196</v>
      </c>
      <c r="L258" s="13"/>
    </row>
    <row r="259" spans="1:12" ht="27.95" customHeight="1">
      <c r="A259" s="12"/>
      <c r="L259" s="13"/>
    </row>
    <row r="260" spans="1:12" ht="27.95" customHeight="1">
      <c r="A260" s="12"/>
      <c r="L260" s="13"/>
    </row>
    <row r="261" spans="1:12" ht="27.95" customHeight="1">
      <c r="A261" s="12"/>
      <c r="F261" t="s">
        <v>197</v>
      </c>
      <c r="L261" s="13"/>
    </row>
    <row r="262" spans="1:12" ht="27.95" customHeight="1">
      <c r="A262" s="12" t="s">
        <v>198</v>
      </c>
      <c r="B262" t="s">
        <v>362</v>
      </c>
      <c r="F262" t="str">
        <f>'0422Master'!F5</f>
        <v>Burgeon IT Services Pvt.Ltd.</v>
      </c>
      <c r="L262" s="13"/>
    </row>
    <row r="263" spans="1:12" ht="27.95" customHeight="1">
      <c r="A263" s="12" t="s">
        <v>199</v>
      </c>
      <c r="B263" s="263" t="e">
        <f>'0422Master'!#REF!</f>
        <v>#REF!</v>
      </c>
      <c r="F263" t="str">
        <f>'0422Master'!F6</f>
        <v>Siri Mansion LIGB 436 Dr.A S Rao Nagar,Hyderabad</v>
      </c>
      <c r="L263" s="13"/>
    </row>
    <row r="264" spans="1:12" ht="27.95" customHeight="1" thickBot="1">
      <c r="A264" s="24"/>
      <c r="B264" s="22"/>
      <c r="C264" s="22"/>
      <c r="D264" s="22"/>
      <c r="E264" s="22"/>
      <c r="F264" s="22"/>
      <c r="G264" s="22"/>
      <c r="H264" s="22"/>
      <c r="I264" s="22"/>
      <c r="J264" s="22"/>
      <c r="K264" s="22"/>
      <c r="L264" s="23"/>
    </row>
    <row r="265" spans="1:12" ht="27.95" customHeight="1" thickBot="1">
      <c r="B265" s="154"/>
      <c r="C265" s="150"/>
      <c r="D265" s="150"/>
      <c r="E265" s="150"/>
      <c r="F265" s="150"/>
      <c r="G265" s="150"/>
      <c r="H265" s="139"/>
      <c r="I265" s="139"/>
      <c r="J265" s="140"/>
      <c r="K265" s="139"/>
      <c r="L265" s="139"/>
    </row>
    <row r="266" spans="1:12" ht="27.95" customHeight="1">
      <c r="A266" s="73"/>
      <c r="B266" s="1214" t="s">
        <v>182</v>
      </c>
      <c r="C266" s="1105"/>
      <c r="D266" s="1105"/>
      <c r="E266" s="1105"/>
      <c r="F266" s="1105"/>
      <c r="G266" s="1105"/>
      <c r="H266" s="1105"/>
      <c r="I266" s="1105"/>
      <c r="J266" s="1105"/>
      <c r="K266" s="1105"/>
      <c r="L266" s="1106"/>
    </row>
    <row r="267" spans="1:12" ht="27.95" customHeight="1">
      <c r="A267" s="12"/>
      <c r="B267" s="1223" t="s">
        <v>183</v>
      </c>
      <c r="C267" s="1223"/>
      <c r="D267" s="1223"/>
      <c r="E267" s="1223"/>
      <c r="F267" s="1223"/>
      <c r="G267" s="1223"/>
      <c r="H267" s="1223"/>
      <c r="I267" s="1223"/>
      <c r="J267" s="1223"/>
      <c r="K267" s="1223"/>
      <c r="L267" s="1086"/>
    </row>
    <row r="268" spans="1:12" ht="27.95" customHeight="1" thickBot="1">
      <c r="A268" s="24"/>
      <c r="B268" s="1088" t="s">
        <v>184</v>
      </c>
      <c r="C268" s="1088"/>
      <c r="D268" s="1088"/>
      <c r="E268" s="1088"/>
      <c r="F268" s="1088"/>
      <c r="G268" s="1088"/>
      <c r="H268" s="1088"/>
      <c r="I268" s="1088"/>
      <c r="J268" s="1088"/>
      <c r="K268" s="1088"/>
      <c r="L268" s="1089"/>
    </row>
    <row r="269" spans="1:12" ht="27.95" customHeight="1">
      <c r="A269" s="12"/>
      <c r="B269" s="1224" t="s">
        <v>109</v>
      </c>
      <c r="C269" s="1224"/>
      <c r="D269" s="1224"/>
      <c r="E269" s="1224"/>
      <c r="F269" s="1224"/>
      <c r="H269" s="1225" t="s">
        <v>110</v>
      </c>
      <c r="I269" s="1225"/>
      <c r="J269" s="1225"/>
      <c r="K269" s="1225"/>
      <c r="L269" s="1093"/>
    </row>
    <row r="270" spans="1:12" ht="27.95" customHeight="1" thickBot="1">
      <c r="A270" s="12"/>
      <c r="B270" s="1224"/>
      <c r="C270" s="1224"/>
      <c r="D270" s="1224"/>
      <c r="E270" s="1224"/>
      <c r="F270" s="1224"/>
      <c r="H270" s="1225"/>
      <c r="I270" s="1225"/>
      <c r="J270" s="1225"/>
      <c r="K270" s="1225"/>
      <c r="L270" s="1093"/>
    </row>
    <row r="271" spans="1:12" ht="27.95" customHeight="1">
      <c r="A271" s="12"/>
      <c r="B271" s="73"/>
      <c r="C271" s="74"/>
      <c r="D271" s="74"/>
      <c r="E271" s="74"/>
      <c r="F271" s="75"/>
      <c r="H271" s="73"/>
      <c r="I271" s="74"/>
      <c r="J271" s="74"/>
      <c r="K271" s="74"/>
      <c r="L271" s="75"/>
    </row>
    <row r="272" spans="1:12">
      <c r="A272" s="12"/>
      <c r="B272" s="76" t="str">
        <f>'0422Master'!F5</f>
        <v>Burgeon IT Services Pvt.Ltd.</v>
      </c>
      <c r="F272" s="13"/>
      <c r="H272" s="76" t="str">
        <f>'0422Master'!AP5</f>
        <v>Burgeon IT Services Pvt.Ltd.</v>
      </c>
      <c r="L272" s="13"/>
    </row>
    <row r="273" spans="1:12">
      <c r="A273" s="12"/>
      <c r="B273" s="12"/>
      <c r="F273" s="13"/>
      <c r="H273" s="12"/>
      <c r="L273" s="13"/>
    </row>
    <row r="274" spans="1:12">
      <c r="A274" s="12"/>
      <c r="B274" s="76" t="str">
        <f>'0422Master'!F6</f>
        <v>Siri Mansion LIGB 436 Dr.A S Rao Nagar,Hyderabad</v>
      </c>
      <c r="F274" s="13"/>
      <c r="H274" s="76" t="str">
        <f>'0422Master'!AP6</f>
        <v>Siri Mansion LIGB 436 Dr.A S Rao Nagar,Hyderabad</v>
      </c>
      <c r="L274" s="13"/>
    </row>
    <row r="275" spans="1:12" ht="15.75" thickBot="1">
      <c r="A275" s="12"/>
      <c r="B275" s="24"/>
      <c r="C275" s="22"/>
      <c r="D275" s="22"/>
      <c r="E275" s="22"/>
      <c r="F275" s="23"/>
      <c r="H275" s="24"/>
      <c r="I275" s="22"/>
      <c r="J275" s="22"/>
      <c r="K275" s="22"/>
      <c r="L275" s="23"/>
    </row>
    <row r="276" spans="1:12">
      <c r="A276" s="12"/>
      <c r="J276" t="s">
        <v>111</v>
      </c>
      <c r="L276" s="13"/>
    </row>
    <row r="277" spans="1:12">
      <c r="A277" s="12"/>
      <c r="B277" s="1226" t="s">
        <v>112</v>
      </c>
      <c r="C277" s="1226"/>
      <c r="D277" s="1226"/>
      <c r="E277" s="1226"/>
      <c r="F277" s="1226"/>
      <c r="H277" s="1226" t="s">
        <v>4</v>
      </c>
      <c r="I277" s="1226"/>
      <c r="J277" s="1226"/>
      <c r="K277" s="1226"/>
      <c r="L277" s="1096"/>
    </row>
    <row r="278" spans="1:12" ht="15.75" thickBot="1">
      <c r="A278" s="12"/>
      <c r="L278" s="13"/>
    </row>
    <row r="279" spans="1:12">
      <c r="A279" s="12"/>
      <c r="B279" s="73"/>
      <c r="C279" s="74"/>
      <c r="D279" s="74"/>
      <c r="E279" s="74"/>
      <c r="F279" s="75"/>
      <c r="H279" s="77"/>
      <c r="I279" s="78"/>
      <c r="J279" s="78"/>
      <c r="K279" s="78"/>
      <c r="L279" s="79"/>
    </row>
    <row r="280" spans="1:12">
      <c r="A280" s="12"/>
      <c r="B280" s="12"/>
      <c r="F280" s="13"/>
      <c r="H280" s="76" t="str">
        <f>'0422Master'!AP10</f>
        <v>INFOSYS  LTD.IL Pune SEZ Unit-II,Plot No. 24/3</v>
      </c>
      <c r="I280" s="2"/>
      <c r="J280" s="2"/>
      <c r="K280" s="2"/>
      <c r="L280" s="80"/>
    </row>
    <row r="281" spans="1:12">
      <c r="A281" s="12"/>
      <c r="B281" s="76" t="str">
        <f>'0422Master'!F8</f>
        <v>IT SUPPORTIVE SERVICES&amp; PUNE SEZ UNIT-II</v>
      </c>
      <c r="F281" s="13"/>
      <c r="H281" s="76"/>
      <c r="I281" s="2"/>
      <c r="J281" s="2"/>
      <c r="K281" s="2"/>
      <c r="L281" s="80"/>
    </row>
    <row r="282" spans="1:12">
      <c r="A282" s="12"/>
      <c r="B282" s="12"/>
      <c r="F282" s="13"/>
      <c r="H282" s="76" t="str">
        <f>'0422Master'!AP11</f>
        <v>Rajiv gandhi Info tech park,Village Mann,Pune,Maharashtra 411057</v>
      </c>
      <c r="I282" s="2"/>
      <c r="J282" s="2"/>
      <c r="K282" s="2"/>
      <c r="L282" s="80"/>
    </row>
    <row r="283" spans="1:12" ht="15.75" thickBot="1">
      <c r="A283" s="12"/>
      <c r="B283" s="24"/>
      <c r="C283" s="22"/>
      <c r="D283" s="22"/>
      <c r="E283" s="22"/>
      <c r="F283" s="23"/>
      <c r="H283" s="81"/>
      <c r="I283" s="82"/>
      <c r="J283" s="82"/>
      <c r="K283" s="82"/>
      <c r="L283" s="83"/>
    </row>
    <row r="284" spans="1:12">
      <c r="A284" s="84"/>
      <c r="B284" s="1213" t="s">
        <v>185</v>
      </c>
      <c r="C284" s="1213"/>
      <c r="D284" s="1213"/>
      <c r="E284" s="1213"/>
      <c r="F284" s="1213"/>
      <c r="G284" s="1213"/>
      <c r="H284" s="1233" t="e">
        <f>'0422Master'!#REF!</f>
        <v>#REF!</v>
      </c>
      <c r="I284" s="1228"/>
      <c r="J284" s="1228"/>
      <c r="K284" s="1228"/>
      <c r="L284" s="1071"/>
    </row>
    <row r="285" spans="1:12">
      <c r="A285" s="84"/>
      <c r="B285" s="1234" t="s">
        <v>186</v>
      </c>
      <c r="C285" s="1234"/>
      <c r="D285" s="1234"/>
      <c r="E285" s="1234"/>
      <c r="F285" s="1234"/>
      <c r="G285" s="1234"/>
      <c r="H285" s="1233" t="e">
        <f>'0422Master'!#REF!</f>
        <v>#REF!</v>
      </c>
      <c r="I285" s="1228"/>
      <c r="J285" s="1228"/>
      <c r="K285" s="1228"/>
      <c r="L285" s="1071"/>
    </row>
    <row r="286" spans="1:12">
      <c r="A286" s="84"/>
      <c r="B286" s="1213" t="s">
        <v>187</v>
      </c>
      <c r="C286" s="1213"/>
      <c r="D286" s="1213"/>
      <c r="E286" s="1213"/>
      <c r="F286" s="1213"/>
      <c r="G286" s="1213"/>
      <c r="H286" s="1233" t="e">
        <f>'0422Master'!#REF!</f>
        <v>#REF!</v>
      </c>
      <c r="I286" s="1228"/>
      <c r="J286" s="1228"/>
      <c r="K286" s="1228"/>
      <c r="L286" s="1071"/>
    </row>
    <row r="287" spans="1:12">
      <c r="A287" s="84"/>
      <c r="B287" s="1213" t="s">
        <v>188</v>
      </c>
      <c r="C287" s="1213"/>
      <c r="D287" s="1213"/>
      <c r="E287" s="1213"/>
      <c r="F287" s="1213"/>
      <c r="G287" s="1213"/>
      <c r="H287" s="1227" t="e">
        <f>'0422Master'!#REF!</f>
        <v>#REF!</v>
      </c>
      <c r="I287" s="1228"/>
      <c r="J287" s="1228"/>
      <c r="K287" s="1228"/>
      <c r="L287" s="1071"/>
    </row>
    <row r="288" spans="1:12">
      <c r="A288" s="84"/>
      <c r="B288" s="85" t="s">
        <v>189</v>
      </c>
      <c r="C288" s="86"/>
      <c r="D288" s="86"/>
      <c r="E288" s="86"/>
      <c r="F288" s="86"/>
      <c r="G288" s="86"/>
      <c r="H288" s="1229" t="s">
        <v>190</v>
      </c>
      <c r="I288" s="1230"/>
      <c r="J288" s="1230"/>
      <c r="K288" s="1230"/>
      <c r="L288" s="1231"/>
    </row>
    <row r="289" spans="1:12">
      <c r="A289" s="84"/>
      <c r="B289" s="85" t="s">
        <v>191</v>
      </c>
      <c r="C289" s="86"/>
      <c r="D289" s="86"/>
      <c r="E289" s="86"/>
      <c r="F289" s="86"/>
      <c r="G289" s="86"/>
      <c r="H289" s="87"/>
      <c r="I289" s="89"/>
      <c r="J289" s="152"/>
      <c r="K289" s="89"/>
      <c r="L289" s="94"/>
    </row>
    <row r="290" spans="1:12">
      <c r="A290" s="84"/>
      <c r="B290" s="1082" t="s">
        <v>192</v>
      </c>
      <c r="C290" s="1082"/>
      <c r="D290" s="1082"/>
      <c r="E290" s="1082"/>
      <c r="F290" s="1082"/>
      <c r="G290" s="1082"/>
      <c r="H290" s="1074" t="e">
        <f>'0422Master'!#REF!</f>
        <v>#REF!</v>
      </c>
      <c r="I290" s="1075"/>
      <c r="J290" s="1075"/>
      <c r="K290" s="1075"/>
      <c r="L290" s="1076"/>
    </row>
    <row r="291" spans="1:12">
      <c r="A291" s="84"/>
      <c r="B291" s="1213"/>
      <c r="C291" s="1213"/>
      <c r="D291" s="1213"/>
      <c r="E291" s="1213"/>
      <c r="F291" s="1213"/>
      <c r="G291" s="1213"/>
      <c r="H291" s="1232" t="e">
        <f>'0422Master'!#REF!</f>
        <v>#REF!</v>
      </c>
      <c r="I291" s="1228"/>
      <c r="J291" s="1228"/>
      <c r="K291" s="1228"/>
      <c r="L291" s="1071"/>
    </row>
    <row r="292" spans="1:12">
      <c r="A292" s="12"/>
      <c r="B292" s="1213"/>
      <c r="C292" s="1213"/>
      <c r="D292" s="1213"/>
      <c r="E292" s="1213"/>
      <c r="F292" s="1213"/>
      <c r="G292" s="1213"/>
      <c r="H292" s="1233" t="e">
        <f>'0422Master'!#REF!</f>
        <v>#REF!</v>
      </c>
      <c r="I292" s="1228"/>
      <c r="J292" s="1228"/>
      <c r="K292" s="1228"/>
      <c r="L292" s="1071"/>
    </row>
    <row r="293" spans="1:12">
      <c r="A293" s="12"/>
      <c r="B293" s="85" t="s">
        <v>193</v>
      </c>
      <c r="C293" s="86"/>
      <c r="D293" s="86"/>
      <c r="E293" s="86"/>
      <c r="F293" s="86"/>
      <c r="G293" s="90"/>
      <c r="H293" s="1215" t="e">
        <f>'0422Master'!#REF!</f>
        <v>#REF!</v>
      </c>
      <c r="I293" s="1216"/>
      <c r="J293" s="1216"/>
      <c r="K293" s="1216"/>
      <c r="L293" s="1217"/>
    </row>
    <row r="294" spans="1:12">
      <c r="A294" s="12"/>
      <c r="B294" s="85"/>
      <c r="C294" s="86"/>
      <c r="D294" s="86"/>
      <c r="E294" s="86"/>
      <c r="F294" s="86"/>
      <c r="G294" s="90"/>
      <c r="H294" s="1215" t="e">
        <f>'0422Master'!#REF!</f>
        <v>#REF!</v>
      </c>
      <c r="I294" s="1216"/>
      <c r="J294" s="1216"/>
      <c r="K294" s="1216"/>
      <c r="L294" s="1217"/>
    </row>
    <row r="295" spans="1:12">
      <c r="A295" s="12"/>
      <c r="B295" s="85"/>
      <c r="C295" s="86"/>
      <c r="D295" s="86"/>
      <c r="E295" s="86"/>
      <c r="F295" s="86"/>
      <c r="G295" s="90"/>
      <c r="H295" s="1215" t="e">
        <f>'0422Master'!#REF!</f>
        <v>#REF!</v>
      </c>
      <c r="I295" s="1216"/>
      <c r="J295" s="1216"/>
      <c r="K295" s="1216"/>
      <c r="L295" s="1217"/>
    </row>
    <row r="296" spans="1:12">
      <c r="A296" s="12"/>
      <c r="B296" s="85" t="s">
        <v>200</v>
      </c>
      <c r="C296" s="86"/>
      <c r="D296" s="86"/>
      <c r="E296" s="86"/>
      <c r="F296" s="86"/>
      <c r="G296" s="90"/>
      <c r="H296" s="87"/>
      <c r="I296" s="89"/>
      <c r="J296" s="89"/>
      <c r="K296" s="89"/>
      <c r="L296" s="94"/>
    </row>
    <row r="297" spans="1:12">
      <c r="A297" s="12"/>
      <c r="B297" s="96" t="s">
        <v>201</v>
      </c>
      <c r="C297" s="133"/>
      <c r="D297" s="133"/>
      <c r="E297" s="133"/>
      <c r="F297" s="133"/>
      <c r="G297" s="134"/>
      <c r="H297" s="135"/>
      <c r="I297" s="136"/>
      <c r="J297" s="137"/>
      <c r="K297" s="136"/>
      <c r="L297" s="138"/>
    </row>
    <row r="298" spans="1:12" ht="45">
      <c r="A298" s="12"/>
      <c r="B298" s="85" t="s">
        <v>204</v>
      </c>
      <c r="C298" s="86"/>
      <c r="D298" s="89"/>
      <c r="E298" s="145" t="s">
        <v>206</v>
      </c>
      <c r="F298" s="64"/>
      <c r="G298" s="1218" t="s">
        <v>205</v>
      </c>
      <c r="H298" s="1219"/>
      <c r="I298" s="149" t="s">
        <v>202</v>
      </c>
      <c r="J298" s="147" t="s">
        <v>207</v>
      </c>
      <c r="K298" s="1218" t="s">
        <v>203</v>
      </c>
      <c r="L298" s="1220"/>
    </row>
    <row r="299" spans="1:12">
      <c r="A299" s="12"/>
      <c r="B299" s="148">
        <v>1</v>
      </c>
      <c r="C299" s="86"/>
      <c r="D299" s="86"/>
      <c r="E299" s="151">
        <v>2</v>
      </c>
      <c r="F299" s="90"/>
      <c r="G299" s="151">
        <v>3</v>
      </c>
      <c r="H299" s="167"/>
      <c r="I299" s="167">
        <v>4</v>
      </c>
      <c r="J299" s="99">
        <v>5</v>
      </c>
      <c r="K299" s="92"/>
      <c r="L299" s="93">
        <v>6</v>
      </c>
    </row>
    <row r="300" spans="1:12">
      <c r="A300" s="12"/>
      <c r="B300" s="265" t="e">
        <f>'0422Master'!#REF!</f>
        <v>#REF!</v>
      </c>
      <c r="C300" s="163"/>
      <c r="D300" s="164"/>
      <c r="E300" s="166" t="s">
        <v>363</v>
      </c>
      <c r="F300" s="164"/>
      <c r="G300" s="166" t="s">
        <v>364</v>
      </c>
      <c r="H300" s="64"/>
      <c r="I300" s="10" t="s">
        <v>365</v>
      </c>
      <c r="J300" s="264">
        <v>1</v>
      </c>
      <c r="K300" s="1221" t="s">
        <v>37</v>
      </c>
      <c r="L300" s="1222"/>
    </row>
    <row r="301" spans="1:12">
      <c r="A301" s="12"/>
      <c r="B301" s="85"/>
      <c r="C301" s="163"/>
      <c r="D301" s="164"/>
      <c r="E301" s="165"/>
      <c r="F301" s="164"/>
      <c r="G301" s="165"/>
      <c r="H301" s="64"/>
      <c r="I301" s="10"/>
      <c r="J301" s="10"/>
      <c r="K301" s="166"/>
      <c r="L301" s="64"/>
    </row>
    <row r="302" spans="1:12">
      <c r="A302" s="12"/>
      <c r="B302" s="85"/>
      <c r="C302" s="163"/>
      <c r="D302" s="164"/>
      <c r="E302" s="165"/>
      <c r="F302" s="164"/>
      <c r="G302" s="165"/>
      <c r="H302" s="64"/>
      <c r="I302" s="10"/>
      <c r="J302" s="10"/>
      <c r="K302" s="166"/>
      <c r="L302" s="64"/>
    </row>
    <row r="303" spans="1:12">
      <c r="A303" s="12"/>
      <c r="B303" s="71"/>
      <c r="C303" s="16"/>
      <c r="D303" s="72"/>
      <c r="E303" s="165"/>
      <c r="F303" s="164"/>
      <c r="G303" s="165"/>
      <c r="H303" s="64"/>
      <c r="I303" s="10"/>
      <c r="J303" s="10"/>
      <c r="K303" s="166"/>
      <c r="L303" s="64"/>
    </row>
    <row r="304" spans="1:12">
      <c r="A304" s="12"/>
      <c r="B304" t="s">
        <v>208</v>
      </c>
      <c r="L304" s="13"/>
    </row>
    <row r="305" spans="1:12">
      <c r="A305" s="12"/>
      <c r="B305" t="s">
        <v>209</v>
      </c>
      <c r="L305" s="13"/>
    </row>
    <row r="306" spans="1:12">
      <c r="A306" s="12"/>
      <c r="B306" t="s">
        <v>210</v>
      </c>
      <c r="L306" s="13"/>
    </row>
    <row r="307" spans="1:12" ht="27.95" customHeight="1">
      <c r="A307" s="12"/>
      <c r="L307" s="13"/>
    </row>
    <row r="308" spans="1:12" ht="27.95" customHeight="1">
      <c r="A308" s="12"/>
      <c r="I308" t="s">
        <v>211</v>
      </c>
      <c r="L308" s="13"/>
    </row>
    <row r="309" spans="1:12" ht="27.95" customHeight="1">
      <c r="A309" s="12"/>
      <c r="F309" s="153" t="s">
        <v>194</v>
      </c>
      <c r="L309" s="13"/>
    </row>
    <row r="310" spans="1:12" ht="27.95" customHeight="1">
      <c r="A310" s="12" t="s">
        <v>195</v>
      </c>
      <c r="K310" s="203" t="e">
        <f>'0422Master'!#REF!</f>
        <v>#REF!</v>
      </c>
      <c r="L310" s="13"/>
    </row>
    <row r="311" spans="1:12" ht="27.95" customHeight="1">
      <c r="A311" s="12" t="s">
        <v>196</v>
      </c>
      <c r="L311" s="13"/>
    </row>
    <row r="312" spans="1:12" ht="27.95" customHeight="1">
      <c r="A312" s="12"/>
      <c r="L312" s="13"/>
    </row>
    <row r="313" spans="1:12" ht="27.95" customHeight="1">
      <c r="A313" s="12"/>
      <c r="L313" s="13"/>
    </row>
    <row r="314" spans="1:12" ht="27.95" customHeight="1">
      <c r="A314" s="12"/>
      <c r="F314" t="s">
        <v>197</v>
      </c>
      <c r="L314" s="13"/>
    </row>
    <row r="315" spans="1:12" ht="27.95" customHeight="1">
      <c r="A315" s="12" t="s">
        <v>198</v>
      </c>
      <c r="B315" t="s">
        <v>362</v>
      </c>
      <c r="F315" t="str">
        <f>'0422Master'!F5</f>
        <v>Burgeon IT Services Pvt.Ltd.</v>
      </c>
      <c r="L315" s="13"/>
    </row>
    <row r="316" spans="1:12" ht="27.95" customHeight="1">
      <c r="A316" s="12" t="s">
        <v>199</v>
      </c>
      <c r="B316" s="263" t="e">
        <f>'0422Master'!#REF!</f>
        <v>#REF!</v>
      </c>
      <c r="F316" t="str">
        <f>'0422Master'!F6</f>
        <v>Siri Mansion LIGB 436 Dr.A S Rao Nagar,Hyderabad</v>
      </c>
      <c r="L316" s="13"/>
    </row>
    <row r="317" spans="1:12" ht="27.95" customHeight="1" thickBot="1">
      <c r="A317" s="24"/>
      <c r="B317" s="22"/>
      <c r="C317" s="22"/>
      <c r="D317" s="22"/>
      <c r="E317" s="22"/>
      <c r="F317" s="22"/>
      <c r="G317" s="22"/>
      <c r="H317" s="22"/>
      <c r="I317" s="22"/>
      <c r="J317" s="22"/>
      <c r="K317" s="22"/>
      <c r="L317" s="23"/>
    </row>
    <row r="318" spans="1:12" ht="27.95" customHeight="1" thickBot="1">
      <c r="B318" s="154"/>
      <c r="C318" s="150"/>
      <c r="D318" s="150"/>
      <c r="E318" s="150"/>
      <c r="F318" s="150"/>
      <c r="G318" s="150"/>
      <c r="H318" s="139"/>
      <c r="I318" s="139"/>
      <c r="J318" s="140"/>
      <c r="K318" s="139"/>
      <c r="L318" s="139"/>
    </row>
    <row r="319" spans="1:12" ht="27.95" customHeight="1">
      <c r="A319" s="73"/>
      <c r="B319" s="1214" t="s">
        <v>182</v>
      </c>
      <c r="C319" s="1105"/>
      <c r="D319" s="1105"/>
      <c r="E319" s="1105"/>
      <c r="F319" s="1105"/>
      <c r="G319" s="1105"/>
      <c r="H319" s="1105"/>
      <c r="I319" s="1105"/>
      <c r="J319" s="1105"/>
      <c r="K319" s="1105"/>
      <c r="L319" s="1106"/>
    </row>
    <row r="320" spans="1:12" ht="27.95" customHeight="1">
      <c r="A320" s="12"/>
      <c r="B320" s="1223" t="s">
        <v>183</v>
      </c>
      <c r="C320" s="1223"/>
      <c r="D320" s="1223"/>
      <c r="E320" s="1223"/>
      <c r="F320" s="1223"/>
      <c r="G320" s="1223"/>
      <c r="H320" s="1223"/>
      <c r="I320" s="1223"/>
      <c r="J320" s="1223"/>
      <c r="K320" s="1223"/>
      <c r="L320" s="1086"/>
    </row>
    <row r="321" spans="1:12" ht="27.95" customHeight="1" thickBot="1">
      <c r="A321" s="24"/>
      <c r="B321" s="1088" t="s">
        <v>184</v>
      </c>
      <c r="C321" s="1088"/>
      <c r="D321" s="1088"/>
      <c r="E321" s="1088"/>
      <c r="F321" s="1088"/>
      <c r="G321" s="1088"/>
      <c r="H321" s="1088"/>
      <c r="I321" s="1088"/>
      <c r="J321" s="1088"/>
      <c r="K321" s="1088"/>
      <c r="L321" s="1089"/>
    </row>
    <row r="322" spans="1:12" ht="27.95" customHeight="1">
      <c r="A322" s="12"/>
      <c r="B322" s="1224" t="s">
        <v>109</v>
      </c>
      <c r="C322" s="1224"/>
      <c r="D322" s="1224"/>
      <c r="E322" s="1224"/>
      <c r="F322" s="1224"/>
      <c r="H322" s="1225" t="s">
        <v>110</v>
      </c>
      <c r="I322" s="1225"/>
      <c r="J322" s="1225"/>
      <c r="K322" s="1225"/>
      <c r="L322" s="1093"/>
    </row>
    <row r="323" spans="1:12" ht="27.95" customHeight="1" thickBot="1">
      <c r="A323" s="12"/>
      <c r="B323" s="1224"/>
      <c r="C323" s="1224"/>
      <c r="D323" s="1224"/>
      <c r="E323" s="1224"/>
      <c r="F323" s="1224"/>
      <c r="H323" s="1225"/>
      <c r="I323" s="1225"/>
      <c r="J323" s="1225"/>
      <c r="K323" s="1225"/>
      <c r="L323" s="1093"/>
    </row>
    <row r="324" spans="1:12" ht="27.95" customHeight="1">
      <c r="A324" s="12"/>
      <c r="B324" s="73"/>
      <c r="C324" s="74"/>
      <c r="D324" s="74"/>
      <c r="E324" s="74"/>
      <c r="F324" s="75"/>
      <c r="H324" s="73"/>
      <c r="I324" s="74"/>
      <c r="J324" s="74"/>
      <c r="K324" s="74"/>
      <c r="L324" s="75"/>
    </row>
    <row r="325" spans="1:12">
      <c r="A325" s="12"/>
      <c r="B325" s="132" t="str">
        <f>'0422Master'!F5</f>
        <v>Burgeon IT Services Pvt.Ltd.</v>
      </c>
      <c r="F325" s="13"/>
      <c r="H325" s="76" t="str">
        <f>'0422Master'!AP5</f>
        <v>Burgeon IT Services Pvt.Ltd.</v>
      </c>
      <c r="L325" s="13"/>
    </row>
    <row r="326" spans="1:12">
      <c r="A326" s="12"/>
      <c r="B326" s="12"/>
      <c r="F326" s="13"/>
      <c r="H326" s="12"/>
      <c r="L326" s="13"/>
    </row>
    <row r="327" spans="1:12">
      <c r="A327" s="12"/>
      <c r="B327" s="76" t="str">
        <f>'0422Master'!F6</f>
        <v>Siri Mansion LIGB 436 Dr.A S Rao Nagar,Hyderabad</v>
      </c>
      <c r="F327" s="13"/>
      <c r="H327" s="76" t="str">
        <f>'0422Master'!AP6</f>
        <v>Siri Mansion LIGB 436 Dr.A S Rao Nagar,Hyderabad</v>
      </c>
      <c r="L327" s="13"/>
    </row>
    <row r="328" spans="1:12" ht="15.75" thickBot="1">
      <c r="A328" s="12"/>
      <c r="B328" s="24"/>
      <c r="C328" s="22"/>
      <c r="D328" s="22"/>
      <c r="E328" s="22"/>
      <c r="F328" s="23"/>
      <c r="H328" s="24"/>
      <c r="I328" s="22"/>
      <c r="J328" s="22"/>
      <c r="K328" s="22"/>
      <c r="L328" s="23"/>
    </row>
    <row r="329" spans="1:12">
      <c r="A329" s="12"/>
      <c r="J329" t="s">
        <v>111</v>
      </c>
      <c r="L329" s="13"/>
    </row>
    <row r="330" spans="1:12">
      <c r="A330" s="12"/>
      <c r="B330" s="1226" t="s">
        <v>112</v>
      </c>
      <c r="C330" s="1226"/>
      <c r="D330" s="1226"/>
      <c r="E330" s="1226"/>
      <c r="F330" s="1226"/>
      <c r="H330" s="1226" t="s">
        <v>4</v>
      </c>
      <c r="I330" s="1226"/>
      <c r="J330" s="1226"/>
      <c r="K330" s="1226"/>
      <c r="L330" s="1096"/>
    </row>
    <row r="331" spans="1:12" ht="15.75" thickBot="1">
      <c r="A331" s="12"/>
      <c r="L331" s="13"/>
    </row>
    <row r="332" spans="1:12">
      <c r="A332" s="12"/>
      <c r="B332" s="73"/>
      <c r="C332" s="74"/>
      <c r="D332" s="74"/>
      <c r="E332" s="74"/>
      <c r="F332" s="75"/>
      <c r="H332" s="77"/>
      <c r="I332" s="78"/>
      <c r="J332" s="78"/>
      <c r="K332" s="78"/>
      <c r="L332" s="79"/>
    </row>
    <row r="333" spans="1:12">
      <c r="A333" s="12"/>
      <c r="B333" s="12"/>
      <c r="F333" s="13"/>
      <c r="H333" s="76" t="str">
        <f>'0422Master'!AP10</f>
        <v>INFOSYS  LTD.IL Pune SEZ Unit-II,Plot No. 24/3</v>
      </c>
      <c r="I333" s="2"/>
      <c r="J333" s="2"/>
      <c r="K333" s="2"/>
      <c r="L333" s="80"/>
    </row>
    <row r="334" spans="1:12">
      <c r="A334" s="12"/>
      <c r="B334" s="76" t="str">
        <f>'0422Master'!F8</f>
        <v>IT SUPPORTIVE SERVICES&amp; PUNE SEZ UNIT-II</v>
      </c>
      <c r="F334" s="13"/>
      <c r="H334" s="76"/>
      <c r="I334" s="2"/>
      <c r="J334" s="2"/>
      <c r="K334" s="2"/>
      <c r="L334" s="80"/>
    </row>
    <row r="335" spans="1:12">
      <c r="A335" s="12"/>
      <c r="B335" s="12"/>
      <c r="F335" s="13"/>
      <c r="H335" s="76" t="str">
        <f>'0422Master'!AP11</f>
        <v>Rajiv gandhi Info tech park,Village Mann,Pune,Maharashtra 411057</v>
      </c>
      <c r="I335" s="2"/>
      <c r="J335" s="2"/>
      <c r="K335" s="2"/>
      <c r="L335" s="80"/>
    </row>
    <row r="336" spans="1:12" ht="15.75" thickBot="1">
      <c r="A336" s="12"/>
      <c r="B336" s="24"/>
      <c r="C336" s="22"/>
      <c r="D336" s="22"/>
      <c r="E336" s="22"/>
      <c r="F336" s="23"/>
      <c r="H336" s="81"/>
      <c r="I336" s="82"/>
      <c r="J336" s="82"/>
      <c r="K336" s="82"/>
      <c r="L336" s="83"/>
    </row>
    <row r="337" spans="1:12">
      <c r="A337" s="84"/>
      <c r="B337" s="1213" t="s">
        <v>185</v>
      </c>
      <c r="C337" s="1213"/>
      <c r="D337" s="1213"/>
      <c r="E337" s="1213"/>
      <c r="F337" s="1213"/>
      <c r="G337" s="1213"/>
      <c r="H337" s="1233" t="e">
        <f>'0422Master'!#REF!</f>
        <v>#REF!</v>
      </c>
      <c r="I337" s="1228"/>
      <c r="J337" s="1228"/>
      <c r="K337" s="1228"/>
      <c r="L337" s="1071"/>
    </row>
    <row r="338" spans="1:12">
      <c r="A338" s="84"/>
      <c r="B338" s="1234" t="s">
        <v>186</v>
      </c>
      <c r="C338" s="1234"/>
      <c r="D338" s="1234"/>
      <c r="E338" s="1234"/>
      <c r="F338" s="1234"/>
      <c r="G338" s="1234"/>
      <c r="H338" s="1233" t="e">
        <f>'0422Master'!#REF!</f>
        <v>#REF!</v>
      </c>
      <c r="I338" s="1228"/>
      <c r="J338" s="1228"/>
      <c r="K338" s="1228"/>
      <c r="L338" s="1071"/>
    </row>
    <row r="339" spans="1:12">
      <c r="A339" s="84"/>
      <c r="B339" s="1213" t="s">
        <v>187</v>
      </c>
      <c r="C339" s="1213"/>
      <c r="D339" s="1213"/>
      <c r="E339" s="1213"/>
      <c r="F339" s="1213"/>
      <c r="G339" s="1213"/>
      <c r="H339" s="1233" t="e">
        <f>'0422Master'!#REF!</f>
        <v>#REF!</v>
      </c>
      <c r="I339" s="1228"/>
      <c r="J339" s="1228"/>
      <c r="K339" s="1228"/>
      <c r="L339" s="1071"/>
    </row>
    <row r="340" spans="1:12">
      <c r="A340" s="84"/>
      <c r="B340" s="1213" t="s">
        <v>188</v>
      </c>
      <c r="C340" s="1213"/>
      <c r="D340" s="1213"/>
      <c r="E340" s="1213"/>
      <c r="F340" s="1213"/>
      <c r="G340" s="1213"/>
      <c r="H340" s="1227" t="e">
        <f>'0422Master'!#REF!</f>
        <v>#REF!</v>
      </c>
      <c r="I340" s="1228"/>
      <c r="J340" s="1228"/>
      <c r="K340" s="1228"/>
      <c r="L340" s="1071"/>
    </row>
    <row r="341" spans="1:12">
      <c r="A341" s="84"/>
      <c r="B341" s="85" t="s">
        <v>189</v>
      </c>
      <c r="C341" s="86"/>
      <c r="D341" s="86"/>
      <c r="E341" s="86"/>
      <c r="F341" s="86"/>
      <c r="G341" s="86"/>
      <c r="H341" s="1229" t="s">
        <v>190</v>
      </c>
      <c r="I341" s="1230"/>
      <c r="J341" s="1230"/>
      <c r="K341" s="1230"/>
      <c r="L341" s="1231"/>
    </row>
    <row r="342" spans="1:12">
      <c r="A342" s="84"/>
      <c r="B342" s="85" t="s">
        <v>191</v>
      </c>
      <c r="C342" s="86"/>
      <c r="D342" s="86"/>
      <c r="E342" s="86"/>
      <c r="F342" s="86"/>
      <c r="G342" s="86"/>
      <c r="H342" s="87"/>
      <c r="I342" s="89"/>
      <c r="J342" s="152"/>
      <c r="K342" s="89"/>
      <c r="L342" s="94"/>
    </row>
    <row r="343" spans="1:12">
      <c r="A343" s="84"/>
      <c r="B343" s="1082" t="s">
        <v>192</v>
      </c>
      <c r="C343" s="1082"/>
      <c r="D343" s="1082"/>
      <c r="E343" s="1082"/>
      <c r="F343" s="1082"/>
      <c r="G343" s="1082"/>
      <c r="H343" s="1074" t="e">
        <f>'0422Master'!#REF!</f>
        <v>#REF!</v>
      </c>
      <c r="I343" s="1075"/>
      <c r="J343" s="1075"/>
      <c r="K343" s="1075"/>
      <c r="L343" s="1076"/>
    </row>
    <row r="344" spans="1:12">
      <c r="A344" s="84"/>
      <c r="B344" s="1213"/>
      <c r="C344" s="1213"/>
      <c r="D344" s="1213"/>
      <c r="E344" s="1213"/>
      <c r="F344" s="1213"/>
      <c r="G344" s="1213"/>
      <c r="H344" s="1232" t="e">
        <f>'0422Master'!#REF!</f>
        <v>#REF!</v>
      </c>
      <c r="I344" s="1228"/>
      <c r="J344" s="1228"/>
      <c r="K344" s="1228"/>
      <c r="L344" s="1071"/>
    </row>
    <row r="345" spans="1:12">
      <c r="A345" s="12"/>
      <c r="B345" s="1213"/>
      <c r="C345" s="1213"/>
      <c r="D345" s="1213"/>
      <c r="E345" s="1213"/>
      <c r="F345" s="1213"/>
      <c r="G345" s="1213"/>
      <c r="H345" s="1233" t="e">
        <f>'0422Master'!#REF!</f>
        <v>#REF!</v>
      </c>
      <c r="I345" s="1228"/>
      <c r="J345" s="1228"/>
      <c r="K345" s="1228"/>
      <c r="L345" s="1071"/>
    </row>
    <row r="346" spans="1:12">
      <c r="A346" s="12"/>
      <c r="B346" s="85" t="s">
        <v>193</v>
      </c>
      <c r="C346" s="86"/>
      <c r="D346" s="86"/>
      <c r="E346" s="86"/>
      <c r="F346" s="86"/>
      <c r="G346" s="90"/>
      <c r="H346" s="1215" t="e">
        <f>'0422Master'!#REF!</f>
        <v>#REF!</v>
      </c>
      <c r="I346" s="1216"/>
      <c r="J346" s="1216"/>
      <c r="K346" s="1216"/>
      <c r="L346" s="1217"/>
    </row>
    <row r="347" spans="1:12">
      <c r="A347" s="12"/>
      <c r="B347" s="85"/>
      <c r="C347" s="86"/>
      <c r="D347" s="86"/>
      <c r="E347" s="86"/>
      <c r="F347" s="86"/>
      <c r="G347" s="90"/>
      <c r="H347" s="1215" t="e">
        <f>'0422Master'!#REF!</f>
        <v>#REF!</v>
      </c>
      <c r="I347" s="1216"/>
      <c r="J347" s="1216"/>
      <c r="K347" s="1216"/>
      <c r="L347" s="1217"/>
    </row>
    <row r="348" spans="1:12">
      <c r="A348" s="12"/>
      <c r="B348" s="85"/>
      <c r="C348" s="86"/>
      <c r="D348" s="86"/>
      <c r="E348" s="86"/>
      <c r="F348" s="86"/>
      <c r="G348" s="90"/>
      <c r="H348" s="1215" t="e">
        <f>'0422Master'!#REF!</f>
        <v>#REF!</v>
      </c>
      <c r="I348" s="1216"/>
      <c r="J348" s="1216"/>
      <c r="K348" s="1216"/>
      <c r="L348" s="1217"/>
    </row>
    <row r="349" spans="1:12">
      <c r="A349" s="12"/>
      <c r="B349" s="85" t="s">
        <v>200</v>
      </c>
      <c r="C349" s="86"/>
      <c r="D349" s="86"/>
      <c r="E349" s="86"/>
      <c r="F349" s="86"/>
      <c r="G349" s="90"/>
      <c r="H349" s="87"/>
      <c r="I349" s="89"/>
      <c r="J349" s="89"/>
      <c r="K349" s="89"/>
      <c r="L349" s="94"/>
    </row>
    <row r="350" spans="1:12">
      <c r="A350" s="12"/>
      <c r="B350" s="96" t="s">
        <v>201</v>
      </c>
      <c r="C350" s="133"/>
      <c r="D350" s="133"/>
      <c r="E350" s="133"/>
      <c r="F350" s="133"/>
      <c r="G350" s="134"/>
      <c r="H350" s="135"/>
      <c r="I350" s="136"/>
      <c r="J350" s="137"/>
      <c r="K350" s="136"/>
      <c r="L350" s="138"/>
    </row>
    <row r="351" spans="1:12" ht="45">
      <c r="A351" s="12"/>
      <c r="B351" s="85" t="s">
        <v>204</v>
      </c>
      <c r="C351" s="86"/>
      <c r="D351" s="89"/>
      <c r="E351" s="145" t="s">
        <v>206</v>
      </c>
      <c r="F351" s="64"/>
      <c r="G351" s="1218" t="s">
        <v>205</v>
      </c>
      <c r="H351" s="1219"/>
      <c r="I351" s="149" t="s">
        <v>202</v>
      </c>
      <c r="J351" s="147" t="s">
        <v>207</v>
      </c>
      <c r="K351" s="1218" t="s">
        <v>203</v>
      </c>
      <c r="L351" s="1220"/>
    </row>
    <row r="352" spans="1:12">
      <c r="A352" s="12"/>
      <c r="B352" s="148">
        <v>1</v>
      </c>
      <c r="C352" s="86"/>
      <c r="D352" s="86"/>
      <c r="E352" s="151">
        <v>2</v>
      </c>
      <c r="F352" s="90"/>
      <c r="G352" s="151">
        <v>3</v>
      </c>
      <c r="H352" s="167"/>
      <c r="I352" s="167">
        <v>4</v>
      </c>
      <c r="J352" s="99">
        <v>5</v>
      </c>
      <c r="K352" s="92"/>
      <c r="L352" s="93">
        <v>6</v>
      </c>
    </row>
    <row r="353" spans="1:12">
      <c r="A353" s="12"/>
      <c r="B353" s="265" t="e">
        <f>'0422Master'!#REF!</f>
        <v>#REF!</v>
      </c>
      <c r="C353" s="163"/>
      <c r="D353" s="164"/>
      <c r="E353" s="166" t="s">
        <v>363</v>
      </c>
      <c r="F353" s="164"/>
      <c r="G353" s="166" t="s">
        <v>364</v>
      </c>
      <c r="H353" s="64"/>
      <c r="I353" s="10" t="s">
        <v>365</v>
      </c>
      <c r="J353" s="264">
        <v>1</v>
      </c>
      <c r="K353" s="1221" t="s">
        <v>37</v>
      </c>
      <c r="L353" s="1222"/>
    </row>
    <row r="354" spans="1:12">
      <c r="A354" s="12"/>
      <c r="B354" s="85"/>
      <c r="C354" s="163"/>
      <c r="D354" s="164"/>
      <c r="E354" s="165"/>
      <c r="F354" s="164"/>
      <c r="G354" s="165"/>
      <c r="H354" s="64"/>
      <c r="I354" s="10"/>
      <c r="J354" s="10"/>
      <c r="K354" s="166"/>
      <c r="L354" s="64"/>
    </row>
    <row r="355" spans="1:12">
      <c r="A355" s="12"/>
      <c r="B355" s="85"/>
      <c r="C355" s="163"/>
      <c r="D355" s="164"/>
      <c r="E355" s="165"/>
      <c r="F355" s="164"/>
      <c r="G355" s="165"/>
      <c r="H355" s="64"/>
      <c r="I355" s="10"/>
      <c r="J355" s="10"/>
      <c r="K355" s="166"/>
      <c r="L355" s="64"/>
    </row>
    <row r="356" spans="1:12">
      <c r="A356" s="12"/>
      <c r="B356" s="71"/>
      <c r="C356" s="16"/>
      <c r="D356" s="72"/>
      <c r="E356" s="165"/>
      <c r="F356" s="164"/>
      <c r="G356" s="165"/>
      <c r="H356" s="64"/>
      <c r="I356" s="10"/>
      <c r="J356" s="10"/>
      <c r="K356" s="166"/>
      <c r="L356" s="64"/>
    </row>
    <row r="357" spans="1:12">
      <c r="A357" s="12"/>
      <c r="B357" t="s">
        <v>208</v>
      </c>
      <c r="L357" s="13"/>
    </row>
    <row r="358" spans="1:12">
      <c r="A358" s="12"/>
      <c r="B358" t="s">
        <v>209</v>
      </c>
      <c r="L358" s="13"/>
    </row>
    <row r="359" spans="1:12">
      <c r="A359" s="12"/>
      <c r="B359" t="s">
        <v>210</v>
      </c>
      <c r="L359" s="13"/>
    </row>
    <row r="360" spans="1:12" ht="27.95" customHeight="1">
      <c r="A360" s="12"/>
      <c r="L360" s="13"/>
    </row>
    <row r="361" spans="1:12" ht="27.95" customHeight="1">
      <c r="A361" s="12"/>
      <c r="I361" t="s">
        <v>211</v>
      </c>
      <c r="L361" s="13"/>
    </row>
    <row r="362" spans="1:12" ht="27.95" customHeight="1">
      <c r="A362" s="12"/>
      <c r="F362" s="153" t="s">
        <v>194</v>
      </c>
      <c r="L362" s="13"/>
    </row>
    <row r="363" spans="1:12" ht="27.95" customHeight="1">
      <c r="A363" s="12" t="s">
        <v>195</v>
      </c>
      <c r="K363" s="203" t="e">
        <f>'0422Master'!#REF!</f>
        <v>#REF!</v>
      </c>
      <c r="L363" s="13"/>
    </row>
    <row r="364" spans="1:12" ht="27.95" customHeight="1">
      <c r="A364" s="12" t="s">
        <v>196</v>
      </c>
      <c r="L364" s="13"/>
    </row>
    <row r="365" spans="1:12" ht="27.95" customHeight="1">
      <c r="A365" s="12"/>
      <c r="L365" s="13"/>
    </row>
    <row r="366" spans="1:12" ht="27.95" customHeight="1">
      <c r="A366" s="12"/>
      <c r="L366" s="13"/>
    </row>
    <row r="367" spans="1:12" ht="27.95" customHeight="1">
      <c r="A367" s="12"/>
      <c r="F367" t="s">
        <v>197</v>
      </c>
      <c r="L367" s="13"/>
    </row>
    <row r="368" spans="1:12" ht="27.95" customHeight="1">
      <c r="A368" s="12" t="s">
        <v>198</v>
      </c>
      <c r="B368" t="s">
        <v>362</v>
      </c>
      <c r="F368" t="str">
        <f>'0422Master'!F5</f>
        <v>Burgeon IT Services Pvt.Ltd.</v>
      </c>
      <c r="L368" s="13"/>
    </row>
    <row r="369" spans="1:12" ht="27.95" customHeight="1">
      <c r="A369" s="12" t="s">
        <v>199</v>
      </c>
      <c r="B369" s="263" t="e">
        <f>'0422Master'!#REF!</f>
        <v>#REF!</v>
      </c>
      <c r="F369" t="str">
        <f>'0422Master'!F6</f>
        <v>Siri Mansion LIGB 436 Dr.A S Rao Nagar,Hyderabad</v>
      </c>
      <c r="L369" s="13"/>
    </row>
    <row r="370" spans="1:12" ht="27.95" customHeight="1" thickBot="1">
      <c r="A370" s="24"/>
      <c r="B370" s="22"/>
      <c r="C370" s="22"/>
      <c r="D370" s="22"/>
      <c r="E370" s="22"/>
      <c r="F370" s="22"/>
      <c r="G370" s="22"/>
      <c r="H370" s="22"/>
      <c r="I370" s="22"/>
      <c r="J370" s="22"/>
      <c r="K370" s="22"/>
      <c r="L370" s="23"/>
    </row>
    <row r="371" spans="1:12" ht="27.95" customHeight="1" thickBot="1">
      <c r="B371" s="154"/>
      <c r="C371" s="150"/>
      <c r="D371" s="150"/>
      <c r="E371" s="150"/>
      <c r="F371" s="150"/>
      <c r="G371" s="150"/>
      <c r="H371" s="139"/>
      <c r="I371" s="139"/>
      <c r="J371" s="140"/>
      <c r="K371" s="139"/>
      <c r="L371" s="139"/>
    </row>
    <row r="372" spans="1:12" ht="27.95" customHeight="1">
      <c r="A372" s="73"/>
      <c r="B372" s="1214" t="s">
        <v>182</v>
      </c>
      <c r="C372" s="1105"/>
      <c r="D372" s="1105"/>
      <c r="E372" s="1105"/>
      <c r="F372" s="1105"/>
      <c r="G372" s="1105"/>
      <c r="H372" s="1105"/>
      <c r="I372" s="1105"/>
      <c r="J372" s="1105"/>
      <c r="K372" s="1105"/>
      <c r="L372" s="1106"/>
    </row>
    <row r="373" spans="1:12" ht="27.95" customHeight="1">
      <c r="A373" s="12"/>
      <c r="B373" s="1223" t="s">
        <v>183</v>
      </c>
      <c r="C373" s="1223"/>
      <c r="D373" s="1223"/>
      <c r="E373" s="1223"/>
      <c r="F373" s="1223"/>
      <c r="G373" s="1223"/>
      <c r="H373" s="1223"/>
      <c r="I373" s="1223"/>
      <c r="J373" s="1223"/>
      <c r="K373" s="1223"/>
      <c r="L373" s="1086"/>
    </row>
    <row r="374" spans="1:12" ht="27.95" customHeight="1" thickBot="1">
      <c r="A374" s="24"/>
      <c r="B374" s="1088" t="s">
        <v>184</v>
      </c>
      <c r="C374" s="1088"/>
      <c r="D374" s="1088"/>
      <c r="E374" s="1088"/>
      <c r="F374" s="1088"/>
      <c r="G374" s="1088"/>
      <c r="H374" s="1088"/>
      <c r="I374" s="1088"/>
      <c r="J374" s="1088"/>
      <c r="K374" s="1088"/>
      <c r="L374" s="1089"/>
    </row>
    <row r="375" spans="1:12" ht="27.95" customHeight="1">
      <c r="A375" s="12"/>
      <c r="B375" s="1224" t="s">
        <v>109</v>
      </c>
      <c r="C375" s="1224"/>
      <c r="D375" s="1224"/>
      <c r="E375" s="1224"/>
      <c r="F375" s="1224"/>
      <c r="H375" s="1225" t="s">
        <v>110</v>
      </c>
      <c r="I375" s="1225"/>
      <c r="J375" s="1225"/>
      <c r="K375" s="1225"/>
      <c r="L375" s="1093"/>
    </row>
    <row r="376" spans="1:12" ht="27.95" customHeight="1" thickBot="1">
      <c r="A376" s="12"/>
      <c r="B376" s="1224"/>
      <c r="C376" s="1224"/>
      <c r="D376" s="1224"/>
      <c r="E376" s="1224"/>
      <c r="F376" s="1224"/>
      <c r="H376" s="1225"/>
      <c r="I376" s="1225"/>
      <c r="J376" s="1225"/>
      <c r="K376" s="1225"/>
      <c r="L376" s="1093"/>
    </row>
    <row r="377" spans="1:12" ht="27.95" customHeight="1">
      <c r="A377" s="12"/>
      <c r="B377" s="73"/>
      <c r="C377" s="74"/>
      <c r="D377" s="74"/>
      <c r="E377" s="74"/>
      <c r="F377" s="75"/>
      <c r="H377" s="73"/>
      <c r="I377" s="74"/>
      <c r="J377" s="74"/>
      <c r="K377" s="74"/>
      <c r="L377" s="75"/>
    </row>
    <row r="378" spans="1:12">
      <c r="A378" s="12"/>
      <c r="B378" s="76" t="str">
        <f>'0422Master'!F5</f>
        <v>Burgeon IT Services Pvt.Ltd.</v>
      </c>
      <c r="F378" s="13"/>
      <c r="H378" s="76" t="str">
        <f>'0422Master'!AP5</f>
        <v>Burgeon IT Services Pvt.Ltd.</v>
      </c>
      <c r="L378" s="13"/>
    </row>
    <row r="379" spans="1:12">
      <c r="A379" s="12"/>
      <c r="B379" s="12"/>
      <c r="F379" s="13"/>
      <c r="H379" s="12"/>
      <c r="L379" s="13"/>
    </row>
    <row r="380" spans="1:12">
      <c r="A380" s="12"/>
      <c r="B380" s="76" t="str">
        <f>'0422Master'!F6</f>
        <v>Siri Mansion LIGB 436 Dr.A S Rao Nagar,Hyderabad</v>
      </c>
      <c r="F380" s="13"/>
      <c r="H380" s="76" t="str">
        <f>'0422Master'!AP6</f>
        <v>Siri Mansion LIGB 436 Dr.A S Rao Nagar,Hyderabad</v>
      </c>
      <c r="L380" s="13"/>
    </row>
    <row r="381" spans="1:12" ht="15.75" thickBot="1">
      <c r="A381" s="12"/>
      <c r="B381" s="24"/>
      <c r="C381" s="22"/>
      <c r="D381" s="22"/>
      <c r="E381" s="22"/>
      <c r="F381" s="23"/>
      <c r="H381" s="24"/>
      <c r="I381" s="22"/>
      <c r="J381" s="22"/>
      <c r="K381" s="22"/>
      <c r="L381" s="23"/>
    </row>
    <row r="382" spans="1:12">
      <c r="A382" s="12"/>
      <c r="J382" t="s">
        <v>111</v>
      </c>
      <c r="L382" s="13"/>
    </row>
    <row r="383" spans="1:12">
      <c r="A383" s="12"/>
      <c r="B383" s="1226" t="s">
        <v>112</v>
      </c>
      <c r="C383" s="1226"/>
      <c r="D383" s="1226"/>
      <c r="E383" s="1226"/>
      <c r="F383" s="1226"/>
      <c r="H383" s="1226" t="s">
        <v>4</v>
      </c>
      <c r="I383" s="1226"/>
      <c r="J383" s="1226"/>
      <c r="K383" s="1226"/>
      <c r="L383" s="1096"/>
    </row>
    <row r="384" spans="1:12" ht="15" customHeight="1" thickBot="1">
      <c r="A384" s="12"/>
      <c r="L384" s="13"/>
    </row>
    <row r="385" spans="1:12">
      <c r="A385" s="12"/>
      <c r="B385" s="73"/>
      <c r="C385" s="74"/>
      <c r="D385" s="74"/>
      <c r="E385" s="74"/>
      <c r="F385" s="75"/>
      <c r="H385" s="77"/>
      <c r="I385" s="78"/>
      <c r="J385" s="78"/>
      <c r="K385" s="78"/>
      <c r="L385" s="79"/>
    </row>
    <row r="386" spans="1:12">
      <c r="A386" s="12"/>
      <c r="B386" s="12"/>
      <c r="F386" s="13"/>
      <c r="H386" s="76" t="str">
        <f>'0422Master'!AP10</f>
        <v>INFOSYS  LTD.IL Pune SEZ Unit-II,Plot No. 24/3</v>
      </c>
      <c r="I386" s="2"/>
      <c r="J386" s="2"/>
      <c r="K386" s="2"/>
      <c r="L386" s="80"/>
    </row>
    <row r="387" spans="1:12">
      <c r="A387" s="12"/>
      <c r="B387" s="76" t="str">
        <f>'0422Master'!F8</f>
        <v>IT SUPPORTIVE SERVICES&amp; PUNE SEZ UNIT-II</v>
      </c>
      <c r="F387" s="13"/>
      <c r="H387" s="76"/>
      <c r="I387" s="2"/>
      <c r="J387" s="2"/>
      <c r="K387" s="2"/>
      <c r="L387" s="80"/>
    </row>
    <row r="388" spans="1:12">
      <c r="A388" s="12"/>
      <c r="B388" s="12"/>
      <c r="F388" s="13"/>
      <c r="H388" s="76" t="str">
        <f>'0422Master'!AP11</f>
        <v>Rajiv gandhi Info tech park,Village Mann,Pune,Maharashtra 411057</v>
      </c>
      <c r="I388" s="2"/>
      <c r="J388" s="2"/>
      <c r="K388" s="2"/>
      <c r="L388" s="80"/>
    </row>
    <row r="389" spans="1:12" ht="15.75" thickBot="1">
      <c r="A389" s="12"/>
      <c r="B389" s="24"/>
      <c r="C389" s="22"/>
      <c r="D389" s="22"/>
      <c r="E389" s="22"/>
      <c r="F389" s="23"/>
      <c r="H389" s="81"/>
      <c r="I389" s="82"/>
      <c r="J389" s="82"/>
      <c r="K389" s="82"/>
      <c r="L389" s="83"/>
    </row>
    <row r="390" spans="1:12">
      <c r="A390" s="84"/>
      <c r="B390" s="1213" t="s">
        <v>185</v>
      </c>
      <c r="C390" s="1213"/>
      <c r="D390" s="1213"/>
      <c r="E390" s="1213"/>
      <c r="F390" s="1213"/>
      <c r="G390" s="1213"/>
      <c r="H390" s="1233" t="e">
        <f>'0422Master'!#REF!</f>
        <v>#REF!</v>
      </c>
      <c r="I390" s="1228"/>
      <c r="J390" s="1228"/>
      <c r="K390" s="1228"/>
      <c r="L390" s="1071"/>
    </row>
    <row r="391" spans="1:12">
      <c r="A391" s="84"/>
      <c r="B391" s="1234" t="s">
        <v>186</v>
      </c>
      <c r="C391" s="1234"/>
      <c r="D391" s="1234"/>
      <c r="E391" s="1234"/>
      <c r="F391" s="1234"/>
      <c r="G391" s="1234"/>
      <c r="H391" s="1233" t="e">
        <f>'0422Master'!#REF!</f>
        <v>#REF!</v>
      </c>
      <c r="I391" s="1228"/>
      <c r="J391" s="1228"/>
      <c r="K391" s="1228"/>
      <c r="L391" s="1071"/>
    </row>
    <row r="392" spans="1:12">
      <c r="A392" s="84"/>
      <c r="B392" s="1213" t="s">
        <v>187</v>
      </c>
      <c r="C392" s="1213"/>
      <c r="D392" s="1213"/>
      <c r="E392" s="1213"/>
      <c r="F392" s="1213"/>
      <c r="G392" s="1213"/>
      <c r="H392" s="1233" t="e">
        <f>'0422Master'!#REF!</f>
        <v>#REF!</v>
      </c>
      <c r="I392" s="1228"/>
      <c r="J392" s="1228"/>
      <c r="K392" s="1228"/>
      <c r="L392" s="1071"/>
    </row>
    <row r="393" spans="1:12">
      <c r="A393" s="84"/>
      <c r="B393" s="1213" t="s">
        <v>188</v>
      </c>
      <c r="C393" s="1213"/>
      <c r="D393" s="1213"/>
      <c r="E393" s="1213"/>
      <c r="F393" s="1213"/>
      <c r="G393" s="1213"/>
      <c r="H393" s="1227" t="e">
        <f>'0422Master'!#REF!</f>
        <v>#REF!</v>
      </c>
      <c r="I393" s="1228"/>
      <c r="J393" s="1228"/>
      <c r="K393" s="1228"/>
      <c r="L393" s="1071"/>
    </row>
    <row r="394" spans="1:12">
      <c r="A394" s="84"/>
      <c r="B394" s="85" t="s">
        <v>189</v>
      </c>
      <c r="C394" s="86"/>
      <c r="D394" s="86"/>
      <c r="E394" s="86"/>
      <c r="F394" s="86"/>
      <c r="G394" s="86"/>
      <c r="H394" s="1229" t="s">
        <v>190</v>
      </c>
      <c r="I394" s="1230"/>
      <c r="J394" s="1230"/>
      <c r="K394" s="1230"/>
      <c r="L394" s="1231"/>
    </row>
    <row r="395" spans="1:12">
      <c r="A395" s="84"/>
      <c r="B395" s="85" t="s">
        <v>191</v>
      </c>
      <c r="C395" s="86"/>
      <c r="D395" s="86"/>
      <c r="E395" s="86"/>
      <c r="F395" s="86"/>
      <c r="G395" s="86"/>
      <c r="H395" s="87"/>
      <c r="I395" s="89"/>
      <c r="J395" s="152"/>
      <c r="K395" s="89"/>
      <c r="L395" s="94"/>
    </row>
    <row r="396" spans="1:12">
      <c r="A396" s="84"/>
      <c r="B396" s="1082" t="s">
        <v>192</v>
      </c>
      <c r="C396" s="1082"/>
      <c r="D396" s="1082"/>
      <c r="E396" s="1082"/>
      <c r="F396" s="1082"/>
      <c r="G396" s="1082"/>
      <c r="H396" s="1074" t="e">
        <f>'0422Master'!#REF!</f>
        <v>#REF!</v>
      </c>
      <c r="I396" s="1075"/>
      <c r="J396" s="1075"/>
      <c r="K396" s="1075"/>
      <c r="L396" s="1076"/>
    </row>
    <row r="397" spans="1:12">
      <c r="A397" s="84"/>
      <c r="B397" s="1213"/>
      <c r="C397" s="1213"/>
      <c r="D397" s="1213"/>
      <c r="E397" s="1213"/>
      <c r="F397" s="1213"/>
      <c r="G397" s="1213"/>
      <c r="H397" s="1232" t="e">
        <f>'0422Master'!#REF!</f>
        <v>#REF!</v>
      </c>
      <c r="I397" s="1228"/>
      <c r="J397" s="1228"/>
      <c r="K397" s="1228"/>
      <c r="L397" s="1071"/>
    </row>
    <row r="398" spans="1:12">
      <c r="A398" s="12"/>
      <c r="B398" s="1213"/>
      <c r="C398" s="1213"/>
      <c r="D398" s="1213"/>
      <c r="E398" s="1213"/>
      <c r="F398" s="1213"/>
      <c r="G398" s="1213"/>
      <c r="H398" s="1233" t="e">
        <f>'0422Master'!#REF!</f>
        <v>#REF!</v>
      </c>
      <c r="I398" s="1228"/>
      <c r="J398" s="1228"/>
      <c r="K398" s="1228"/>
      <c r="L398" s="1071"/>
    </row>
    <row r="399" spans="1:12" ht="27.95" customHeight="1">
      <c r="A399" s="12"/>
      <c r="B399" s="85" t="s">
        <v>193</v>
      </c>
      <c r="C399" s="86"/>
      <c r="D399" s="86"/>
      <c r="E399" s="86"/>
      <c r="F399" s="86"/>
      <c r="G399" s="90"/>
      <c r="H399" s="1215" t="e">
        <f>'0422Master'!#REF!</f>
        <v>#REF!</v>
      </c>
      <c r="I399" s="1216"/>
      <c r="J399" s="1216"/>
      <c r="K399" s="1216"/>
      <c r="L399" s="1217"/>
    </row>
    <row r="400" spans="1:12" ht="27.95" customHeight="1">
      <c r="A400" s="12"/>
      <c r="B400" s="85"/>
      <c r="C400" s="86"/>
      <c r="D400" s="86"/>
      <c r="E400" s="86"/>
      <c r="F400" s="86"/>
      <c r="G400" s="90"/>
      <c r="H400" s="1215" t="e">
        <f>'0422Master'!#REF!</f>
        <v>#REF!</v>
      </c>
      <c r="I400" s="1216"/>
      <c r="J400" s="1216"/>
      <c r="K400" s="1216"/>
      <c r="L400" s="1217"/>
    </row>
    <row r="401" spans="1:12" ht="27.95" customHeight="1">
      <c r="A401" s="12"/>
      <c r="B401" s="85"/>
      <c r="C401" s="86"/>
      <c r="D401" s="86"/>
      <c r="E401" s="86"/>
      <c r="F401" s="86"/>
      <c r="G401" s="90"/>
      <c r="H401" s="1215" t="e">
        <f>'0422Master'!#REF!</f>
        <v>#REF!</v>
      </c>
      <c r="I401" s="1216"/>
      <c r="J401" s="1216"/>
      <c r="K401" s="1216"/>
      <c r="L401" s="1217"/>
    </row>
    <row r="402" spans="1:12" ht="27.95" customHeight="1">
      <c r="A402" s="12"/>
      <c r="B402" s="85" t="s">
        <v>200</v>
      </c>
      <c r="C402" s="86"/>
      <c r="D402" s="86"/>
      <c r="E402" s="86"/>
      <c r="F402" s="86"/>
      <c r="G402" s="90"/>
      <c r="H402" s="87"/>
      <c r="I402" s="89"/>
      <c r="J402" s="89"/>
      <c r="K402" s="89"/>
      <c r="L402" s="94"/>
    </row>
    <row r="403" spans="1:12" ht="27.95" customHeight="1">
      <c r="A403" s="12"/>
      <c r="B403" s="96" t="s">
        <v>201</v>
      </c>
      <c r="C403" s="133"/>
      <c r="D403" s="133"/>
      <c r="E403" s="133"/>
      <c r="F403" s="133"/>
      <c r="G403" s="134"/>
      <c r="H403" s="135"/>
      <c r="I403" s="136"/>
      <c r="J403" s="137"/>
      <c r="K403" s="136"/>
      <c r="L403" s="138"/>
    </row>
    <row r="404" spans="1:12" ht="27.95" customHeight="1">
      <c r="A404" s="12"/>
      <c r="B404" s="85" t="s">
        <v>204</v>
      </c>
      <c r="C404" s="86"/>
      <c r="D404" s="89"/>
      <c r="E404" s="145" t="s">
        <v>206</v>
      </c>
      <c r="F404" s="64"/>
      <c r="G404" s="1218" t="s">
        <v>205</v>
      </c>
      <c r="H404" s="1219"/>
      <c r="I404" s="149" t="s">
        <v>202</v>
      </c>
      <c r="J404" s="147" t="s">
        <v>207</v>
      </c>
      <c r="K404" s="1218" t="s">
        <v>203</v>
      </c>
      <c r="L404" s="1220"/>
    </row>
    <row r="405" spans="1:12" ht="27.95" customHeight="1">
      <c r="A405" s="12"/>
      <c r="B405" s="148">
        <v>1</v>
      </c>
      <c r="C405" s="86"/>
      <c r="D405" s="86"/>
      <c r="E405" s="151">
        <v>2</v>
      </c>
      <c r="F405" s="90"/>
      <c r="G405" s="151">
        <v>3</v>
      </c>
      <c r="H405" s="167"/>
      <c r="I405" s="167">
        <v>4</v>
      </c>
      <c r="J405" s="99">
        <v>5</v>
      </c>
      <c r="K405" s="92"/>
      <c r="L405" s="93">
        <v>6</v>
      </c>
    </row>
    <row r="406" spans="1:12" ht="27.95" customHeight="1">
      <c r="A406" s="12"/>
      <c r="B406" s="265" t="e">
        <f>'0422Master'!#REF!</f>
        <v>#REF!</v>
      </c>
      <c r="C406" s="163"/>
      <c r="D406" s="164"/>
      <c r="E406" s="166" t="s">
        <v>363</v>
      </c>
      <c r="F406" s="164"/>
      <c r="G406" s="166" t="s">
        <v>364</v>
      </c>
      <c r="H406" s="64"/>
      <c r="I406" s="10" t="s">
        <v>365</v>
      </c>
      <c r="J406" s="264">
        <v>1</v>
      </c>
      <c r="K406" s="1221" t="s">
        <v>37</v>
      </c>
      <c r="L406" s="1222"/>
    </row>
    <row r="407" spans="1:12" ht="27.95" customHeight="1">
      <c r="A407" s="12"/>
      <c r="B407" s="85"/>
      <c r="C407" s="163"/>
      <c r="D407" s="164"/>
      <c r="E407" s="165"/>
      <c r="F407" s="164"/>
      <c r="G407" s="165"/>
      <c r="H407" s="64"/>
      <c r="I407" s="10"/>
      <c r="J407" s="10"/>
      <c r="K407" s="166"/>
      <c r="L407" s="64"/>
    </row>
    <row r="408" spans="1:12" ht="27.95" customHeight="1">
      <c r="A408" s="12"/>
      <c r="B408" s="85"/>
      <c r="C408" s="163"/>
      <c r="D408" s="164"/>
      <c r="E408" s="165"/>
      <c r="F408" s="164"/>
      <c r="G408" s="165"/>
      <c r="H408" s="64"/>
      <c r="I408" s="10"/>
      <c r="J408" s="10"/>
      <c r="K408" s="166"/>
      <c r="L408" s="64"/>
    </row>
    <row r="409" spans="1:12" ht="27.95" customHeight="1">
      <c r="A409" s="12"/>
      <c r="B409" s="71"/>
      <c r="C409" s="16"/>
      <c r="D409" s="72"/>
      <c r="E409" s="165"/>
      <c r="F409" s="164"/>
      <c r="G409" s="165"/>
      <c r="H409" s="64"/>
      <c r="I409" s="10"/>
      <c r="J409" s="10"/>
      <c r="K409" s="166"/>
      <c r="L409" s="64"/>
    </row>
    <row r="410" spans="1:12" ht="27.95" customHeight="1">
      <c r="A410" s="12"/>
      <c r="B410" t="s">
        <v>208</v>
      </c>
      <c r="L410" s="13"/>
    </row>
    <row r="411" spans="1:12" ht="27.95" customHeight="1">
      <c r="A411" s="12"/>
      <c r="B411" t="s">
        <v>209</v>
      </c>
      <c r="L411" s="13"/>
    </row>
    <row r="412" spans="1:12" ht="27.95" customHeight="1">
      <c r="A412" s="12"/>
      <c r="B412" t="s">
        <v>210</v>
      </c>
      <c r="L412" s="13"/>
    </row>
    <row r="413" spans="1:12" ht="27.95" customHeight="1">
      <c r="A413" s="12"/>
      <c r="I413" t="s">
        <v>211</v>
      </c>
      <c r="L413" s="13"/>
    </row>
    <row r="414" spans="1:12" ht="27.95" customHeight="1">
      <c r="A414" s="12"/>
      <c r="F414" s="153" t="s">
        <v>194</v>
      </c>
      <c r="L414" s="13"/>
    </row>
    <row r="415" spans="1:12" ht="27.95" customHeight="1">
      <c r="A415" s="12" t="s">
        <v>195</v>
      </c>
      <c r="K415" s="203" t="e">
        <f>'0422Master'!#REF!</f>
        <v>#REF!</v>
      </c>
      <c r="L415" s="13"/>
    </row>
    <row r="416" spans="1:12">
      <c r="A416" s="12" t="s">
        <v>196</v>
      </c>
      <c r="L416" s="13"/>
    </row>
    <row r="417" spans="1:12">
      <c r="A417" s="12"/>
      <c r="L417" s="13"/>
    </row>
    <row r="418" spans="1:12">
      <c r="A418" s="12"/>
      <c r="L418" s="13"/>
    </row>
    <row r="419" spans="1:12">
      <c r="A419" s="12"/>
      <c r="F419" t="s">
        <v>197</v>
      </c>
      <c r="L419" s="13"/>
    </row>
    <row r="420" spans="1:12">
      <c r="A420" s="12" t="s">
        <v>198</v>
      </c>
      <c r="B420" t="s">
        <v>362</v>
      </c>
      <c r="F420" t="str">
        <f>'0422Master'!F5</f>
        <v>Burgeon IT Services Pvt.Ltd.</v>
      </c>
      <c r="L420" s="13"/>
    </row>
    <row r="421" spans="1:12">
      <c r="A421" s="12" t="s">
        <v>199</v>
      </c>
      <c r="B421" s="263" t="e">
        <f>'0422Master'!#REF!</f>
        <v>#REF!</v>
      </c>
      <c r="F421" t="str">
        <f>'0422Master'!F6</f>
        <v>Siri Mansion LIGB 436 Dr.A S Rao Nagar,Hyderabad</v>
      </c>
      <c r="L421" s="13"/>
    </row>
    <row r="422" spans="1:12" ht="15" customHeight="1" thickBot="1">
      <c r="A422" s="24"/>
      <c r="B422" s="22"/>
      <c r="C422" s="22"/>
      <c r="D422" s="22"/>
      <c r="E422" s="22"/>
      <c r="F422" s="22"/>
      <c r="G422" s="22"/>
      <c r="H422" s="22"/>
      <c r="I422" s="22"/>
      <c r="J422" s="22"/>
      <c r="K422" s="22"/>
      <c r="L422" s="23"/>
    </row>
    <row r="423" spans="1:12" ht="15.75" thickBot="1">
      <c r="B423" s="154"/>
      <c r="C423" s="150"/>
      <c r="D423" s="150"/>
      <c r="E423" s="150"/>
      <c r="F423" s="150"/>
      <c r="G423" s="150"/>
      <c r="H423" s="139"/>
      <c r="I423" s="139"/>
      <c r="J423" s="140"/>
      <c r="K423" s="139"/>
      <c r="L423" s="139"/>
    </row>
    <row r="424" spans="1:12" ht="32.25">
      <c r="A424" s="73"/>
      <c r="B424" s="1214" t="s">
        <v>182</v>
      </c>
      <c r="C424" s="1105"/>
      <c r="D424" s="1105"/>
      <c r="E424" s="1105"/>
      <c r="F424" s="1105"/>
      <c r="G424" s="1105"/>
      <c r="H424" s="1105"/>
      <c r="I424" s="1105"/>
      <c r="J424" s="1105"/>
      <c r="K424" s="1105"/>
      <c r="L424" s="1106"/>
    </row>
    <row r="425" spans="1:12" ht="23.25">
      <c r="A425" s="12"/>
      <c r="B425" s="1223" t="s">
        <v>183</v>
      </c>
      <c r="C425" s="1223"/>
      <c r="D425" s="1223"/>
      <c r="E425" s="1223"/>
      <c r="F425" s="1223"/>
      <c r="G425" s="1223"/>
      <c r="H425" s="1223"/>
      <c r="I425" s="1223"/>
      <c r="J425" s="1223"/>
      <c r="K425" s="1223"/>
      <c r="L425" s="1086"/>
    </row>
    <row r="426" spans="1:12" ht="16.5" thickBot="1">
      <c r="A426" s="24"/>
      <c r="B426" s="1088" t="s">
        <v>184</v>
      </c>
      <c r="C426" s="1088"/>
      <c r="D426" s="1088"/>
      <c r="E426" s="1088"/>
      <c r="F426" s="1088"/>
      <c r="G426" s="1088"/>
      <c r="H426" s="1088"/>
      <c r="I426" s="1088"/>
      <c r="J426" s="1088"/>
      <c r="K426" s="1088"/>
      <c r="L426" s="1089"/>
    </row>
    <row r="427" spans="1:12">
      <c r="A427" s="12"/>
      <c r="B427" s="1224" t="s">
        <v>109</v>
      </c>
      <c r="C427" s="1224"/>
      <c r="D427" s="1224"/>
      <c r="E427" s="1224"/>
      <c r="F427" s="1224"/>
      <c r="H427" s="1225" t="s">
        <v>110</v>
      </c>
      <c r="I427" s="1225"/>
      <c r="J427" s="1225"/>
      <c r="K427" s="1225"/>
      <c r="L427" s="1093"/>
    </row>
    <row r="428" spans="1:12" ht="15.75" thickBot="1">
      <c r="A428" s="12"/>
      <c r="B428" s="1224"/>
      <c r="C428" s="1224"/>
      <c r="D428" s="1224"/>
      <c r="E428" s="1224"/>
      <c r="F428" s="1224"/>
      <c r="H428" s="1225"/>
      <c r="I428" s="1225"/>
      <c r="J428" s="1225"/>
      <c r="K428" s="1225"/>
      <c r="L428" s="1093"/>
    </row>
    <row r="429" spans="1:12">
      <c r="A429" s="12"/>
      <c r="B429" s="73"/>
      <c r="C429" s="74"/>
      <c r="D429" s="74"/>
      <c r="E429" s="74"/>
      <c r="F429" s="75"/>
      <c r="H429" s="73"/>
      <c r="I429" s="74"/>
      <c r="J429" s="74"/>
      <c r="K429" s="74"/>
      <c r="L429" s="75"/>
    </row>
    <row r="430" spans="1:12">
      <c r="A430" s="12"/>
      <c r="B430" s="76" t="str">
        <f>'0422Master'!F5</f>
        <v>Burgeon IT Services Pvt.Ltd.</v>
      </c>
      <c r="F430" s="13"/>
      <c r="H430" s="76" t="str">
        <f>'0422Master'!AP5</f>
        <v>Burgeon IT Services Pvt.Ltd.</v>
      </c>
      <c r="L430" s="13"/>
    </row>
    <row r="431" spans="1:12">
      <c r="A431" s="12"/>
      <c r="B431" s="12"/>
      <c r="F431" s="13"/>
      <c r="H431" s="12"/>
      <c r="L431" s="13"/>
    </row>
    <row r="432" spans="1:12">
      <c r="A432" s="12"/>
      <c r="B432" s="76" t="str">
        <f>'0422Master'!F6</f>
        <v>Siri Mansion LIGB 436 Dr.A S Rao Nagar,Hyderabad</v>
      </c>
      <c r="F432" s="13"/>
      <c r="H432" s="76" t="str">
        <f>'0422Master'!AP6</f>
        <v>Siri Mansion LIGB 436 Dr.A S Rao Nagar,Hyderabad</v>
      </c>
      <c r="L432" s="13"/>
    </row>
    <row r="433" spans="1:12" ht="15.75" thickBot="1">
      <c r="A433" s="12"/>
      <c r="B433" s="24"/>
      <c r="C433" s="22"/>
      <c r="D433" s="22"/>
      <c r="E433" s="22"/>
      <c r="F433" s="23"/>
      <c r="H433" s="24"/>
      <c r="I433" s="22"/>
      <c r="J433" s="22"/>
      <c r="K433" s="22"/>
      <c r="L433" s="23"/>
    </row>
    <row r="434" spans="1:12">
      <c r="A434" s="12"/>
      <c r="J434" t="s">
        <v>111</v>
      </c>
      <c r="L434" s="13"/>
    </row>
    <row r="435" spans="1:12">
      <c r="A435" s="12"/>
      <c r="B435" s="1226" t="s">
        <v>112</v>
      </c>
      <c r="C435" s="1226"/>
      <c r="D435" s="1226"/>
      <c r="E435" s="1226"/>
      <c r="F435" s="1226"/>
      <c r="H435" s="1226" t="s">
        <v>4</v>
      </c>
      <c r="I435" s="1226"/>
      <c r="J435" s="1226"/>
      <c r="K435" s="1226"/>
      <c r="L435" s="1096"/>
    </row>
    <row r="436" spans="1:12" ht="15.75" thickBot="1">
      <c r="A436" s="12"/>
      <c r="L436" s="13"/>
    </row>
    <row r="437" spans="1:12" ht="15" customHeight="1">
      <c r="A437" s="12"/>
      <c r="B437" s="73"/>
      <c r="C437" s="74"/>
      <c r="D437" s="74"/>
      <c r="E437" s="74"/>
      <c r="F437" s="75"/>
      <c r="H437" s="77"/>
      <c r="I437" s="78"/>
      <c r="J437" s="78"/>
      <c r="K437" s="78"/>
      <c r="L437" s="79"/>
    </row>
    <row r="438" spans="1:12" ht="15" customHeight="1">
      <c r="A438" s="12"/>
      <c r="B438" s="12"/>
      <c r="F438" s="13"/>
      <c r="H438" s="76" t="str">
        <f>'0422Master'!AP10</f>
        <v>INFOSYS  LTD.IL Pune SEZ Unit-II,Plot No. 24/3</v>
      </c>
      <c r="I438" s="2"/>
      <c r="J438" s="2"/>
      <c r="K438" s="2"/>
      <c r="L438" s="80"/>
    </row>
    <row r="439" spans="1:12" ht="15" customHeight="1">
      <c r="A439" s="12"/>
      <c r="B439" s="76" t="str">
        <f>'0422Master'!F8</f>
        <v>IT SUPPORTIVE SERVICES&amp; PUNE SEZ UNIT-II</v>
      </c>
      <c r="F439" s="13"/>
      <c r="H439" s="76"/>
      <c r="I439" s="2"/>
      <c r="J439" s="2"/>
      <c r="K439" s="2"/>
      <c r="L439" s="80"/>
    </row>
    <row r="440" spans="1:12" ht="15" customHeight="1">
      <c r="A440" s="12"/>
      <c r="B440" s="12"/>
      <c r="F440" s="13"/>
      <c r="H440" s="76" t="str">
        <f>'0422Master'!AP11</f>
        <v>Rajiv gandhi Info tech park,Village Mann,Pune,Maharashtra 411057</v>
      </c>
      <c r="I440" s="2"/>
      <c r="J440" s="2"/>
      <c r="K440" s="2"/>
      <c r="L440" s="80"/>
    </row>
    <row r="441" spans="1:12" ht="15" customHeight="1" thickBot="1">
      <c r="A441" s="12"/>
      <c r="B441" s="24"/>
      <c r="C441" s="22"/>
      <c r="D441" s="22"/>
      <c r="E441" s="22"/>
      <c r="F441" s="23"/>
      <c r="H441" s="81"/>
      <c r="I441" s="82"/>
      <c r="J441" s="82"/>
      <c r="K441" s="82"/>
      <c r="L441" s="83"/>
    </row>
    <row r="442" spans="1:12" ht="27.95" customHeight="1">
      <c r="A442" s="84"/>
      <c r="B442" s="1213" t="s">
        <v>185</v>
      </c>
      <c r="C442" s="1213"/>
      <c r="D442" s="1213"/>
      <c r="E442" s="1213"/>
      <c r="F442" s="1213"/>
      <c r="G442" s="1213"/>
      <c r="H442" s="1233" t="e">
        <f>'0422Master'!#REF!</f>
        <v>#REF!</v>
      </c>
      <c r="I442" s="1228"/>
      <c r="J442" s="1228"/>
      <c r="K442" s="1228"/>
      <c r="L442" s="1071"/>
    </row>
    <row r="443" spans="1:12" ht="27.95" customHeight="1">
      <c r="A443" s="84"/>
      <c r="B443" s="1234" t="s">
        <v>186</v>
      </c>
      <c r="C443" s="1234"/>
      <c r="D443" s="1234"/>
      <c r="E443" s="1234"/>
      <c r="F443" s="1234"/>
      <c r="G443" s="1234"/>
      <c r="H443" s="1233" t="e">
        <f>'0422Master'!#REF!</f>
        <v>#REF!</v>
      </c>
      <c r="I443" s="1228"/>
      <c r="J443" s="1228"/>
      <c r="K443" s="1228"/>
      <c r="L443" s="1071"/>
    </row>
    <row r="444" spans="1:12" ht="27.95" customHeight="1">
      <c r="A444" s="84"/>
      <c r="B444" s="1213" t="s">
        <v>187</v>
      </c>
      <c r="C444" s="1213"/>
      <c r="D444" s="1213"/>
      <c r="E444" s="1213"/>
      <c r="F444" s="1213"/>
      <c r="G444" s="1213"/>
      <c r="H444" s="1233" t="e">
        <f>'0422Master'!#REF!</f>
        <v>#REF!</v>
      </c>
      <c r="I444" s="1228"/>
      <c r="J444" s="1228"/>
      <c r="K444" s="1228"/>
      <c r="L444" s="1071"/>
    </row>
    <row r="445" spans="1:12" ht="27.95" customHeight="1">
      <c r="A445" s="84"/>
      <c r="B445" s="1213" t="s">
        <v>188</v>
      </c>
      <c r="C445" s="1213"/>
      <c r="D445" s="1213"/>
      <c r="E445" s="1213"/>
      <c r="F445" s="1213"/>
      <c r="G445" s="1213"/>
      <c r="H445" s="1227" t="e">
        <f>'0422Master'!#REF!</f>
        <v>#REF!</v>
      </c>
      <c r="I445" s="1228"/>
      <c r="J445" s="1228"/>
      <c r="K445" s="1228"/>
      <c r="L445" s="1071"/>
    </row>
    <row r="446" spans="1:12" ht="27.95" customHeight="1">
      <c r="A446" s="84"/>
      <c r="B446" s="85" t="s">
        <v>189</v>
      </c>
      <c r="C446" s="86"/>
      <c r="D446" s="86"/>
      <c r="E446" s="86"/>
      <c r="F446" s="86"/>
      <c r="G446" s="86"/>
      <c r="H446" s="1229" t="s">
        <v>190</v>
      </c>
      <c r="I446" s="1230"/>
      <c r="J446" s="1230"/>
      <c r="K446" s="1230"/>
      <c r="L446" s="1231"/>
    </row>
    <row r="447" spans="1:12" ht="27.95" customHeight="1">
      <c r="A447" s="84"/>
      <c r="B447" s="85" t="s">
        <v>191</v>
      </c>
      <c r="C447" s="86"/>
      <c r="D447" s="86"/>
      <c r="E447" s="86"/>
      <c r="F447" s="86"/>
      <c r="G447" s="86"/>
      <c r="H447" s="87"/>
      <c r="I447" s="89"/>
      <c r="J447" s="152"/>
      <c r="K447" s="89"/>
      <c r="L447" s="94"/>
    </row>
    <row r="448" spans="1:12" ht="27.95" customHeight="1">
      <c r="A448" s="84"/>
      <c r="B448" s="1082" t="s">
        <v>192</v>
      </c>
      <c r="C448" s="1082"/>
      <c r="D448" s="1082"/>
      <c r="E448" s="1082"/>
      <c r="F448" s="1082"/>
      <c r="G448" s="1082"/>
      <c r="H448" s="1074" t="e">
        <f>'0422Master'!#REF!</f>
        <v>#REF!</v>
      </c>
      <c r="I448" s="1075"/>
      <c r="J448" s="1075"/>
      <c r="K448" s="1075"/>
      <c r="L448" s="1076"/>
    </row>
    <row r="449" spans="1:12" ht="27.95" customHeight="1">
      <c r="A449" s="84"/>
      <c r="B449" s="1213"/>
      <c r="C449" s="1213"/>
      <c r="D449" s="1213"/>
      <c r="E449" s="1213"/>
      <c r="F449" s="1213"/>
      <c r="G449" s="1213"/>
      <c r="H449" s="1232" t="e">
        <f>'0422Master'!#REF!</f>
        <v>#REF!</v>
      </c>
      <c r="I449" s="1228"/>
      <c r="J449" s="1228"/>
      <c r="K449" s="1228"/>
      <c r="L449" s="1071"/>
    </row>
    <row r="450" spans="1:12" ht="27.95" customHeight="1">
      <c r="A450" s="12"/>
      <c r="B450" s="1213"/>
      <c r="C450" s="1213"/>
      <c r="D450" s="1213"/>
      <c r="E450" s="1213"/>
      <c r="F450" s="1213"/>
      <c r="G450" s="1213"/>
      <c r="H450" s="1233" t="e">
        <f>'0422Master'!#REF!</f>
        <v>#REF!</v>
      </c>
      <c r="I450" s="1228"/>
      <c r="J450" s="1228"/>
      <c r="K450" s="1228"/>
      <c r="L450" s="1071"/>
    </row>
    <row r="451" spans="1:12" ht="27.95" customHeight="1">
      <c r="A451" s="12"/>
      <c r="B451" s="85" t="s">
        <v>193</v>
      </c>
      <c r="C451" s="86"/>
      <c r="D451" s="86"/>
      <c r="E451" s="86"/>
      <c r="F451" s="86"/>
      <c r="G451" s="90"/>
      <c r="H451" s="1215" t="e">
        <f>'0422Master'!#REF!</f>
        <v>#REF!</v>
      </c>
      <c r="I451" s="1216"/>
      <c r="J451" s="1216"/>
      <c r="K451" s="1216"/>
      <c r="L451" s="1217"/>
    </row>
    <row r="452" spans="1:12" ht="27.95" customHeight="1">
      <c r="A452" s="12"/>
      <c r="B452" s="85"/>
      <c r="C452" s="86"/>
      <c r="D452" s="86"/>
      <c r="E452" s="86"/>
      <c r="F452" s="86"/>
      <c r="G452" s="90"/>
      <c r="H452" s="1215" t="e">
        <f>'0422Master'!#REF!</f>
        <v>#REF!</v>
      </c>
      <c r="I452" s="1216"/>
      <c r="J452" s="1216"/>
      <c r="K452" s="1216"/>
      <c r="L452" s="1217"/>
    </row>
    <row r="453" spans="1:12" ht="27.95" customHeight="1">
      <c r="A453" s="12"/>
      <c r="B453" s="85"/>
      <c r="C453" s="86"/>
      <c r="D453" s="86"/>
      <c r="E453" s="86"/>
      <c r="F453" s="86"/>
      <c r="G453" s="90"/>
      <c r="H453" s="1215" t="e">
        <f>'0422Master'!#REF!</f>
        <v>#REF!</v>
      </c>
      <c r="I453" s="1216"/>
      <c r="J453" s="1216"/>
      <c r="K453" s="1216"/>
      <c r="L453" s="1217"/>
    </row>
    <row r="454" spans="1:12" ht="27.95" customHeight="1">
      <c r="A454" s="12"/>
      <c r="B454" s="85" t="s">
        <v>200</v>
      </c>
      <c r="C454" s="86"/>
      <c r="D454" s="86"/>
      <c r="E454" s="86"/>
      <c r="F454" s="86"/>
      <c r="G454" s="90"/>
      <c r="H454" s="87"/>
      <c r="I454" s="89"/>
      <c r="J454" s="89"/>
      <c r="K454" s="89"/>
      <c r="L454" s="94"/>
    </row>
    <row r="455" spans="1:12">
      <c r="A455" s="12"/>
      <c r="B455" s="96" t="s">
        <v>201</v>
      </c>
      <c r="C455" s="133"/>
      <c r="D455" s="133"/>
      <c r="E455" s="133"/>
      <c r="F455" s="133"/>
      <c r="G455" s="134"/>
      <c r="H455" s="135"/>
      <c r="I455" s="136"/>
      <c r="J455" s="137"/>
      <c r="K455" s="136"/>
      <c r="L455" s="138"/>
    </row>
    <row r="456" spans="1:12" ht="45">
      <c r="A456" s="12"/>
      <c r="B456" s="85" t="s">
        <v>204</v>
      </c>
      <c r="C456" s="86"/>
      <c r="D456" s="89"/>
      <c r="E456" s="145" t="s">
        <v>206</v>
      </c>
      <c r="F456" s="64"/>
      <c r="G456" s="1218" t="s">
        <v>205</v>
      </c>
      <c r="H456" s="1219"/>
      <c r="I456" s="149" t="s">
        <v>202</v>
      </c>
      <c r="J456" s="147" t="s">
        <v>207</v>
      </c>
      <c r="K456" s="1218" t="s">
        <v>203</v>
      </c>
      <c r="L456" s="1220"/>
    </row>
    <row r="457" spans="1:12">
      <c r="A457" s="12"/>
      <c r="B457" s="148">
        <v>1</v>
      </c>
      <c r="C457" s="86"/>
      <c r="D457" s="86"/>
      <c r="E457" s="151">
        <v>2</v>
      </c>
      <c r="F457" s="90"/>
      <c r="G457" s="151">
        <v>3</v>
      </c>
      <c r="H457" s="167"/>
      <c r="I457" s="167">
        <v>4</v>
      </c>
      <c r="J457" s="99">
        <v>5</v>
      </c>
      <c r="K457" s="92"/>
      <c r="L457" s="93">
        <v>6</v>
      </c>
    </row>
    <row r="458" spans="1:12">
      <c r="A458" s="12"/>
      <c r="B458" s="265" t="e">
        <f>'0422Master'!#REF!</f>
        <v>#REF!</v>
      </c>
      <c r="C458" s="163"/>
      <c r="D458" s="164"/>
      <c r="E458" s="166" t="s">
        <v>363</v>
      </c>
      <c r="F458" s="164"/>
      <c r="G458" s="166" t="s">
        <v>364</v>
      </c>
      <c r="H458" s="64"/>
      <c r="I458" s="10" t="s">
        <v>365</v>
      </c>
      <c r="J458" s="264">
        <v>1</v>
      </c>
      <c r="K458" s="1221" t="s">
        <v>37</v>
      </c>
      <c r="L458" s="1222"/>
    </row>
    <row r="459" spans="1:12">
      <c r="A459" s="12"/>
      <c r="B459" s="85"/>
      <c r="C459" s="163"/>
      <c r="D459" s="164"/>
      <c r="E459" s="165"/>
      <c r="F459" s="164"/>
      <c r="G459" s="165"/>
      <c r="H459" s="64"/>
      <c r="I459" s="10"/>
      <c r="J459" s="10"/>
      <c r="K459" s="166"/>
      <c r="L459" s="64"/>
    </row>
    <row r="460" spans="1:12" ht="15" customHeight="1">
      <c r="A460" s="12"/>
      <c r="B460" s="85"/>
      <c r="C460" s="163"/>
      <c r="D460" s="164"/>
      <c r="E460" s="165"/>
      <c r="F460" s="164"/>
      <c r="G460" s="165"/>
      <c r="H460" s="64"/>
      <c r="I460" s="10"/>
      <c r="J460" s="10"/>
      <c r="K460" s="166"/>
      <c r="L460" s="64"/>
    </row>
    <row r="461" spans="1:12">
      <c r="A461" s="12"/>
      <c r="B461" s="71"/>
      <c r="C461" s="16"/>
      <c r="D461" s="72"/>
      <c r="E461" s="165"/>
      <c r="F461" s="164"/>
      <c r="G461" s="165"/>
      <c r="H461" s="64"/>
      <c r="I461" s="10"/>
      <c r="J461" s="10"/>
      <c r="K461" s="166"/>
      <c r="L461" s="64"/>
    </row>
    <row r="462" spans="1:12" ht="24.95" customHeight="1">
      <c r="A462" s="12"/>
      <c r="B462" t="s">
        <v>208</v>
      </c>
      <c r="L462" s="13"/>
    </row>
    <row r="463" spans="1:12" ht="24.95" customHeight="1">
      <c r="A463" s="12"/>
      <c r="B463" t="s">
        <v>209</v>
      </c>
      <c r="L463" s="13"/>
    </row>
    <row r="464" spans="1:12" ht="24.95" customHeight="1">
      <c r="A464" s="12"/>
      <c r="B464" t="s">
        <v>210</v>
      </c>
      <c r="L464" s="13"/>
    </row>
    <row r="465" spans="1:12">
      <c r="A465" s="12"/>
      <c r="L465" s="13"/>
    </row>
    <row r="466" spans="1:12">
      <c r="A466" s="12"/>
      <c r="I466" t="s">
        <v>211</v>
      </c>
      <c r="L466" s="13"/>
    </row>
    <row r="467" spans="1:12" ht="18.75">
      <c r="A467" s="12"/>
      <c r="F467" s="153" t="s">
        <v>194</v>
      </c>
      <c r="L467" s="13"/>
    </row>
    <row r="468" spans="1:12">
      <c r="A468" s="12" t="s">
        <v>195</v>
      </c>
      <c r="K468" s="203" t="e">
        <f>'0422Master'!#REF!</f>
        <v>#REF!</v>
      </c>
      <c r="L468" s="13"/>
    </row>
    <row r="469" spans="1:12">
      <c r="A469" s="12" t="s">
        <v>196</v>
      </c>
      <c r="L469" s="13"/>
    </row>
    <row r="470" spans="1:12">
      <c r="A470" s="12"/>
      <c r="L470" s="13"/>
    </row>
    <row r="471" spans="1:12">
      <c r="A471" s="12"/>
      <c r="L471" s="13"/>
    </row>
    <row r="472" spans="1:12">
      <c r="A472" s="12"/>
      <c r="F472" t="s">
        <v>197</v>
      </c>
      <c r="L472" s="13"/>
    </row>
    <row r="473" spans="1:12">
      <c r="A473" s="12" t="s">
        <v>198</v>
      </c>
      <c r="B473" t="s">
        <v>362</v>
      </c>
      <c r="F473" t="str">
        <f>'0422Master'!F5</f>
        <v>Burgeon IT Services Pvt.Ltd.</v>
      </c>
      <c r="L473" s="13"/>
    </row>
    <row r="474" spans="1:12">
      <c r="A474" s="12" t="s">
        <v>199</v>
      </c>
      <c r="B474" s="263" t="e">
        <f>'0422Master'!#REF!</f>
        <v>#REF!</v>
      </c>
      <c r="F474" t="str">
        <f>'0422Master'!F6</f>
        <v>Siri Mansion LIGB 436 Dr.A S Rao Nagar,Hyderabad</v>
      </c>
      <c r="L474" s="13"/>
    </row>
    <row r="475" spans="1:12">
      <c r="A475" s="12"/>
      <c r="B475" s="263"/>
      <c r="L475" s="13"/>
    </row>
    <row r="476" spans="1:12">
      <c r="A476" s="12"/>
      <c r="B476" s="263"/>
      <c r="L476" s="13"/>
    </row>
    <row r="477" spans="1:12" ht="15.75" thickBot="1">
      <c r="A477" s="24"/>
      <c r="B477" s="22"/>
      <c r="C477" s="22"/>
      <c r="D477" s="22"/>
      <c r="E477" s="22"/>
      <c r="F477" s="22"/>
      <c r="G477" s="22"/>
      <c r="H477" s="22"/>
      <c r="I477" s="22"/>
      <c r="J477" s="22"/>
      <c r="K477" s="22"/>
      <c r="L477" s="23"/>
    </row>
    <row r="478" spans="1:12" ht="27.95" customHeight="1">
      <c r="A478" s="73"/>
      <c r="B478" s="1214" t="s">
        <v>182</v>
      </c>
      <c r="C478" s="1105"/>
      <c r="D478" s="1105"/>
      <c r="E478" s="1105"/>
      <c r="F478" s="1105"/>
      <c r="G478" s="1105"/>
      <c r="H478" s="1105"/>
      <c r="I478" s="1105"/>
      <c r="J478" s="1105"/>
      <c r="K478" s="1105"/>
      <c r="L478" s="1106"/>
    </row>
    <row r="479" spans="1:12" ht="27.95" customHeight="1">
      <c r="A479" s="12"/>
      <c r="B479" s="1223" t="s">
        <v>183</v>
      </c>
      <c r="C479" s="1223"/>
      <c r="D479" s="1223"/>
      <c r="E479" s="1223"/>
      <c r="F479" s="1223"/>
      <c r="G479" s="1223"/>
      <c r="H479" s="1223"/>
      <c r="I479" s="1223"/>
      <c r="J479" s="1223"/>
      <c r="K479" s="1223"/>
      <c r="L479" s="1086"/>
    </row>
    <row r="480" spans="1:12" ht="27.95" customHeight="1" thickBot="1">
      <c r="A480" s="24"/>
      <c r="B480" s="1088" t="s">
        <v>184</v>
      </c>
      <c r="C480" s="1088"/>
      <c r="D480" s="1088"/>
      <c r="E480" s="1088"/>
      <c r="F480" s="1088"/>
      <c r="G480" s="1088"/>
      <c r="H480" s="1088"/>
      <c r="I480" s="1088"/>
      <c r="J480" s="1088"/>
      <c r="K480" s="1088"/>
      <c r="L480" s="1089"/>
    </row>
    <row r="481" spans="1:12" ht="27.95" customHeight="1">
      <c r="A481" s="12"/>
      <c r="B481" s="1224" t="s">
        <v>109</v>
      </c>
      <c r="C481" s="1224"/>
      <c r="D481" s="1224"/>
      <c r="E481" s="1224"/>
      <c r="F481" s="1224"/>
      <c r="H481" s="1225" t="s">
        <v>110</v>
      </c>
      <c r="I481" s="1225"/>
      <c r="J481" s="1225"/>
      <c r="K481" s="1225"/>
      <c r="L481" s="1093"/>
    </row>
    <row r="482" spans="1:12" ht="27.95" customHeight="1" thickBot="1">
      <c r="A482" s="12"/>
      <c r="B482" s="1224"/>
      <c r="C482" s="1224"/>
      <c r="D482" s="1224"/>
      <c r="E482" s="1224"/>
      <c r="F482" s="1224"/>
      <c r="H482" s="1225"/>
      <c r="I482" s="1225"/>
      <c r="J482" s="1225"/>
      <c r="K482" s="1225"/>
      <c r="L482" s="1093"/>
    </row>
    <row r="483" spans="1:12" ht="27.95" customHeight="1">
      <c r="A483" s="12"/>
      <c r="B483" s="73"/>
      <c r="C483" s="74"/>
      <c r="D483" s="74"/>
      <c r="E483" s="74"/>
      <c r="F483" s="75"/>
      <c r="H483" s="73"/>
      <c r="I483" s="74"/>
      <c r="J483" s="74"/>
      <c r="K483" s="74"/>
      <c r="L483" s="75"/>
    </row>
    <row r="484" spans="1:12" ht="27.95" customHeight="1">
      <c r="A484" s="12"/>
      <c r="B484" s="76" t="e">
        <f>#REF!</f>
        <v>#REF!</v>
      </c>
      <c r="F484" s="13"/>
      <c r="H484" s="76" t="e">
        <f>#REF!</f>
        <v>#REF!</v>
      </c>
      <c r="L484" s="13"/>
    </row>
    <row r="485" spans="1:12" ht="27.95" customHeight="1">
      <c r="A485" s="12"/>
      <c r="B485" s="12"/>
      <c r="F485" s="13"/>
      <c r="H485" s="12"/>
      <c r="L485" s="13"/>
    </row>
    <row r="486" spans="1:12" ht="27.95" customHeight="1">
      <c r="A486" s="12"/>
      <c r="B486" s="76" t="e">
        <f>#REF!</f>
        <v>#REF!</v>
      </c>
      <c r="F486" s="13"/>
      <c r="H486" s="76" t="e">
        <f>#REF!</f>
        <v>#REF!</v>
      </c>
      <c r="L486" s="13"/>
    </row>
    <row r="487" spans="1:12" ht="27.95" customHeight="1" thickBot="1">
      <c r="A487" s="12"/>
      <c r="B487" s="24"/>
      <c r="C487" s="22"/>
      <c r="D487" s="22"/>
      <c r="E487" s="22"/>
      <c r="F487" s="23"/>
      <c r="H487" s="24"/>
      <c r="I487" s="22"/>
      <c r="J487" s="22"/>
      <c r="K487" s="22"/>
      <c r="L487" s="23"/>
    </row>
    <row r="488" spans="1:12" ht="27.95" customHeight="1">
      <c r="A488" s="12"/>
      <c r="J488" t="s">
        <v>111</v>
      </c>
      <c r="L488" s="13"/>
    </row>
    <row r="489" spans="1:12" ht="27.95" customHeight="1">
      <c r="A489" s="12"/>
      <c r="B489" s="1226" t="s">
        <v>112</v>
      </c>
      <c r="C489" s="1226"/>
      <c r="D489" s="1226"/>
      <c r="E489" s="1226"/>
      <c r="F489" s="1226"/>
      <c r="H489" s="1226" t="s">
        <v>4</v>
      </c>
      <c r="I489" s="1226"/>
      <c r="J489" s="1226"/>
      <c r="K489" s="1226"/>
      <c r="L489" s="1096"/>
    </row>
    <row r="490" spans="1:12" ht="27.95" customHeight="1" thickBot="1">
      <c r="A490" s="12"/>
      <c r="L490" s="13"/>
    </row>
    <row r="491" spans="1:12" ht="15" customHeight="1">
      <c r="A491" s="12"/>
      <c r="B491" s="73"/>
      <c r="C491" s="74"/>
      <c r="D491" s="74"/>
      <c r="E491" s="74"/>
      <c r="F491" s="75"/>
      <c r="H491" s="77"/>
      <c r="I491" s="78"/>
      <c r="J491" s="78"/>
      <c r="K491" s="78"/>
      <c r="L491" s="79"/>
    </row>
    <row r="492" spans="1:12" ht="15" customHeight="1">
      <c r="A492" s="12"/>
      <c r="B492" s="12"/>
      <c r="F492" s="13"/>
      <c r="H492" s="76" t="e">
        <f>#REF!</f>
        <v>#REF!</v>
      </c>
      <c r="I492" s="2"/>
      <c r="J492" s="2"/>
      <c r="K492" s="2"/>
      <c r="L492" s="80"/>
    </row>
    <row r="493" spans="1:12" ht="15" customHeight="1">
      <c r="A493" s="12"/>
      <c r="B493" s="76" t="e">
        <f>#REF!</f>
        <v>#REF!</v>
      </c>
      <c r="F493" s="13"/>
      <c r="H493" s="76"/>
      <c r="I493" s="2"/>
      <c r="J493" s="2"/>
      <c r="K493" s="2"/>
      <c r="L493" s="80"/>
    </row>
    <row r="494" spans="1:12" ht="15" customHeight="1">
      <c r="A494" s="12"/>
      <c r="B494" s="12"/>
      <c r="F494" s="13"/>
      <c r="H494" s="76" t="e">
        <f>#REF!</f>
        <v>#REF!</v>
      </c>
      <c r="I494" s="2"/>
      <c r="J494" s="2"/>
      <c r="K494" s="2"/>
      <c r="L494" s="80"/>
    </row>
    <row r="495" spans="1:12" ht="15" customHeight="1" thickBot="1">
      <c r="A495" s="12"/>
      <c r="B495" s="24"/>
      <c r="C495" s="22"/>
      <c r="D495" s="22"/>
      <c r="E495" s="22"/>
      <c r="F495" s="23"/>
      <c r="H495" s="81"/>
      <c r="I495" s="82"/>
      <c r="J495" s="82"/>
      <c r="K495" s="82"/>
      <c r="L495" s="83"/>
    </row>
    <row r="496" spans="1:12">
      <c r="A496" s="84"/>
      <c r="B496" s="1213" t="s">
        <v>185</v>
      </c>
      <c r="C496" s="1213"/>
      <c r="D496" s="1213"/>
      <c r="E496" s="1213"/>
      <c r="F496" s="1213"/>
      <c r="G496" s="1213"/>
      <c r="H496" s="1233">
        <f>'0422Master'!B393</f>
        <v>0</v>
      </c>
      <c r="I496" s="1228"/>
      <c r="J496" s="1228"/>
      <c r="K496" s="1228"/>
      <c r="L496" s="1071"/>
    </row>
    <row r="497" spans="1:12" ht="15" customHeight="1">
      <c r="A497" s="84"/>
      <c r="B497" s="1234" t="s">
        <v>186</v>
      </c>
      <c r="C497" s="1234"/>
      <c r="D497" s="1234"/>
      <c r="E497" s="1234"/>
      <c r="F497" s="1234"/>
      <c r="G497" s="1234"/>
      <c r="H497" s="1233">
        <f>'0422Master'!E393</f>
        <v>0</v>
      </c>
      <c r="I497" s="1228"/>
      <c r="J497" s="1228"/>
      <c r="K497" s="1228"/>
      <c r="L497" s="1071"/>
    </row>
    <row r="498" spans="1:12">
      <c r="A498" s="84"/>
      <c r="B498" s="1213" t="s">
        <v>187</v>
      </c>
      <c r="C498" s="1213"/>
      <c r="D498" s="1213"/>
      <c r="E498" s="1213"/>
      <c r="F498" s="1213"/>
      <c r="G498" s="1213"/>
      <c r="H498" s="1233">
        <f>'0422Master'!C393</f>
        <v>0</v>
      </c>
      <c r="I498" s="1228"/>
      <c r="J498" s="1228"/>
      <c r="K498" s="1228"/>
      <c r="L498" s="1071"/>
    </row>
    <row r="499" spans="1:12">
      <c r="A499" s="84"/>
      <c r="B499" s="1213" t="s">
        <v>188</v>
      </c>
      <c r="C499" s="1213"/>
      <c r="D499" s="1213"/>
      <c r="E499" s="1213"/>
      <c r="F499" s="1213"/>
      <c r="G499" s="1213"/>
      <c r="H499" s="1227">
        <f>'0422Master'!D393</f>
        <v>0</v>
      </c>
      <c r="I499" s="1228"/>
      <c r="J499" s="1228"/>
      <c r="K499" s="1228"/>
      <c r="L499" s="1071"/>
    </row>
    <row r="500" spans="1:12">
      <c r="A500" s="84"/>
      <c r="B500" s="85" t="s">
        <v>189</v>
      </c>
      <c r="C500" s="86"/>
      <c r="D500" s="86"/>
      <c r="E500" s="86"/>
      <c r="F500" s="86"/>
      <c r="G500" s="86"/>
      <c r="H500" s="1229" t="s">
        <v>190</v>
      </c>
      <c r="I500" s="1230"/>
      <c r="J500" s="1230"/>
      <c r="K500" s="1230"/>
      <c r="L500" s="1231"/>
    </row>
    <row r="501" spans="1:12" ht="15" customHeight="1">
      <c r="A501" s="84"/>
      <c r="B501" s="85" t="s">
        <v>191</v>
      </c>
      <c r="C501" s="86"/>
      <c r="D501" s="86"/>
      <c r="E501" s="86"/>
      <c r="F501" s="86"/>
      <c r="G501" s="86"/>
      <c r="H501" s="87"/>
      <c r="I501" s="89"/>
      <c r="J501" s="152"/>
      <c r="K501" s="89"/>
      <c r="L501" s="94"/>
    </row>
    <row r="502" spans="1:12" ht="15" customHeight="1">
      <c r="A502" s="84"/>
      <c r="B502" s="1082" t="s">
        <v>192</v>
      </c>
      <c r="C502" s="1082"/>
      <c r="D502" s="1082"/>
      <c r="E502" s="1082"/>
      <c r="F502" s="1082"/>
      <c r="G502" s="1082"/>
      <c r="H502" s="1074">
        <f>'0422Master'!G393</f>
        <v>0</v>
      </c>
      <c r="I502" s="1075"/>
      <c r="J502" s="1075"/>
      <c r="K502" s="1075"/>
      <c r="L502" s="1076"/>
    </row>
    <row r="503" spans="1:12">
      <c r="A503" s="84"/>
      <c r="B503" s="1213"/>
      <c r="C503" s="1213"/>
      <c r="D503" s="1213"/>
      <c r="E503" s="1213"/>
      <c r="F503" s="1213"/>
      <c r="G503" s="1213"/>
      <c r="H503" s="1232">
        <f>'0422Master'!H393</f>
        <v>0</v>
      </c>
      <c r="I503" s="1228"/>
      <c r="J503" s="1228"/>
      <c r="K503" s="1228"/>
      <c r="L503" s="1071"/>
    </row>
    <row r="504" spans="1:12">
      <c r="A504" s="12"/>
      <c r="B504" s="1213"/>
      <c r="C504" s="1213"/>
      <c r="D504" s="1213"/>
      <c r="E504" s="1213"/>
      <c r="F504" s="1213"/>
      <c r="G504" s="1213"/>
      <c r="H504" s="1233">
        <f>'0422Master'!I393</f>
        <v>0</v>
      </c>
      <c r="I504" s="1228"/>
      <c r="J504" s="1228"/>
      <c r="K504" s="1228"/>
      <c r="L504" s="1071"/>
    </row>
    <row r="505" spans="1:12">
      <c r="A505" s="12"/>
      <c r="B505" s="85" t="s">
        <v>193</v>
      </c>
      <c r="C505" s="86"/>
      <c r="D505" s="86"/>
      <c r="E505" s="86"/>
      <c r="F505" s="86"/>
      <c r="G505" s="90"/>
      <c r="H505" s="1215">
        <f>'0422Master'!J393</f>
        <v>0</v>
      </c>
      <c r="I505" s="1216"/>
      <c r="J505" s="1216"/>
      <c r="K505" s="1216"/>
      <c r="L505" s="1217"/>
    </row>
    <row r="506" spans="1:12">
      <c r="A506" s="12"/>
      <c r="B506" s="85"/>
      <c r="C506" s="86"/>
      <c r="D506" s="86"/>
      <c r="E506" s="86"/>
      <c r="F506" s="86"/>
      <c r="G506" s="90"/>
      <c r="H506" s="1215">
        <f>'0422Master'!K393</f>
        <v>0</v>
      </c>
      <c r="I506" s="1216"/>
      <c r="J506" s="1216"/>
      <c r="K506" s="1216"/>
      <c r="L506" s="1217"/>
    </row>
    <row r="507" spans="1:12">
      <c r="A507" s="12"/>
      <c r="B507" s="85"/>
      <c r="C507" s="86"/>
      <c r="D507" s="86"/>
      <c r="E507" s="86"/>
      <c r="F507" s="86"/>
      <c r="G507" s="90"/>
      <c r="H507" s="1215">
        <f>'0422Master'!L393</f>
        <v>0</v>
      </c>
      <c r="I507" s="1216"/>
      <c r="J507" s="1216"/>
      <c r="K507" s="1216"/>
      <c r="L507" s="1217"/>
    </row>
    <row r="508" spans="1:12">
      <c r="A508" s="12"/>
      <c r="B508" s="85" t="s">
        <v>200</v>
      </c>
      <c r="C508" s="86"/>
      <c r="D508" s="86"/>
      <c r="E508" s="86"/>
      <c r="F508" s="86"/>
      <c r="G508" s="90"/>
      <c r="H508" s="87"/>
      <c r="I508" s="89"/>
      <c r="J508" s="89"/>
      <c r="K508" s="89"/>
      <c r="L508" s="94"/>
    </row>
    <row r="509" spans="1:12">
      <c r="A509" s="12"/>
      <c r="B509" s="96" t="s">
        <v>201</v>
      </c>
      <c r="C509" s="133"/>
      <c r="D509" s="133"/>
      <c r="E509" s="133"/>
      <c r="F509" s="133"/>
      <c r="G509" s="134"/>
      <c r="H509" s="135"/>
      <c r="I509" s="136"/>
      <c r="J509" s="137"/>
      <c r="K509" s="136"/>
      <c r="L509" s="138"/>
    </row>
    <row r="510" spans="1:12" ht="45" customHeight="1">
      <c r="A510" s="12"/>
      <c r="B510" s="85" t="s">
        <v>204</v>
      </c>
      <c r="C510" s="86"/>
      <c r="D510" s="89"/>
      <c r="E510" s="145" t="s">
        <v>206</v>
      </c>
      <c r="F510" s="64"/>
      <c r="G510" s="1218" t="s">
        <v>205</v>
      </c>
      <c r="H510" s="1219"/>
      <c r="I510" s="149" t="s">
        <v>202</v>
      </c>
      <c r="J510" s="147" t="s">
        <v>207</v>
      </c>
      <c r="K510" s="1218" t="s">
        <v>203</v>
      </c>
      <c r="L510" s="1220"/>
    </row>
    <row r="511" spans="1:12">
      <c r="A511" s="12"/>
      <c r="B511" s="148">
        <v>1</v>
      </c>
      <c r="C511" s="86"/>
      <c r="D511" s="86"/>
      <c r="E511" s="151">
        <v>2</v>
      </c>
      <c r="F511" s="90"/>
      <c r="G511" s="151">
        <v>3</v>
      </c>
      <c r="H511" s="167"/>
      <c r="I511" s="167">
        <v>4</v>
      </c>
      <c r="J511" s="99">
        <v>5</v>
      </c>
      <c r="K511" s="92"/>
      <c r="L511" s="93">
        <v>6</v>
      </c>
    </row>
    <row r="512" spans="1:12">
      <c r="A512" s="12"/>
      <c r="B512" s="265">
        <f>'0422Master'!E393</f>
        <v>0</v>
      </c>
      <c r="C512" s="163"/>
      <c r="D512" s="164"/>
      <c r="E512" s="166" t="s">
        <v>363</v>
      </c>
      <c r="F512" s="164"/>
      <c r="G512" s="166" t="s">
        <v>364</v>
      </c>
      <c r="H512" s="64"/>
      <c r="I512" s="10" t="s">
        <v>365</v>
      </c>
      <c r="J512" s="264">
        <v>1</v>
      </c>
      <c r="K512" s="1221" t="s">
        <v>37</v>
      </c>
      <c r="L512" s="1222"/>
    </row>
    <row r="513" spans="1:12">
      <c r="A513" s="12"/>
      <c r="B513" s="85"/>
      <c r="C513" s="163"/>
      <c r="D513" s="164"/>
      <c r="E513" s="165"/>
      <c r="F513" s="164"/>
      <c r="G513" s="165"/>
      <c r="H513" s="64"/>
      <c r="I513" s="10"/>
      <c r="J513" s="10"/>
      <c r="K513" s="166"/>
      <c r="L513" s="64"/>
    </row>
    <row r="514" spans="1:12">
      <c r="A514" s="12"/>
      <c r="B514" s="85"/>
      <c r="C514" s="163"/>
      <c r="D514" s="164"/>
      <c r="E514" s="165"/>
      <c r="F514" s="164"/>
      <c r="G514" s="165"/>
      <c r="H514" s="64"/>
      <c r="I514" s="10"/>
      <c r="J514" s="10"/>
      <c r="K514" s="166"/>
      <c r="L514" s="64"/>
    </row>
    <row r="515" spans="1:12">
      <c r="A515" s="12"/>
      <c r="B515" s="71"/>
      <c r="C515" s="16"/>
      <c r="D515" s="72"/>
      <c r="E515" s="165"/>
      <c r="F515" s="164"/>
      <c r="G515" s="165"/>
      <c r="H515" s="64"/>
      <c r="I515" s="10"/>
      <c r="J515" s="10"/>
      <c r="K515" s="166"/>
      <c r="L515" s="64"/>
    </row>
    <row r="516" spans="1:12" ht="27.95" customHeight="1">
      <c r="A516" s="12"/>
      <c r="B516" t="s">
        <v>208</v>
      </c>
      <c r="L516" s="13"/>
    </row>
    <row r="517" spans="1:12" ht="27.95" customHeight="1">
      <c r="A517" s="12"/>
      <c r="B517" t="s">
        <v>209</v>
      </c>
      <c r="L517" s="13"/>
    </row>
    <row r="518" spans="1:12" ht="27.95" customHeight="1">
      <c r="A518" s="12"/>
      <c r="B518" t="s">
        <v>210</v>
      </c>
      <c r="L518" s="13"/>
    </row>
    <row r="519" spans="1:12" ht="27.95" customHeight="1">
      <c r="A519" s="12"/>
      <c r="I519" t="s">
        <v>211</v>
      </c>
      <c r="L519" s="13"/>
    </row>
    <row r="520" spans="1:12" ht="27.95" customHeight="1">
      <c r="A520" s="12"/>
      <c r="F520" s="153" t="s">
        <v>194</v>
      </c>
      <c r="L520" s="13"/>
    </row>
    <row r="521" spans="1:12" ht="27.95" customHeight="1">
      <c r="A521" s="12" t="s">
        <v>195</v>
      </c>
      <c r="K521" s="203">
        <f>'0422Master'!B393</f>
        <v>0</v>
      </c>
      <c r="L521" s="13"/>
    </row>
    <row r="522" spans="1:12" ht="27.95" customHeight="1">
      <c r="A522" s="12" t="s">
        <v>196</v>
      </c>
      <c r="L522" s="13"/>
    </row>
    <row r="523" spans="1:12" ht="27.95" customHeight="1">
      <c r="A523" s="12"/>
      <c r="F523" t="s">
        <v>197</v>
      </c>
      <c r="L523" s="13"/>
    </row>
    <row r="524" spans="1:12" ht="27.95" customHeight="1">
      <c r="A524" s="12" t="s">
        <v>198</v>
      </c>
      <c r="B524" t="s">
        <v>362</v>
      </c>
      <c r="F524">
        <f>'0422Master'!AP383</f>
        <v>0</v>
      </c>
      <c r="L524" s="13"/>
    </row>
    <row r="525" spans="1:12" ht="27.95" customHeight="1">
      <c r="A525" s="12" t="s">
        <v>199</v>
      </c>
      <c r="B525" s="263">
        <f>'0422Master'!N393</f>
        <v>0</v>
      </c>
      <c r="F525">
        <f>'0422Master'!AP384</f>
        <v>0</v>
      </c>
      <c r="L525" s="13"/>
    </row>
    <row r="526" spans="1:12" ht="27.95" customHeight="1" thickBot="1">
      <c r="A526" s="24"/>
      <c r="B526" s="22"/>
      <c r="C526" s="22"/>
      <c r="D526" s="22"/>
      <c r="E526" s="22"/>
      <c r="F526" s="22"/>
      <c r="G526" s="22"/>
      <c r="H526" s="22"/>
      <c r="I526" s="22"/>
      <c r="J526" s="22"/>
      <c r="K526" s="22"/>
      <c r="L526" s="23"/>
    </row>
    <row r="527" spans="1:12" ht="27.95" customHeight="1">
      <c r="A527" s="73"/>
      <c r="B527" s="1214" t="s">
        <v>182</v>
      </c>
      <c r="C527" s="1105"/>
      <c r="D527" s="1105"/>
      <c r="E527" s="1105"/>
      <c r="F527" s="1105"/>
      <c r="G527" s="1105"/>
      <c r="H527" s="1105"/>
      <c r="I527" s="1105"/>
      <c r="J527" s="1105"/>
      <c r="K527" s="1105"/>
      <c r="L527" s="1106"/>
    </row>
    <row r="528" spans="1:12" ht="27.95" customHeight="1">
      <c r="A528" s="12"/>
      <c r="B528" s="1223" t="s">
        <v>183</v>
      </c>
      <c r="C528" s="1223"/>
      <c r="D528" s="1223"/>
      <c r="E528" s="1223"/>
      <c r="F528" s="1223"/>
      <c r="G528" s="1223"/>
      <c r="H528" s="1223"/>
      <c r="I528" s="1223"/>
      <c r="J528" s="1223"/>
      <c r="K528" s="1223"/>
      <c r="L528" s="1086"/>
    </row>
    <row r="529" spans="1:12" ht="27.95" customHeight="1" thickBot="1">
      <c r="A529" s="24"/>
      <c r="B529" s="1088" t="s">
        <v>184</v>
      </c>
      <c r="C529" s="1088"/>
      <c r="D529" s="1088"/>
      <c r="E529" s="1088"/>
      <c r="F529" s="1088"/>
      <c r="G529" s="1088"/>
      <c r="H529" s="1088"/>
      <c r="I529" s="1088"/>
      <c r="J529" s="1088"/>
      <c r="K529" s="1088"/>
      <c r="L529" s="1089"/>
    </row>
    <row r="530" spans="1:12" ht="27.95" customHeight="1">
      <c r="A530" s="12"/>
      <c r="B530" s="1224" t="s">
        <v>109</v>
      </c>
      <c r="C530" s="1224"/>
      <c r="D530" s="1224"/>
      <c r="E530" s="1224"/>
      <c r="F530" s="1224"/>
      <c r="H530" s="1225" t="s">
        <v>110</v>
      </c>
      <c r="I530" s="1225"/>
      <c r="J530" s="1225"/>
      <c r="K530" s="1225"/>
      <c r="L530" s="1093"/>
    </row>
    <row r="531" spans="1:12" ht="27.95" customHeight="1" thickBot="1">
      <c r="A531" s="12"/>
      <c r="B531" s="1224"/>
      <c r="C531" s="1224"/>
      <c r="D531" s="1224"/>
      <c r="E531" s="1224"/>
      <c r="F531" s="1224"/>
      <c r="H531" s="1225"/>
      <c r="I531" s="1225"/>
      <c r="J531" s="1225"/>
      <c r="K531" s="1225"/>
      <c r="L531" s="1093"/>
    </row>
    <row r="532" spans="1:12">
      <c r="A532" s="12"/>
      <c r="B532" s="73"/>
      <c r="C532" s="74"/>
      <c r="D532" s="74"/>
      <c r="E532" s="74"/>
      <c r="F532" s="75"/>
      <c r="H532" s="73"/>
      <c r="I532" s="74"/>
      <c r="J532" s="74"/>
      <c r="K532" s="74"/>
      <c r="L532" s="75"/>
    </row>
    <row r="533" spans="1:12">
      <c r="A533" s="12"/>
      <c r="B533" s="76" t="e">
        <f>#REF!</f>
        <v>#REF!</v>
      </c>
      <c r="F533" s="13"/>
      <c r="H533" s="76" t="e">
        <f>#REF!</f>
        <v>#REF!</v>
      </c>
      <c r="L533" s="13"/>
    </row>
    <row r="534" spans="1:12">
      <c r="A534" s="12"/>
      <c r="B534" s="12"/>
      <c r="F534" s="13"/>
      <c r="H534" s="12"/>
      <c r="L534" s="13"/>
    </row>
    <row r="535" spans="1:12">
      <c r="A535" s="12"/>
      <c r="B535" s="76" t="e">
        <f>#REF!</f>
        <v>#REF!</v>
      </c>
      <c r="F535" s="13"/>
      <c r="H535" s="76" t="e">
        <f>#REF!</f>
        <v>#REF!</v>
      </c>
      <c r="L535" s="13"/>
    </row>
    <row r="536" spans="1:12" ht="15.75" thickBot="1">
      <c r="A536" s="12"/>
      <c r="B536" s="24"/>
      <c r="C536" s="22"/>
      <c r="D536" s="22"/>
      <c r="E536" s="22"/>
      <c r="F536" s="23"/>
      <c r="H536" s="24"/>
      <c r="I536" s="22"/>
      <c r="J536" s="22"/>
      <c r="K536" s="22"/>
      <c r="L536" s="23"/>
    </row>
    <row r="537" spans="1:12" ht="15" customHeight="1">
      <c r="A537" s="12"/>
      <c r="J537" t="s">
        <v>111</v>
      </c>
      <c r="L537" s="13"/>
    </row>
    <row r="538" spans="1:12">
      <c r="A538" s="12"/>
      <c r="B538" s="1226" t="s">
        <v>112</v>
      </c>
      <c r="C538" s="1226"/>
      <c r="D538" s="1226"/>
      <c r="E538" s="1226"/>
      <c r="F538" s="1226"/>
      <c r="H538" s="1226" t="s">
        <v>4</v>
      </c>
      <c r="I538" s="1226"/>
      <c r="J538" s="1226"/>
      <c r="K538" s="1226"/>
      <c r="L538" s="1096"/>
    </row>
    <row r="539" spans="1:12" ht="15.75" thickBot="1">
      <c r="A539" s="12"/>
      <c r="L539" s="13"/>
    </row>
    <row r="540" spans="1:12">
      <c r="A540" s="12"/>
      <c r="B540" s="73"/>
      <c r="C540" s="74"/>
      <c r="D540" s="74"/>
      <c r="E540" s="74"/>
      <c r="F540" s="75"/>
      <c r="H540" s="77"/>
      <c r="I540" s="78"/>
      <c r="J540" s="78"/>
      <c r="K540" s="78"/>
      <c r="L540" s="79"/>
    </row>
    <row r="541" spans="1:12">
      <c r="A541" s="12"/>
      <c r="B541" s="12"/>
      <c r="F541" s="13"/>
      <c r="H541" s="76" t="e">
        <f>#REF!</f>
        <v>#REF!</v>
      </c>
      <c r="I541" s="2"/>
      <c r="J541" s="2"/>
      <c r="K541" s="2"/>
      <c r="L541" s="80"/>
    </row>
    <row r="542" spans="1:12">
      <c r="A542" s="12"/>
      <c r="B542" s="76" t="e">
        <f>#REF!</f>
        <v>#REF!</v>
      </c>
      <c r="F542" s="13"/>
      <c r="H542" s="76"/>
      <c r="I542" s="2"/>
      <c r="J542" s="2"/>
      <c r="K542" s="2"/>
      <c r="L542" s="80"/>
    </row>
    <row r="543" spans="1:12">
      <c r="A543" s="12"/>
      <c r="B543" s="12"/>
      <c r="F543" s="13"/>
      <c r="H543" s="76" t="e">
        <f>#REF!</f>
        <v>#REF!</v>
      </c>
      <c r="I543" s="2"/>
      <c r="J543" s="2"/>
      <c r="K543" s="2"/>
      <c r="L543" s="80"/>
    </row>
    <row r="544" spans="1:12" ht="15.75" thickBot="1">
      <c r="A544" s="12"/>
      <c r="B544" s="24"/>
      <c r="C544" s="22"/>
      <c r="D544" s="22"/>
      <c r="E544" s="22"/>
      <c r="F544" s="23"/>
      <c r="H544" s="81"/>
      <c r="I544" s="82"/>
      <c r="J544" s="82"/>
      <c r="K544" s="82"/>
      <c r="L544" s="83"/>
    </row>
    <row r="545" spans="1:12">
      <c r="A545" s="84"/>
      <c r="B545" s="1213" t="s">
        <v>185</v>
      </c>
      <c r="C545" s="1213"/>
      <c r="D545" s="1213"/>
      <c r="E545" s="1213"/>
      <c r="F545" s="1213"/>
      <c r="G545" s="1213"/>
      <c r="H545" s="1233">
        <f>'0422Master'!B444</f>
        <v>0</v>
      </c>
      <c r="I545" s="1228"/>
      <c r="J545" s="1228"/>
      <c r="K545" s="1228"/>
      <c r="L545" s="1071"/>
    </row>
    <row r="546" spans="1:12">
      <c r="A546" s="84"/>
      <c r="B546" s="1234" t="s">
        <v>186</v>
      </c>
      <c r="C546" s="1234"/>
      <c r="D546" s="1234"/>
      <c r="E546" s="1234"/>
      <c r="F546" s="1234"/>
      <c r="G546" s="1234"/>
      <c r="H546" s="1233">
        <f>'0422Master'!E444</f>
        <v>0</v>
      </c>
      <c r="I546" s="1228"/>
      <c r="J546" s="1228"/>
      <c r="K546" s="1228"/>
      <c r="L546" s="1071"/>
    </row>
    <row r="547" spans="1:12">
      <c r="A547" s="84"/>
      <c r="B547" s="1213" t="s">
        <v>187</v>
      </c>
      <c r="C547" s="1213"/>
      <c r="D547" s="1213"/>
      <c r="E547" s="1213"/>
      <c r="F547" s="1213"/>
      <c r="G547" s="1213"/>
      <c r="H547" s="1233">
        <f>'0422Master'!C444</f>
        <v>0</v>
      </c>
      <c r="I547" s="1228"/>
      <c r="J547" s="1228"/>
      <c r="K547" s="1228"/>
      <c r="L547" s="1071"/>
    </row>
    <row r="548" spans="1:12">
      <c r="A548" s="84"/>
      <c r="B548" s="1213" t="s">
        <v>188</v>
      </c>
      <c r="C548" s="1213"/>
      <c r="D548" s="1213"/>
      <c r="E548" s="1213"/>
      <c r="F548" s="1213"/>
      <c r="G548" s="1213"/>
      <c r="H548" s="1227">
        <f>'0422Master'!D444</f>
        <v>0</v>
      </c>
      <c r="I548" s="1228"/>
      <c r="J548" s="1228"/>
      <c r="K548" s="1228"/>
      <c r="L548" s="1071"/>
    </row>
    <row r="549" spans="1:12">
      <c r="A549" s="84"/>
      <c r="B549" s="85" t="s">
        <v>189</v>
      </c>
      <c r="C549" s="86"/>
      <c r="D549" s="86"/>
      <c r="E549" s="86"/>
      <c r="F549" s="86"/>
      <c r="G549" s="86"/>
      <c r="H549" s="1229" t="s">
        <v>190</v>
      </c>
      <c r="I549" s="1230"/>
      <c r="J549" s="1230"/>
      <c r="K549" s="1230"/>
      <c r="L549" s="1231"/>
    </row>
    <row r="550" spans="1:12">
      <c r="A550" s="84"/>
      <c r="B550" s="85" t="s">
        <v>191</v>
      </c>
      <c r="C550" s="86"/>
      <c r="D550" s="86"/>
      <c r="E550" s="86"/>
      <c r="F550" s="86"/>
      <c r="G550" s="86"/>
      <c r="H550" s="87"/>
      <c r="I550" s="89"/>
      <c r="J550" s="152"/>
      <c r="K550" s="89"/>
      <c r="L550" s="94"/>
    </row>
    <row r="551" spans="1:12">
      <c r="A551" s="84"/>
      <c r="B551" s="1082" t="s">
        <v>192</v>
      </c>
      <c r="C551" s="1082"/>
      <c r="D551" s="1082"/>
      <c r="E551" s="1082"/>
      <c r="F551" s="1082"/>
      <c r="G551" s="1082"/>
      <c r="H551" s="1074">
        <f>'0422Master'!G444</f>
        <v>0</v>
      </c>
      <c r="I551" s="1075"/>
      <c r="J551" s="1075"/>
      <c r="K551" s="1075"/>
      <c r="L551" s="1076"/>
    </row>
    <row r="552" spans="1:12" ht="27.95" customHeight="1">
      <c r="A552" s="84"/>
      <c r="B552" s="1213"/>
      <c r="C552" s="1213"/>
      <c r="D552" s="1213"/>
      <c r="E552" s="1213"/>
      <c r="F552" s="1213"/>
      <c r="G552" s="1213"/>
      <c r="H552" s="1232">
        <f>'0422Master'!H444</f>
        <v>0</v>
      </c>
      <c r="I552" s="1228"/>
      <c r="J552" s="1228"/>
      <c r="K552" s="1228"/>
      <c r="L552" s="1071"/>
    </row>
    <row r="553" spans="1:12" ht="27.95" customHeight="1">
      <c r="A553" s="12"/>
      <c r="B553" s="1213"/>
      <c r="C553" s="1213"/>
      <c r="D553" s="1213"/>
      <c r="E553" s="1213"/>
      <c r="F553" s="1213"/>
      <c r="G553" s="1213"/>
      <c r="H553" s="1233">
        <f>'0422Master'!I444</f>
        <v>0</v>
      </c>
      <c r="I553" s="1228"/>
      <c r="J553" s="1228"/>
      <c r="K553" s="1228"/>
      <c r="L553" s="1071"/>
    </row>
    <row r="554" spans="1:12" ht="27.95" customHeight="1">
      <c r="A554" s="12"/>
      <c r="B554" s="85" t="s">
        <v>193</v>
      </c>
      <c r="C554" s="86"/>
      <c r="D554" s="86"/>
      <c r="E554" s="86"/>
      <c r="F554" s="86"/>
      <c r="G554" s="90"/>
      <c r="H554" s="1215">
        <f>'0422Master'!J444</f>
        <v>0</v>
      </c>
      <c r="I554" s="1216"/>
      <c r="J554" s="1216"/>
      <c r="K554" s="1216"/>
      <c r="L554" s="1217"/>
    </row>
    <row r="555" spans="1:12" ht="27.95" customHeight="1">
      <c r="A555" s="12"/>
      <c r="B555" s="85"/>
      <c r="C555" s="86"/>
      <c r="D555" s="86"/>
      <c r="E555" s="86"/>
      <c r="F555" s="86"/>
      <c r="G555" s="90"/>
      <c r="H555" s="1215">
        <f>'0422Master'!K444</f>
        <v>0</v>
      </c>
      <c r="I555" s="1216"/>
      <c r="J555" s="1216"/>
      <c r="K555" s="1216"/>
      <c r="L555" s="1217"/>
    </row>
    <row r="556" spans="1:12" ht="27.95" customHeight="1">
      <c r="A556" s="12"/>
      <c r="B556" s="85"/>
      <c r="C556" s="86"/>
      <c r="D556" s="86"/>
      <c r="E556" s="86"/>
      <c r="F556" s="86"/>
      <c r="G556" s="90"/>
      <c r="H556" s="1215">
        <f>'0422Master'!L444</f>
        <v>0</v>
      </c>
      <c r="I556" s="1216"/>
      <c r="J556" s="1216"/>
      <c r="K556" s="1216"/>
      <c r="L556" s="1217"/>
    </row>
    <row r="557" spans="1:12" ht="27.95" customHeight="1">
      <c r="A557" s="12"/>
      <c r="B557" s="85" t="s">
        <v>200</v>
      </c>
      <c r="C557" s="86"/>
      <c r="D557" s="86"/>
      <c r="E557" s="86"/>
      <c r="F557" s="86"/>
      <c r="G557" s="90"/>
      <c r="H557" s="87"/>
      <c r="I557" s="89"/>
      <c r="J557" s="89"/>
      <c r="K557" s="89"/>
      <c r="L557" s="94"/>
    </row>
    <row r="558" spans="1:12" ht="27.95" customHeight="1">
      <c r="A558" s="12"/>
      <c r="B558" s="96" t="s">
        <v>201</v>
      </c>
      <c r="C558" s="133"/>
      <c r="D558" s="133"/>
      <c r="E558" s="133"/>
      <c r="F558" s="133"/>
      <c r="G558" s="134"/>
      <c r="H558" s="135"/>
      <c r="I558" s="136"/>
      <c r="J558" s="137"/>
      <c r="K558" s="136"/>
      <c r="L558" s="138"/>
    </row>
    <row r="559" spans="1:12" ht="27.95" customHeight="1">
      <c r="A559" s="12"/>
      <c r="B559" s="85" t="s">
        <v>204</v>
      </c>
      <c r="C559" s="86"/>
      <c r="D559" s="89"/>
      <c r="E559" s="145" t="s">
        <v>206</v>
      </c>
      <c r="F559" s="64"/>
      <c r="G559" s="1218" t="s">
        <v>205</v>
      </c>
      <c r="H559" s="1219"/>
      <c r="I559" s="149" t="s">
        <v>202</v>
      </c>
      <c r="J559" s="147" t="s">
        <v>207</v>
      </c>
      <c r="K559" s="1218" t="s">
        <v>203</v>
      </c>
      <c r="L559" s="1220"/>
    </row>
    <row r="560" spans="1:12" ht="27.95" customHeight="1">
      <c r="A560" s="12"/>
      <c r="B560" s="148">
        <v>1</v>
      </c>
      <c r="C560" s="86"/>
      <c r="D560" s="86"/>
      <c r="E560" s="151">
        <v>2</v>
      </c>
      <c r="F560" s="90"/>
      <c r="G560" s="151">
        <v>3</v>
      </c>
      <c r="H560" s="167"/>
      <c r="I560" s="167">
        <v>4</v>
      </c>
      <c r="J560" s="99">
        <v>5</v>
      </c>
      <c r="K560" s="92"/>
      <c r="L560" s="93">
        <v>6</v>
      </c>
    </row>
    <row r="561" spans="1:12" ht="27.95" customHeight="1">
      <c r="A561" s="12"/>
      <c r="B561" s="265">
        <f>'0422Master'!E444</f>
        <v>0</v>
      </c>
      <c r="C561" s="163"/>
      <c r="D561" s="164"/>
      <c r="E561" s="166" t="s">
        <v>363</v>
      </c>
      <c r="F561" s="164"/>
      <c r="G561" s="166" t="s">
        <v>364</v>
      </c>
      <c r="H561" s="64"/>
      <c r="I561" s="10" t="s">
        <v>365</v>
      </c>
      <c r="J561" s="264">
        <v>1</v>
      </c>
      <c r="K561" s="1221" t="s">
        <v>37</v>
      </c>
      <c r="L561" s="1237"/>
    </row>
    <row r="562" spans="1:12" ht="27.95" customHeight="1">
      <c r="A562" s="12"/>
      <c r="B562" s="85"/>
      <c r="C562" s="163"/>
      <c r="D562" s="164"/>
      <c r="E562" s="165"/>
      <c r="F562" s="164"/>
      <c r="G562" s="165"/>
      <c r="H562" s="64"/>
      <c r="I562" s="10"/>
      <c r="J562" s="10"/>
      <c r="K562" s="166"/>
      <c r="L562" s="171"/>
    </row>
    <row r="563" spans="1:12" ht="27.95" customHeight="1">
      <c r="A563" s="12"/>
      <c r="B563" s="85"/>
      <c r="C563" s="163"/>
      <c r="D563" s="164"/>
      <c r="E563" s="165"/>
      <c r="F563" s="164"/>
      <c r="G563" s="165"/>
      <c r="H563" s="64"/>
      <c r="I563" s="10"/>
      <c r="J563" s="10"/>
      <c r="K563" s="166"/>
      <c r="L563" s="171"/>
    </row>
    <row r="564" spans="1:12" ht="27.95" customHeight="1">
      <c r="A564" s="12"/>
      <c r="B564" s="71"/>
      <c r="C564" s="16"/>
      <c r="D564" s="72"/>
      <c r="E564" s="165"/>
      <c r="F564" s="164"/>
      <c r="G564" s="165"/>
      <c r="H564" s="64"/>
      <c r="I564" s="10"/>
      <c r="J564" s="10"/>
      <c r="K564" s="166"/>
      <c r="L564" s="171"/>
    </row>
    <row r="565" spans="1:12" ht="27.95" customHeight="1">
      <c r="A565" s="12"/>
      <c r="B565" t="s">
        <v>208</v>
      </c>
      <c r="L565" s="13"/>
    </row>
    <row r="566" spans="1:12" ht="27.95" customHeight="1">
      <c r="A566" s="12"/>
      <c r="B566" t="s">
        <v>209</v>
      </c>
      <c r="L566" s="13"/>
    </row>
    <row r="567" spans="1:12" ht="27.95" customHeight="1">
      <c r="A567" s="12"/>
      <c r="B567" t="s">
        <v>210</v>
      </c>
      <c r="L567" s="13"/>
    </row>
    <row r="568" spans="1:12" ht="27.95" customHeight="1">
      <c r="A568" s="12"/>
      <c r="I568" t="s">
        <v>211</v>
      </c>
      <c r="L568" s="13"/>
    </row>
    <row r="569" spans="1:12" ht="27.95" customHeight="1">
      <c r="A569" s="12"/>
      <c r="F569" s="153" t="s">
        <v>194</v>
      </c>
      <c r="L569" s="13"/>
    </row>
    <row r="570" spans="1:12">
      <c r="A570" s="12" t="s">
        <v>195</v>
      </c>
      <c r="K570" s="203">
        <f>'0422Master'!B444</f>
        <v>0</v>
      </c>
      <c r="L570" s="13"/>
    </row>
    <row r="571" spans="1:12">
      <c r="A571" s="12" t="s">
        <v>196</v>
      </c>
      <c r="L571" s="13"/>
    </row>
    <row r="572" spans="1:12">
      <c r="A572" s="12"/>
      <c r="L572" s="13"/>
    </row>
    <row r="573" spans="1:12">
      <c r="A573" s="12"/>
      <c r="L573" s="13"/>
    </row>
    <row r="574" spans="1:12">
      <c r="A574" s="12"/>
      <c r="F574" t="s">
        <v>197</v>
      </c>
      <c r="L574" s="13"/>
    </row>
    <row r="575" spans="1:12">
      <c r="A575" s="12" t="s">
        <v>198</v>
      </c>
      <c r="B575" t="s">
        <v>362</v>
      </c>
      <c r="F575">
        <f>'0422Master'!AP434</f>
        <v>0</v>
      </c>
      <c r="L575" s="13"/>
    </row>
    <row r="576" spans="1:12" ht="15" customHeight="1">
      <c r="A576" s="12" t="s">
        <v>199</v>
      </c>
      <c r="B576" s="263">
        <f>'0422Master'!N444</f>
        <v>0</v>
      </c>
      <c r="F576">
        <f>'0422Master'!AP435</f>
        <v>0</v>
      </c>
      <c r="L576" s="13"/>
    </row>
    <row r="577" spans="1:12" ht="15.75" thickBot="1">
      <c r="A577" s="24"/>
      <c r="B577" s="22"/>
      <c r="C577" s="22"/>
      <c r="D577" s="22"/>
      <c r="E577" s="22"/>
      <c r="F577" s="22"/>
      <c r="G577" s="22"/>
      <c r="H577" s="22"/>
      <c r="I577" s="22"/>
      <c r="J577" s="22"/>
      <c r="K577" s="22"/>
      <c r="L577" s="23"/>
    </row>
    <row r="579" spans="1:12">
      <c r="B579" s="2"/>
      <c r="H579" s="2"/>
    </row>
    <row r="581" spans="1:12">
      <c r="B581" s="2"/>
      <c r="H581" s="2"/>
    </row>
    <row r="584" spans="1:12">
      <c r="B584" s="1226"/>
      <c r="C584" s="1226"/>
      <c r="D584" s="1226"/>
      <c r="E584" s="1226"/>
      <c r="F584" s="1226"/>
      <c r="H584" s="1226"/>
      <c r="I584" s="1226"/>
      <c r="J584" s="1226"/>
      <c r="K584" s="1226"/>
      <c r="L584" s="1226"/>
    </row>
    <row r="586" spans="1:12">
      <c r="H586" s="2"/>
      <c r="I586" s="2"/>
      <c r="J586" s="2"/>
      <c r="K586" s="2"/>
      <c r="L586" s="2"/>
    </row>
    <row r="587" spans="1:12">
      <c r="H587" s="2"/>
      <c r="I587" s="2"/>
      <c r="J587" s="2"/>
      <c r="K587" s="2"/>
      <c r="L587" s="2"/>
    </row>
    <row r="588" spans="1:12">
      <c r="B588" s="2"/>
      <c r="H588" s="2"/>
      <c r="I588" s="2"/>
      <c r="J588" s="2"/>
      <c r="K588" s="2"/>
      <c r="L588" s="2"/>
    </row>
    <row r="589" spans="1:12">
      <c r="H589" s="2"/>
      <c r="I589" s="2"/>
      <c r="J589" s="2"/>
      <c r="K589" s="2"/>
      <c r="L589" s="2"/>
    </row>
    <row r="590" spans="1:12">
      <c r="H590" s="2"/>
      <c r="I590" s="2"/>
      <c r="J590" s="2"/>
      <c r="K590" s="2"/>
      <c r="L590" s="2"/>
    </row>
    <row r="591" spans="1:12" ht="27.95" customHeight="1">
      <c r="A591" s="9"/>
      <c r="B591" s="1238"/>
      <c r="C591" s="1238"/>
      <c r="D591" s="1238"/>
      <c r="E591" s="1238"/>
      <c r="F591" s="1238"/>
      <c r="G591" s="1238"/>
      <c r="H591" s="1235"/>
      <c r="I591" s="1236"/>
      <c r="J591" s="1236"/>
      <c r="K591" s="1236"/>
      <c r="L591" s="1236"/>
    </row>
    <row r="592" spans="1:12" ht="27.95" customHeight="1">
      <c r="A592" s="9"/>
      <c r="B592" s="1225"/>
      <c r="C592" s="1225"/>
      <c r="D592" s="1225"/>
      <c r="E592" s="1225"/>
      <c r="F592" s="1225"/>
      <c r="G592" s="1225"/>
      <c r="H592" s="1235"/>
      <c r="I592" s="1236"/>
      <c r="J592" s="1236"/>
      <c r="K592" s="1236"/>
      <c r="L592" s="1236"/>
    </row>
    <row r="593" spans="1:12" ht="27.95" customHeight="1">
      <c r="A593" s="9"/>
      <c r="B593" s="1238"/>
      <c r="C593" s="1238"/>
      <c r="D593" s="1238"/>
      <c r="E593" s="1238"/>
      <c r="F593" s="1238"/>
      <c r="G593" s="1238"/>
      <c r="H593" s="1235"/>
      <c r="I593" s="1236"/>
      <c r="J593" s="1236"/>
      <c r="K593" s="1236"/>
      <c r="L593" s="1236"/>
    </row>
    <row r="594" spans="1:12" ht="27.95" customHeight="1">
      <c r="A594" s="9"/>
      <c r="B594" s="1238"/>
      <c r="C594" s="1238"/>
      <c r="D594" s="1238"/>
      <c r="E594" s="1238"/>
      <c r="F594" s="1238"/>
      <c r="G594" s="1238"/>
      <c r="H594" s="1239"/>
      <c r="I594" s="1236"/>
      <c r="J594" s="1236"/>
      <c r="K594" s="1236"/>
      <c r="L594" s="1236"/>
    </row>
    <row r="595" spans="1:12" ht="27.95" customHeight="1">
      <c r="A595" s="9"/>
      <c r="B595" s="154"/>
      <c r="C595" s="150"/>
      <c r="D595" s="150"/>
      <c r="E595" s="150"/>
      <c r="F595" s="150"/>
      <c r="G595" s="150"/>
      <c r="H595" s="139"/>
      <c r="I595" s="9"/>
      <c r="J595" s="223"/>
      <c r="K595" s="139"/>
      <c r="L595" s="139"/>
    </row>
    <row r="596" spans="1:12" ht="27.95" customHeight="1">
      <c r="A596" s="9"/>
      <c r="B596" s="154"/>
      <c r="C596" s="150"/>
      <c r="D596" s="150"/>
      <c r="E596" s="150"/>
      <c r="F596" s="150"/>
      <c r="G596" s="150"/>
      <c r="H596" s="139"/>
      <c r="I596" s="139"/>
      <c r="J596" s="223"/>
      <c r="K596" s="139"/>
      <c r="L596" s="139"/>
    </row>
    <row r="597" spans="1:12" ht="27.95" customHeight="1">
      <c r="A597" s="9"/>
      <c r="B597" s="1225"/>
      <c r="C597" s="1225"/>
      <c r="D597" s="1225"/>
      <c r="E597" s="1225"/>
      <c r="F597" s="1225"/>
      <c r="G597" s="1225"/>
      <c r="H597" s="1235"/>
      <c r="I597" s="1236"/>
      <c r="J597" s="1236"/>
      <c r="K597" s="1236"/>
      <c r="L597" s="1236"/>
    </row>
    <row r="598" spans="1:12" ht="27.95" customHeight="1">
      <c r="A598" s="9"/>
      <c r="B598" s="1238"/>
      <c r="C598" s="1238"/>
      <c r="D598" s="1238"/>
      <c r="E598" s="1238"/>
      <c r="F598" s="1238"/>
      <c r="G598" s="1238"/>
      <c r="H598" s="1241"/>
      <c r="I598" s="1236"/>
      <c r="J598" s="1236"/>
      <c r="K598" s="1236"/>
      <c r="L598" s="1236"/>
    </row>
    <row r="599" spans="1:12" ht="27.95" customHeight="1">
      <c r="B599" s="1238"/>
      <c r="C599" s="1238"/>
      <c r="D599" s="1238"/>
      <c r="E599" s="1238"/>
      <c r="F599" s="1238"/>
      <c r="G599" s="1238"/>
      <c r="H599" s="1236"/>
      <c r="I599" s="1236"/>
      <c r="J599" s="1236"/>
      <c r="K599" s="1236"/>
      <c r="L599" s="1236"/>
    </row>
    <row r="600" spans="1:12" ht="27.95" customHeight="1">
      <c r="B600" s="154"/>
      <c r="C600" s="150"/>
      <c r="D600" s="150"/>
      <c r="E600" s="150"/>
      <c r="F600" s="150"/>
      <c r="G600" s="150"/>
      <c r="H600" s="139"/>
      <c r="I600" s="139"/>
      <c r="J600" s="139"/>
      <c r="K600" s="139"/>
      <c r="L600" s="139"/>
    </row>
    <row r="601" spans="1:12" ht="27.95" customHeight="1">
      <c r="B601" s="154"/>
      <c r="C601" s="150"/>
      <c r="D601" s="150"/>
      <c r="E601" s="150"/>
      <c r="F601" s="150"/>
      <c r="G601" s="150"/>
      <c r="H601" s="139"/>
      <c r="I601" s="139"/>
      <c r="J601" s="139"/>
      <c r="K601" s="139"/>
      <c r="L601" s="139"/>
    </row>
    <row r="602" spans="1:12" ht="27.95" customHeight="1">
      <c r="B602" s="154"/>
      <c r="C602" s="150"/>
      <c r="D602" s="150"/>
      <c r="E602" s="150"/>
      <c r="F602" s="150"/>
      <c r="G602" s="150"/>
      <c r="H602" s="139"/>
      <c r="I602" s="139"/>
      <c r="J602" s="140"/>
      <c r="K602" s="139"/>
      <c r="L602" s="139"/>
    </row>
    <row r="603" spans="1:12" ht="27.95" customHeight="1">
      <c r="B603" s="154"/>
      <c r="C603" s="150"/>
      <c r="D603" s="150"/>
      <c r="E603" s="150"/>
      <c r="F603" s="150"/>
      <c r="G603" s="150"/>
      <c r="H603" s="139"/>
      <c r="I603" s="139"/>
      <c r="J603" s="139"/>
      <c r="K603" s="139"/>
      <c r="L603" s="139"/>
    </row>
    <row r="604" spans="1:12" ht="27.95" customHeight="1">
      <c r="B604" s="154"/>
      <c r="C604" s="150"/>
      <c r="D604" s="150"/>
      <c r="E604" s="150"/>
      <c r="F604" s="150"/>
      <c r="G604" s="150"/>
      <c r="H604" s="139"/>
      <c r="I604" s="139"/>
      <c r="J604" s="140"/>
      <c r="K604" s="139"/>
      <c r="L604" s="139"/>
    </row>
    <row r="605" spans="1:12" ht="27.95" customHeight="1">
      <c r="B605" s="154"/>
      <c r="C605" s="150"/>
      <c r="D605" s="139"/>
      <c r="E605" s="140"/>
      <c r="F605" s="139"/>
      <c r="G605" s="140"/>
      <c r="H605" s="139"/>
      <c r="I605" s="140"/>
      <c r="J605" s="139"/>
      <c r="K605" s="140"/>
      <c r="L605" s="140"/>
    </row>
    <row r="606" spans="1:12" ht="27.95" customHeight="1">
      <c r="B606" s="154"/>
      <c r="C606" s="150"/>
      <c r="D606" s="150"/>
      <c r="E606" s="150"/>
      <c r="F606" s="150"/>
      <c r="G606" s="150"/>
      <c r="H606" s="139"/>
      <c r="I606" s="139"/>
      <c r="J606" s="224"/>
      <c r="K606" s="139"/>
      <c r="L606" s="139"/>
    </row>
    <row r="607" spans="1:12" ht="27.95" customHeight="1">
      <c r="B607" s="154"/>
      <c r="C607" s="2"/>
      <c r="D607" s="2"/>
      <c r="E607" s="2"/>
      <c r="F607" s="2"/>
      <c r="G607" s="2"/>
    </row>
    <row r="608" spans="1:12" ht="27.95" customHeight="1">
      <c r="B608" s="154"/>
      <c r="C608" s="2"/>
      <c r="D608" s="2"/>
      <c r="E608" s="2"/>
      <c r="F608" s="2"/>
      <c r="G608" s="2"/>
    </row>
    <row r="611" spans="2:12" ht="32.25">
      <c r="B611" s="1242"/>
      <c r="C611" s="1152"/>
      <c r="D611" s="1152"/>
      <c r="E611" s="1152"/>
      <c r="F611" s="1152"/>
      <c r="G611" s="1152"/>
      <c r="H611" s="1152"/>
      <c r="I611" s="1152"/>
      <c r="J611" s="1152"/>
      <c r="K611" s="1152"/>
      <c r="L611" s="1152"/>
    </row>
    <row r="612" spans="2:12" ht="23.25">
      <c r="B612" s="1223"/>
      <c r="C612" s="1223"/>
      <c r="D612" s="1223"/>
      <c r="E612" s="1223"/>
      <c r="F612" s="1223"/>
      <c r="G612" s="1223"/>
      <c r="H612" s="1223"/>
      <c r="I612" s="1223"/>
      <c r="J612" s="1223"/>
      <c r="K612" s="1223"/>
      <c r="L612" s="1223"/>
    </row>
    <row r="613" spans="2:12" ht="15.75">
      <c r="B613" s="1240"/>
      <c r="C613" s="1240"/>
      <c r="D613" s="1240"/>
      <c r="E613" s="1240"/>
      <c r="F613" s="1240"/>
      <c r="G613" s="1240"/>
      <c r="H613" s="1240"/>
      <c r="I613" s="1240"/>
      <c r="J613" s="1240"/>
      <c r="K613" s="1240"/>
      <c r="L613" s="1240"/>
    </row>
    <row r="614" spans="2:12" ht="15" customHeight="1">
      <c r="B614" s="1224"/>
      <c r="C614" s="1224"/>
      <c r="D614" s="1224"/>
      <c r="E614" s="1224"/>
      <c r="F614" s="1224"/>
      <c r="H614" s="1225"/>
      <c r="I614" s="1225"/>
      <c r="J614" s="1225"/>
      <c r="K614" s="1225"/>
      <c r="L614" s="1225"/>
    </row>
    <row r="615" spans="2:12">
      <c r="B615" s="1224"/>
      <c r="C615" s="1224"/>
      <c r="D615" s="1224"/>
      <c r="E615" s="1224"/>
      <c r="F615" s="1224"/>
      <c r="H615" s="1225"/>
      <c r="I615" s="1225"/>
      <c r="J615" s="1225"/>
      <c r="K615" s="1225"/>
      <c r="L615" s="1225"/>
    </row>
    <row r="617" spans="2:12">
      <c r="B617" s="2"/>
      <c r="H617" s="2"/>
    </row>
    <row r="619" spans="2:12">
      <c r="B619" s="2"/>
      <c r="H619" s="2"/>
    </row>
    <row r="622" spans="2:12">
      <c r="B622" s="1226"/>
      <c r="C622" s="1226"/>
      <c r="D622" s="1226"/>
      <c r="E622" s="1226"/>
      <c r="F622" s="1226"/>
      <c r="H622" s="1226"/>
      <c r="I622" s="1226"/>
      <c r="J622" s="1226"/>
      <c r="K622" s="1226"/>
      <c r="L622" s="1226"/>
    </row>
    <row r="624" spans="2:12">
      <c r="H624" s="2"/>
      <c r="I624" s="2"/>
      <c r="J624" s="2"/>
      <c r="K624" s="2"/>
      <c r="L624" s="2"/>
    </row>
    <row r="625" spans="1:12">
      <c r="H625" s="2"/>
      <c r="I625" s="2"/>
      <c r="J625" s="2"/>
      <c r="K625" s="2"/>
      <c r="L625" s="2"/>
    </row>
    <row r="626" spans="1:12">
      <c r="B626" s="2"/>
      <c r="H626" s="2"/>
      <c r="I626" s="2"/>
      <c r="J626" s="2"/>
      <c r="K626" s="2"/>
      <c r="L626" s="2"/>
    </row>
    <row r="627" spans="1:12">
      <c r="H627" s="2"/>
      <c r="I627" s="2"/>
      <c r="J627" s="2"/>
      <c r="K627" s="2"/>
      <c r="L627" s="2"/>
    </row>
    <row r="628" spans="1:12">
      <c r="H628" s="2"/>
      <c r="I628" s="2"/>
      <c r="J628" s="2"/>
      <c r="K628" s="2"/>
      <c r="L628" s="2"/>
    </row>
    <row r="629" spans="1:12" ht="27.95" customHeight="1">
      <c r="A629" s="9"/>
      <c r="B629" s="1238"/>
      <c r="C629" s="1238"/>
      <c r="D629" s="1238"/>
      <c r="E629" s="1238"/>
      <c r="F629" s="1238"/>
      <c r="G629" s="1238"/>
      <c r="H629" s="1235"/>
      <c r="I629" s="1236"/>
      <c r="J629" s="1236"/>
      <c r="K629" s="1236"/>
      <c r="L629" s="1236"/>
    </row>
    <row r="630" spans="1:12" ht="27.95" customHeight="1">
      <c r="A630" s="9"/>
      <c r="B630" s="1225"/>
      <c r="C630" s="1225"/>
      <c r="D630" s="1225"/>
      <c r="E630" s="1225"/>
      <c r="F630" s="1225"/>
      <c r="G630" s="1225"/>
      <c r="H630" s="1235"/>
      <c r="I630" s="1236"/>
      <c r="J630" s="1236"/>
      <c r="K630" s="1236"/>
      <c r="L630" s="1236"/>
    </row>
    <row r="631" spans="1:12" ht="27.95" customHeight="1">
      <c r="A631" s="9"/>
      <c r="B631" s="1238"/>
      <c r="C631" s="1238"/>
      <c r="D631" s="1238"/>
      <c r="E631" s="1238"/>
      <c r="F631" s="1238"/>
      <c r="G631" s="1238"/>
      <c r="H631" s="1235"/>
      <c r="I631" s="1236"/>
      <c r="J631" s="1236"/>
      <c r="K631" s="1236"/>
      <c r="L631" s="1236"/>
    </row>
    <row r="632" spans="1:12" ht="27.95" customHeight="1">
      <c r="A632" s="9"/>
      <c r="B632" s="1238"/>
      <c r="C632" s="1238"/>
      <c r="D632" s="1238"/>
      <c r="E632" s="1238"/>
      <c r="F632" s="1238"/>
      <c r="G632" s="1238"/>
      <c r="H632" s="1239"/>
      <c r="I632" s="1236"/>
      <c r="J632" s="1236"/>
      <c r="K632" s="1236"/>
      <c r="L632" s="1236"/>
    </row>
    <row r="633" spans="1:12" ht="27.95" customHeight="1">
      <c r="A633" s="9"/>
      <c r="B633" s="154"/>
      <c r="C633" s="150"/>
      <c r="D633" s="150"/>
      <c r="E633" s="150"/>
      <c r="F633" s="150"/>
      <c r="G633" s="150"/>
      <c r="H633" s="139"/>
      <c r="I633" s="9"/>
      <c r="J633" s="223"/>
      <c r="K633" s="139"/>
      <c r="L633" s="139"/>
    </row>
    <row r="634" spans="1:12" ht="27.95" customHeight="1">
      <c r="A634" s="9"/>
      <c r="B634" s="154"/>
      <c r="C634" s="150"/>
      <c r="D634" s="150"/>
      <c r="E634" s="150"/>
      <c r="F634" s="150"/>
      <c r="G634" s="150"/>
      <c r="H634" s="139"/>
      <c r="I634" s="139"/>
      <c r="J634" s="223"/>
      <c r="K634" s="139"/>
      <c r="L634" s="139"/>
    </row>
    <row r="635" spans="1:12" ht="27.95" customHeight="1">
      <c r="A635" s="9"/>
      <c r="B635" s="1225"/>
      <c r="C635" s="1225"/>
      <c r="D635" s="1225"/>
      <c r="E635" s="1225"/>
      <c r="F635" s="1225"/>
      <c r="G635" s="1225"/>
      <c r="H635" s="1235"/>
      <c r="I635" s="1236"/>
      <c r="J635" s="1236"/>
      <c r="K635" s="1236"/>
      <c r="L635" s="1236"/>
    </row>
    <row r="636" spans="1:12" ht="27.95" customHeight="1">
      <c r="A636" s="9"/>
      <c r="B636" s="1238"/>
      <c r="C636" s="1238"/>
      <c r="D636" s="1238"/>
      <c r="E636" s="1238"/>
      <c r="F636" s="1238"/>
      <c r="G636" s="1238"/>
      <c r="H636" s="1241"/>
      <c r="I636" s="1236"/>
      <c r="J636" s="1236"/>
      <c r="K636" s="1236"/>
      <c r="L636" s="1236"/>
    </row>
    <row r="637" spans="1:12" ht="27.95" customHeight="1">
      <c r="B637" s="1238"/>
      <c r="C637" s="1238"/>
      <c r="D637" s="1238"/>
      <c r="E637" s="1238"/>
      <c r="F637" s="1238"/>
      <c r="G637" s="1238"/>
      <c r="H637" s="1236"/>
      <c r="I637" s="1236"/>
      <c r="J637" s="1236"/>
      <c r="K637" s="1236"/>
      <c r="L637" s="1236"/>
    </row>
    <row r="638" spans="1:12" ht="27.95" customHeight="1">
      <c r="B638" s="154"/>
      <c r="C638" s="150"/>
      <c r="D638" s="150"/>
      <c r="E638" s="150"/>
      <c r="F638" s="150"/>
      <c r="G638" s="150"/>
      <c r="H638" s="139"/>
      <c r="I638" s="139"/>
      <c r="J638" s="139"/>
      <c r="K638" s="139"/>
      <c r="L638" s="139"/>
    </row>
    <row r="639" spans="1:12" ht="27.95" customHeight="1">
      <c r="B639" s="154"/>
      <c r="C639" s="150"/>
      <c r="D639" s="150"/>
      <c r="E639" s="150"/>
      <c r="F639" s="150"/>
      <c r="G639" s="150"/>
      <c r="H639" s="139"/>
      <c r="I639" s="139"/>
      <c r="J639" s="139"/>
      <c r="K639" s="139"/>
      <c r="L639" s="139"/>
    </row>
    <row r="640" spans="1:12" ht="27.95" customHeight="1">
      <c r="B640" s="154"/>
      <c r="C640" s="150"/>
      <c r="D640" s="150"/>
      <c r="E640" s="150"/>
      <c r="F640" s="150"/>
      <c r="G640" s="150"/>
      <c r="H640" s="139"/>
      <c r="I640" s="139"/>
      <c r="J640" s="140"/>
      <c r="K640" s="139"/>
      <c r="L640" s="139"/>
    </row>
    <row r="641" spans="2:12" ht="27.95" customHeight="1">
      <c r="B641" s="154"/>
      <c r="C641" s="150"/>
      <c r="D641" s="150"/>
      <c r="E641" s="150"/>
      <c r="F641" s="150"/>
      <c r="G641" s="150"/>
      <c r="H641" s="139"/>
      <c r="I641" s="139"/>
      <c r="J641" s="139"/>
      <c r="K641" s="139"/>
      <c r="L641" s="139"/>
    </row>
    <row r="642" spans="2:12" ht="27.95" customHeight="1">
      <c r="B642" s="154"/>
      <c r="C642" s="150"/>
      <c r="D642" s="150"/>
      <c r="E642" s="150"/>
      <c r="F642" s="150"/>
      <c r="G642" s="150"/>
      <c r="H642" s="139"/>
      <c r="I642" s="139"/>
      <c r="J642" s="140"/>
      <c r="K642" s="139"/>
      <c r="L642" s="139"/>
    </row>
    <row r="643" spans="2:12" ht="27.95" customHeight="1">
      <c r="B643" s="154"/>
      <c r="C643" s="150"/>
      <c r="D643" s="139"/>
      <c r="E643" s="140"/>
      <c r="F643" s="139"/>
      <c r="G643" s="140"/>
      <c r="H643" s="139"/>
      <c r="I643" s="140"/>
      <c r="J643" s="139"/>
      <c r="K643" s="140"/>
      <c r="L643" s="140"/>
    </row>
    <row r="644" spans="2:12" ht="27.95" customHeight="1">
      <c r="B644" s="154"/>
      <c r="C644" s="150"/>
      <c r="D644" s="150"/>
      <c r="E644" s="150"/>
      <c r="F644" s="150"/>
      <c r="G644" s="150"/>
      <c r="H644" s="139"/>
      <c r="I644" s="139"/>
      <c r="J644" s="224"/>
      <c r="K644" s="139"/>
      <c r="L644" s="139"/>
    </row>
    <row r="645" spans="2:12" ht="27.95" customHeight="1">
      <c r="B645" s="154"/>
      <c r="C645" s="2"/>
      <c r="D645" s="2"/>
      <c r="E645" s="2"/>
      <c r="F645" s="2"/>
      <c r="G645" s="2"/>
    </row>
    <row r="646" spans="2:12" ht="27.95" customHeight="1">
      <c r="B646" s="154"/>
      <c r="C646" s="2"/>
      <c r="D646" s="2"/>
      <c r="E646" s="2"/>
      <c r="F646" s="2"/>
      <c r="G646" s="2"/>
    </row>
    <row r="650" spans="2:12" ht="32.25">
      <c r="B650" s="1242"/>
      <c r="C650" s="1152"/>
      <c r="D650" s="1152"/>
      <c r="E650" s="1152"/>
      <c r="F650" s="1152"/>
      <c r="G650" s="1152"/>
      <c r="H650" s="1152"/>
      <c r="I650" s="1152"/>
      <c r="J650" s="1152"/>
      <c r="K650" s="1152"/>
      <c r="L650" s="1152"/>
    </row>
    <row r="651" spans="2:12" ht="23.25">
      <c r="B651" s="1223"/>
      <c r="C651" s="1223"/>
      <c r="D651" s="1223"/>
      <c r="E651" s="1223"/>
      <c r="F651" s="1223"/>
      <c r="G651" s="1223"/>
      <c r="H651" s="1223"/>
      <c r="I651" s="1223"/>
      <c r="J651" s="1223"/>
      <c r="K651" s="1223"/>
      <c r="L651" s="1223"/>
    </row>
    <row r="652" spans="2:12" ht="15.75">
      <c r="B652" s="1240"/>
      <c r="C652" s="1240"/>
      <c r="D652" s="1240"/>
      <c r="E652" s="1240"/>
      <c r="F652" s="1240"/>
      <c r="G652" s="1240"/>
      <c r="H652" s="1240"/>
      <c r="I652" s="1240"/>
      <c r="J652" s="1240"/>
      <c r="K652" s="1240"/>
      <c r="L652" s="1240"/>
    </row>
    <row r="653" spans="2:12" ht="15" customHeight="1">
      <c r="B653" s="1224"/>
      <c r="C653" s="1224"/>
      <c r="D653" s="1224"/>
      <c r="E653" s="1224"/>
      <c r="F653" s="1224"/>
      <c r="H653" s="1225"/>
      <c r="I653" s="1225"/>
      <c r="J653" s="1225"/>
      <c r="K653" s="1225"/>
      <c r="L653" s="1225"/>
    </row>
    <row r="654" spans="2:12">
      <c r="B654" s="1224"/>
      <c r="C654" s="1224"/>
      <c r="D654" s="1224"/>
      <c r="E654" s="1224"/>
      <c r="F654" s="1224"/>
      <c r="H654" s="1225"/>
      <c r="I654" s="1225"/>
      <c r="J654" s="1225"/>
      <c r="K654" s="1225"/>
      <c r="L654" s="1225"/>
    </row>
    <row r="656" spans="2:12">
      <c r="B656" s="2"/>
      <c r="H656" s="2"/>
    </row>
    <row r="658" spans="1:12">
      <c r="B658" s="2"/>
      <c r="H658" s="2"/>
    </row>
    <row r="661" spans="1:12">
      <c r="B661" s="1226"/>
      <c r="C661" s="1226"/>
      <c r="D661" s="1226"/>
      <c r="E661" s="1226"/>
      <c r="F661" s="1226"/>
      <c r="H661" s="1226"/>
      <c r="I661" s="1226"/>
      <c r="J661" s="1226"/>
      <c r="K661" s="1226"/>
      <c r="L661" s="1226"/>
    </row>
    <row r="663" spans="1:12">
      <c r="H663" s="2"/>
      <c r="I663" s="2"/>
      <c r="J663" s="2"/>
      <c r="K663" s="2"/>
      <c r="L663" s="2"/>
    </row>
    <row r="664" spans="1:12">
      <c r="H664" s="2"/>
      <c r="I664" s="2"/>
      <c r="J664" s="2"/>
      <c r="K664" s="2"/>
      <c r="L664" s="2"/>
    </row>
    <row r="665" spans="1:12">
      <c r="B665" s="2"/>
      <c r="H665" s="2"/>
      <c r="I665" s="2"/>
      <c r="J665" s="2"/>
      <c r="K665" s="2"/>
      <c r="L665" s="2"/>
    </row>
    <row r="666" spans="1:12">
      <c r="H666" s="2"/>
      <c r="I666" s="2"/>
      <c r="J666" s="2"/>
      <c r="K666" s="2"/>
      <c r="L666" s="2"/>
    </row>
    <row r="667" spans="1:12">
      <c r="H667" s="2"/>
      <c r="I667" s="2"/>
      <c r="J667" s="2"/>
      <c r="K667" s="2"/>
      <c r="L667" s="2"/>
    </row>
    <row r="668" spans="1:12" ht="27.95" customHeight="1">
      <c r="A668" s="9"/>
      <c r="B668" s="1238"/>
      <c r="C668" s="1238"/>
      <c r="D668" s="1238"/>
      <c r="E668" s="1238"/>
      <c r="F668" s="1238"/>
      <c r="G668" s="1238"/>
      <c r="H668" s="1235"/>
      <c r="I668" s="1236"/>
      <c r="J668" s="1236"/>
      <c r="K668" s="1236"/>
      <c r="L668" s="1236"/>
    </row>
    <row r="669" spans="1:12" ht="27.95" customHeight="1">
      <c r="A669" s="9"/>
      <c r="B669" s="1225"/>
      <c r="C669" s="1225"/>
      <c r="D669" s="1225"/>
      <c r="E669" s="1225"/>
      <c r="F669" s="1225"/>
      <c r="G669" s="1225"/>
      <c r="H669" s="1235"/>
      <c r="I669" s="1236"/>
      <c r="J669" s="1236"/>
      <c r="K669" s="1236"/>
      <c r="L669" s="1236"/>
    </row>
    <row r="670" spans="1:12" ht="27.95" customHeight="1">
      <c r="A670" s="9"/>
      <c r="B670" s="1238"/>
      <c r="C670" s="1238"/>
      <c r="D670" s="1238"/>
      <c r="E670" s="1238"/>
      <c r="F670" s="1238"/>
      <c r="G670" s="1238"/>
      <c r="H670" s="1235"/>
      <c r="I670" s="1236"/>
      <c r="J670" s="1236"/>
      <c r="K670" s="1236"/>
      <c r="L670" s="1236"/>
    </row>
    <row r="671" spans="1:12" ht="27.95" customHeight="1">
      <c r="A671" s="9"/>
      <c r="B671" s="1238"/>
      <c r="C671" s="1238"/>
      <c r="D671" s="1238"/>
      <c r="E671" s="1238"/>
      <c r="F671" s="1238"/>
      <c r="G671" s="1238"/>
      <c r="H671" s="1239"/>
      <c r="I671" s="1236"/>
      <c r="J671" s="1236"/>
      <c r="K671" s="1236"/>
      <c r="L671" s="1236"/>
    </row>
    <row r="672" spans="1:12" ht="27.95" customHeight="1">
      <c r="A672" s="9"/>
      <c r="B672" s="154"/>
      <c r="C672" s="150"/>
      <c r="D672" s="150"/>
      <c r="E672" s="150"/>
      <c r="F672" s="150"/>
      <c r="G672" s="150"/>
      <c r="H672" s="139"/>
      <c r="I672" s="9"/>
      <c r="J672" s="223"/>
      <c r="K672" s="139"/>
      <c r="L672" s="139"/>
    </row>
    <row r="673" spans="1:12" ht="27.95" customHeight="1">
      <c r="A673" s="9"/>
      <c r="B673" s="154"/>
      <c r="C673" s="150"/>
      <c r="D673" s="150"/>
      <c r="E673" s="150"/>
      <c r="F673" s="150"/>
      <c r="G673" s="150"/>
      <c r="H673" s="139"/>
      <c r="I673" s="139"/>
      <c r="J673" s="223"/>
      <c r="K673" s="139"/>
      <c r="L673" s="139"/>
    </row>
    <row r="674" spans="1:12" ht="27.95" customHeight="1">
      <c r="A674" s="9"/>
      <c r="B674" s="1225"/>
      <c r="C674" s="1225"/>
      <c r="D674" s="1225"/>
      <c r="E674" s="1225"/>
      <c r="F674" s="1225"/>
      <c r="G674" s="1225"/>
      <c r="H674" s="1235"/>
      <c r="I674" s="1236"/>
      <c r="J674" s="1236"/>
      <c r="K674" s="1236"/>
      <c r="L674" s="1236"/>
    </row>
    <row r="675" spans="1:12" ht="27.95" customHeight="1">
      <c r="A675" s="9"/>
      <c r="B675" s="1238"/>
      <c r="C675" s="1238"/>
      <c r="D675" s="1238"/>
      <c r="E675" s="1238"/>
      <c r="F675" s="1238"/>
      <c r="G675" s="1238"/>
      <c r="H675" s="1241"/>
      <c r="I675" s="1236"/>
      <c r="J675" s="1236"/>
      <c r="K675" s="1236"/>
      <c r="L675" s="1236"/>
    </row>
    <row r="676" spans="1:12" ht="27.95" customHeight="1">
      <c r="B676" s="1238"/>
      <c r="C676" s="1238"/>
      <c r="D676" s="1238"/>
      <c r="E676" s="1238"/>
      <c r="F676" s="1238"/>
      <c r="G676" s="1238"/>
      <c r="H676" s="1236"/>
      <c r="I676" s="1236"/>
      <c r="J676" s="1236"/>
      <c r="K676" s="1236"/>
      <c r="L676" s="1236"/>
    </row>
    <row r="677" spans="1:12" ht="27.95" customHeight="1">
      <c r="B677" s="154"/>
      <c r="C677" s="150"/>
      <c r="D677" s="150"/>
      <c r="E677" s="150"/>
      <c r="F677" s="150"/>
      <c r="G677" s="150"/>
      <c r="H677" s="139"/>
      <c r="I677" s="139"/>
      <c r="J677" s="139"/>
      <c r="K677" s="139"/>
      <c r="L677" s="139"/>
    </row>
    <row r="678" spans="1:12" ht="27.95" customHeight="1">
      <c r="B678" s="154"/>
      <c r="C678" s="150"/>
      <c r="D678" s="150"/>
      <c r="E678" s="150"/>
      <c r="F678" s="150"/>
      <c r="G678" s="150"/>
      <c r="H678" s="139"/>
      <c r="I678" s="139"/>
      <c r="J678" s="139"/>
      <c r="K678" s="139"/>
      <c r="L678" s="139"/>
    </row>
    <row r="679" spans="1:12" ht="27.95" customHeight="1">
      <c r="B679" s="154"/>
      <c r="C679" s="150"/>
      <c r="D679" s="150"/>
      <c r="E679" s="150"/>
      <c r="F679" s="150"/>
      <c r="G679" s="150"/>
      <c r="H679" s="139"/>
      <c r="I679" s="139"/>
      <c r="J679" s="140"/>
      <c r="K679" s="139"/>
      <c r="L679" s="139"/>
    </row>
    <row r="680" spans="1:12" ht="27.95" customHeight="1">
      <c r="B680" s="154"/>
      <c r="C680" s="150"/>
      <c r="D680" s="150"/>
      <c r="E680" s="150"/>
      <c r="F680" s="150"/>
      <c r="G680" s="150"/>
      <c r="H680" s="139"/>
      <c r="I680" s="139"/>
      <c r="J680" s="139"/>
      <c r="K680" s="139"/>
      <c r="L680" s="139"/>
    </row>
    <row r="681" spans="1:12" ht="27.95" customHeight="1">
      <c r="B681" s="154"/>
      <c r="C681" s="150"/>
      <c r="D681" s="150"/>
      <c r="E681" s="150"/>
      <c r="F681" s="150"/>
      <c r="G681" s="150"/>
      <c r="H681" s="139"/>
      <c r="I681" s="139"/>
      <c r="J681" s="140"/>
      <c r="K681" s="139"/>
      <c r="L681" s="139"/>
    </row>
    <row r="682" spans="1:12" ht="27.95" customHeight="1">
      <c r="B682" s="154"/>
      <c r="C682" s="150"/>
      <c r="D682" s="139"/>
      <c r="E682" s="140"/>
      <c r="F682" s="139"/>
      <c r="G682" s="140"/>
      <c r="H682" s="139"/>
      <c r="I682" s="140"/>
      <c r="J682" s="139"/>
      <c r="K682" s="140"/>
      <c r="L682" s="140"/>
    </row>
    <row r="683" spans="1:12" ht="27.95" customHeight="1">
      <c r="B683" s="154"/>
      <c r="C683" s="150"/>
      <c r="D683" s="150"/>
      <c r="E683" s="150"/>
      <c r="F683" s="150"/>
      <c r="G683" s="150"/>
      <c r="H683" s="139"/>
      <c r="I683" s="139"/>
      <c r="J683" s="224"/>
      <c r="K683" s="139"/>
      <c r="L683" s="139"/>
    </row>
    <row r="684" spans="1:12" ht="27.95" customHeight="1">
      <c r="B684" s="154"/>
      <c r="C684" s="2"/>
      <c r="D684" s="2"/>
      <c r="E684" s="2"/>
      <c r="F684" s="2"/>
      <c r="G684" s="2"/>
    </row>
    <row r="685" spans="1:12" ht="27.95" customHeight="1">
      <c r="B685" s="154"/>
      <c r="C685" s="2"/>
      <c r="D685" s="2"/>
      <c r="E685" s="2"/>
      <c r="F685" s="2"/>
      <c r="G685" s="2"/>
    </row>
    <row r="689" spans="2:12" ht="32.25">
      <c r="B689" s="1242"/>
      <c r="C689" s="1152"/>
      <c r="D689" s="1152"/>
      <c r="E689" s="1152"/>
      <c r="F689" s="1152"/>
      <c r="G689" s="1152"/>
      <c r="H689" s="1152"/>
      <c r="I689" s="1152"/>
      <c r="J689" s="1152"/>
      <c r="K689" s="1152"/>
      <c r="L689" s="1152"/>
    </row>
    <row r="690" spans="2:12" ht="23.25">
      <c r="B690" s="1223"/>
      <c r="C690" s="1223"/>
      <c r="D690" s="1223"/>
      <c r="E690" s="1223"/>
      <c r="F690" s="1223"/>
      <c r="G690" s="1223"/>
      <c r="H690" s="1223"/>
      <c r="I690" s="1223"/>
      <c r="J690" s="1223"/>
      <c r="K690" s="1223"/>
      <c r="L690" s="1223"/>
    </row>
    <row r="691" spans="2:12" ht="15.75">
      <c r="B691" s="1240"/>
      <c r="C691" s="1240"/>
      <c r="D691" s="1240"/>
      <c r="E691" s="1240"/>
      <c r="F691" s="1240"/>
      <c r="G691" s="1240"/>
      <c r="H691" s="1240"/>
      <c r="I691" s="1240"/>
      <c r="J691" s="1240"/>
      <c r="K691" s="1240"/>
      <c r="L691" s="1240"/>
    </row>
    <row r="692" spans="2:12" ht="15" customHeight="1">
      <c r="B692" s="1224"/>
      <c r="C692" s="1224"/>
      <c r="D692" s="1224"/>
      <c r="E692" s="1224"/>
      <c r="F692" s="1224"/>
      <c r="H692" s="1225"/>
      <c r="I692" s="1225"/>
      <c r="J692" s="1225"/>
      <c r="K692" s="1225"/>
      <c r="L692" s="1225"/>
    </row>
    <row r="693" spans="2:12">
      <c r="B693" s="1224"/>
      <c r="C693" s="1224"/>
      <c r="D693" s="1224"/>
      <c r="E693" s="1224"/>
      <c r="F693" s="1224"/>
      <c r="H693" s="1225"/>
      <c r="I693" s="1225"/>
      <c r="J693" s="1225"/>
      <c r="K693" s="1225"/>
      <c r="L693" s="1225"/>
    </row>
    <row r="695" spans="2:12">
      <c r="B695" s="2"/>
      <c r="H695" s="2"/>
    </row>
    <row r="697" spans="2:12">
      <c r="B697" s="2"/>
      <c r="H697" s="2"/>
    </row>
    <row r="700" spans="2:12">
      <c r="B700" s="1226"/>
      <c r="C700" s="1226"/>
      <c r="D700" s="1226"/>
      <c r="E700" s="1226"/>
      <c r="F700" s="1226"/>
      <c r="H700" s="1226"/>
      <c r="I700" s="1226"/>
      <c r="J700" s="1226"/>
      <c r="K700" s="1226"/>
      <c r="L700" s="1226"/>
    </row>
    <row r="702" spans="2:12">
      <c r="H702" s="2"/>
      <c r="I702" s="2"/>
      <c r="J702" s="2"/>
      <c r="K702" s="2"/>
      <c r="L702" s="2"/>
    </row>
    <row r="703" spans="2:12">
      <c r="H703" s="2"/>
      <c r="I703" s="2"/>
      <c r="J703" s="2"/>
      <c r="K703" s="2"/>
      <c r="L703" s="2"/>
    </row>
    <row r="704" spans="2:12">
      <c r="B704" s="2"/>
      <c r="H704" s="2"/>
      <c r="I704" s="2"/>
      <c r="J704" s="2"/>
      <c r="K704" s="2"/>
      <c r="L704" s="2"/>
    </row>
    <row r="705" spans="1:12">
      <c r="H705" s="2"/>
      <c r="I705" s="2"/>
      <c r="J705" s="2"/>
      <c r="K705" s="2"/>
      <c r="L705" s="2"/>
    </row>
    <row r="706" spans="1:12">
      <c r="H706" s="2"/>
      <c r="I706" s="2"/>
      <c r="J706" s="2"/>
      <c r="K706" s="2"/>
      <c r="L706" s="2"/>
    </row>
    <row r="707" spans="1:12" ht="27.95" customHeight="1">
      <c r="A707" s="9"/>
      <c r="B707" s="1238"/>
      <c r="C707" s="1238"/>
      <c r="D707" s="1238"/>
      <c r="E707" s="1238"/>
      <c r="F707" s="1238"/>
      <c r="G707" s="1238"/>
      <c r="H707" s="1235"/>
      <c r="I707" s="1236"/>
      <c r="J707" s="1236"/>
      <c r="K707" s="1236"/>
      <c r="L707" s="1236"/>
    </row>
    <row r="708" spans="1:12" ht="27.95" customHeight="1">
      <c r="A708" s="9"/>
      <c r="B708" s="1225"/>
      <c r="C708" s="1225"/>
      <c r="D708" s="1225"/>
      <c r="E708" s="1225"/>
      <c r="F708" s="1225"/>
      <c r="G708" s="1225"/>
      <c r="H708" s="1235"/>
      <c r="I708" s="1236"/>
      <c r="J708" s="1236"/>
      <c r="K708" s="1236"/>
      <c r="L708" s="1236"/>
    </row>
    <row r="709" spans="1:12" ht="27.95" customHeight="1">
      <c r="A709" s="9"/>
      <c r="B709" s="1238"/>
      <c r="C709" s="1238"/>
      <c r="D709" s="1238"/>
      <c r="E709" s="1238"/>
      <c r="F709" s="1238"/>
      <c r="G709" s="1238"/>
      <c r="H709" s="1235"/>
      <c r="I709" s="1236"/>
      <c r="J709" s="1236"/>
      <c r="K709" s="1236"/>
      <c r="L709" s="1236"/>
    </row>
    <row r="710" spans="1:12" ht="27.95" customHeight="1">
      <c r="A710" s="9"/>
      <c r="B710" s="1238"/>
      <c r="C710" s="1238"/>
      <c r="D710" s="1238"/>
      <c r="E710" s="1238"/>
      <c r="F710" s="1238"/>
      <c r="G710" s="1238"/>
      <c r="H710" s="1239"/>
      <c r="I710" s="1236"/>
      <c r="J710" s="1236"/>
      <c r="K710" s="1236"/>
      <c r="L710" s="1236"/>
    </row>
    <row r="711" spans="1:12" ht="27.95" customHeight="1">
      <c r="A711" s="9"/>
      <c r="B711" s="154"/>
      <c r="C711" s="150"/>
      <c r="D711" s="150"/>
      <c r="E711" s="150"/>
      <c r="F711" s="150"/>
      <c r="G711" s="150"/>
      <c r="H711" s="139"/>
      <c r="I711" s="9"/>
      <c r="J711" s="223"/>
      <c r="K711" s="139"/>
      <c r="L711" s="139"/>
    </row>
    <row r="712" spans="1:12" ht="27.95" customHeight="1">
      <c r="A712" s="9"/>
      <c r="B712" s="154"/>
      <c r="C712" s="150"/>
      <c r="D712" s="150"/>
      <c r="E712" s="150"/>
      <c r="F712" s="150"/>
      <c r="G712" s="150"/>
      <c r="H712" s="139"/>
      <c r="I712" s="139"/>
      <c r="J712" s="223"/>
      <c r="K712" s="139"/>
      <c r="L712" s="139"/>
    </row>
    <row r="713" spans="1:12" ht="27.95" customHeight="1">
      <c r="A713" s="9"/>
      <c r="B713" s="1225"/>
      <c r="C713" s="1225"/>
      <c r="D713" s="1225"/>
      <c r="E713" s="1225"/>
      <c r="F713" s="1225"/>
      <c r="G713" s="1225"/>
      <c r="H713" s="1235"/>
      <c r="I713" s="1236"/>
      <c r="J713" s="1236"/>
      <c r="K713" s="1236"/>
      <c r="L713" s="1236"/>
    </row>
    <row r="714" spans="1:12" ht="27.95" customHeight="1">
      <c r="A714" s="9"/>
      <c r="B714" s="1238"/>
      <c r="C714" s="1238"/>
      <c r="D714" s="1238"/>
      <c r="E714" s="1238"/>
      <c r="F714" s="1238"/>
      <c r="G714" s="1238"/>
      <c r="H714" s="1241"/>
      <c r="I714" s="1236"/>
      <c r="J714" s="1236"/>
      <c r="K714" s="1236"/>
      <c r="L714" s="1236"/>
    </row>
    <row r="715" spans="1:12" ht="27.95" customHeight="1">
      <c r="B715" s="1238"/>
      <c r="C715" s="1238"/>
      <c r="D715" s="1238"/>
      <c r="E715" s="1238"/>
      <c r="F715" s="1238"/>
      <c r="G715" s="1238"/>
      <c r="H715" s="1236"/>
      <c r="I715" s="1236"/>
      <c r="J715" s="1236"/>
      <c r="K715" s="1236"/>
      <c r="L715" s="1236"/>
    </row>
    <row r="716" spans="1:12" ht="27.95" customHeight="1">
      <c r="B716" s="154"/>
      <c r="C716" s="150"/>
      <c r="D716" s="150"/>
      <c r="E716" s="150"/>
      <c r="F716" s="150"/>
      <c r="G716" s="150"/>
      <c r="H716" s="139"/>
      <c r="I716" s="139"/>
      <c r="J716" s="139"/>
      <c r="K716" s="139"/>
      <c r="L716" s="139"/>
    </row>
    <row r="717" spans="1:12" ht="27.95" customHeight="1">
      <c r="B717" s="154"/>
      <c r="C717" s="150"/>
      <c r="D717" s="150"/>
      <c r="E717" s="150"/>
      <c r="F717" s="150"/>
      <c r="G717" s="150"/>
      <c r="H717" s="139"/>
      <c r="I717" s="139"/>
      <c r="J717" s="139"/>
      <c r="K717" s="139"/>
      <c r="L717" s="139"/>
    </row>
    <row r="718" spans="1:12" ht="27.95" customHeight="1">
      <c r="B718" s="154"/>
      <c r="C718" s="150"/>
      <c r="D718" s="150"/>
      <c r="E718" s="150"/>
      <c r="F718" s="150"/>
      <c r="G718" s="150"/>
      <c r="H718" s="139"/>
      <c r="I718" s="139"/>
      <c r="J718" s="140"/>
      <c r="K718" s="139"/>
      <c r="L718" s="139"/>
    </row>
    <row r="719" spans="1:12" ht="27.95" customHeight="1">
      <c r="B719" s="154"/>
      <c r="C719" s="150"/>
      <c r="D719" s="150"/>
      <c r="E719" s="150"/>
      <c r="F719" s="150"/>
      <c r="G719" s="150"/>
      <c r="H719" s="139"/>
      <c r="I719" s="139"/>
      <c r="J719" s="139"/>
      <c r="K719" s="139"/>
      <c r="L719" s="139"/>
    </row>
    <row r="720" spans="1:12" ht="27.95" customHeight="1">
      <c r="B720" s="154"/>
      <c r="C720" s="150"/>
      <c r="D720" s="150"/>
      <c r="E720" s="150"/>
      <c r="F720" s="150"/>
      <c r="G720" s="150"/>
      <c r="H720" s="139"/>
      <c r="I720" s="139"/>
      <c r="J720" s="140"/>
      <c r="K720" s="139"/>
      <c r="L720" s="139"/>
    </row>
    <row r="721" spans="2:12" ht="27.95" customHeight="1">
      <c r="B721" s="154"/>
      <c r="C721" s="150"/>
      <c r="D721" s="139"/>
      <c r="E721" s="140"/>
      <c r="F721" s="139"/>
      <c r="G721" s="140"/>
      <c r="H721" s="139"/>
      <c r="I721" s="140"/>
      <c r="J721" s="139"/>
      <c r="K721" s="140"/>
      <c r="L721" s="140"/>
    </row>
    <row r="722" spans="2:12" ht="27.95" customHeight="1">
      <c r="B722" s="154"/>
      <c r="C722" s="150"/>
      <c r="D722" s="150"/>
      <c r="E722" s="150"/>
      <c r="F722" s="150"/>
      <c r="G722" s="150"/>
      <c r="H722" s="139"/>
      <c r="I722" s="139"/>
      <c r="J722" s="224"/>
      <c r="K722" s="139"/>
      <c r="L722" s="139"/>
    </row>
    <row r="723" spans="2:12" ht="27.95" customHeight="1">
      <c r="B723" s="154"/>
      <c r="C723" s="2"/>
      <c r="D723" s="2"/>
      <c r="E723" s="2"/>
      <c r="F723" s="2"/>
      <c r="G723" s="2"/>
    </row>
    <row r="724" spans="2:12" ht="27.95" customHeight="1">
      <c r="B724" s="154"/>
      <c r="C724" s="2"/>
      <c r="D724" s="2"/>
      <c r="E724" s="2"/>
      <c r="F724" s="2"/>
      <c r="G724" s="2"/>
    </row>
    <row r="728" spans="2:12" ht="32.25">
      <c r="B728" s="1242"/>
      <c r="C728" s="1152"/>
      <c r="D728" s="1152"/>
      <c r="E728" s="1152"/>
      <c r="F728" s="1152"/>
      <c r="G728" s="1152"/>
      <c r="H728" s="1152"/>
      <c r="I728" s="1152"/>
      <c r="J728" s="1152"/>
      <c r="K728" s="1152"/>
      <c r="L728" s="1152"/>
    </row>
    <row r="729" spans="2:12" ht="23.25">
      <c r="B729" s="1223"/>
      <c r="C729" s="1223"/>
      <c r="D729" s="1223"/>
      <c r="E729" s="1223"/>
      <c r="F729" s="1223"/>
      <c r="G729" s="1223"/>
      <c r="H729" s="1223"/>
      <c r="I729" s="1223"/>
      <c r="J729" s="1223"/>
      <c r="K729" s="1223"/>
      <c r="L729" s="1223"/>
    </row>
    <row r="730" spans="2:12" ht="15.75">
      <c r="B730" s="1240"/>
      <c r="C730" s="1240"/>
      <c r="D730" s="1240"/>
      <c r="E730" s="1240"/>
      <c r="F730" s="1240"/>
      <c r="G730" s="1240"/>
      <c r="H730" s="1240"/>
      <c r="I730" s="1240"/>
      <c r="J730" s="1240"/>
      <c r="K730" s="1240"/>
      <c r="L730" s="1240"/>
    </row>
    <row r="731" spans="2:12" ht="15" customHeight="1">
      <c r="B731" s="1224"/>
      <c r="C731" s="1224"/>
      <c r="D731" s="1224"/>
      <c r="E731" s="1224"/>
      <c r="F731" s="1224"/>
      <c r="H731" s="1225"/>
      <c r="I731" s="1225"/>
      <c r="J731" s="1225"/>
      <c r="K731" s="1225"/>
      <c r="L731" s="1225"/>
    </row>
    <row r="732" spans="2:12">
      <c r="B732" s="1224"/>
      <c r="C732" s="1224"/>
      <c r="D732" s="1224"/>
      <c r="E732" s="1224"/>
      <c r="F732" s="1224"/>
      <c r="H732" s="1225"/>
      <c r="I732" s="1225"/>
      <c r="J732" s="1225"/>
      <c r="K732" s="1225"/>
      <c r="L732" s="1225"/>
    </row>
    <row r="734" spans="2:12">
      <c r="B734" s="2"/>
      <c r="H734" s="2"/>
    </row>
    <row r="736" spans="2:12">
      <c r="B736" s="2"/>
      <c r="H736" s="2"/>
    </row>
    <row r="737" spans="1:12" ht="15" customHeight="1"/>
    <row r="739" spans="1:12">
      <c r="B739" s="1226"/>
      <c r="C739" s="1226"/>
      <c r="D739" s="1226"/>
      <c r="E739" s="1226"/>
      <c r="F739" s="1226"/>
      <c r="H739" s="1226"/>
      <c r="I739" s="1226"/>
      <c r="J739" s="1226"/>
      <c r="K739" s="1226"/>
      <c r="L739" s="1226"/>
    </row>
    <row r="741" spans="1:12">
      <c r="H741" s="2"/>
      <c r="I741" s="2"/>
      <c r="J741" s="2"/>
      <c r="K741" s="2"/>
      <c r="L741" s="2"/>
    </row>
    <row r="742" spans="1:12">
      <c r="H742" s="2"/>
      <c r="I742" s="2"/>
      <c r="J742" s="2"/>
      <c r="K742" s="2"/>
      <c r="L742" s="2"/>
    </row>
    <row r="743" spans="1:12">
      <c r="B743" s="2"/>
      <c r="H743" s="2"/>
      <c r="I743" s="2"/>
      <c r="J743" s="2"/>
      <c r="K743" s="2"/>
      <c r="L743" s="2"/>
    </row>
    <row r="744" spans="1:12">
      <c r="H744" s="2"/>
      <c r="I744" s="2"/>
      <c r="J744" s="2"/>
      <c r="K744" s="2"/>
      <c r="L744" s="2"/>
    </row>
    <row r="745" spans="1:12">
      <c r="H745" s="2"/>
      <c r="I745" s="2"/>
      <c r="J745" s="2"/>
      <c r="K745" s="2"/>
      <c r="L745" s="2"/>
    </row>
    <row r="746" spans="1:12" ht="27.95" customHeight="1">
      <c r="A746" s="9"/>
      <c r="B746" s="1238"/>
      <c r="C746" s="1238"/>
      <c r="D746" s="1238"/>
      <c r="E746" s="1238"/>
      <c r="F746" s="1238"/>
      <c r="G746" s="1238"/>
      <c r="H746" s="1235"/>
      <c r="I746" s="1236"/>
      <c r="J746" s="1236"/>
      <c r="K746" s="1236"/>
      <c r="L746" s="1236"/>
    </row>
    <row r="747" spans="1:12" ht="27.95" customHeight="1">
      <c r="A747" s="9"/>
      <c r="B747" s="1225"/>
      <c r="C747" s="1225"/>
      <c r="D747" s="1225"/>
      <c r="E747" s="1225"/>
      <c r="F747" s="1225"/>
      <c r="G747" s="1225"/>
      <c r="H747" s="1235"/>
      <c r="I747" s="1236"/>
      <c r="J747" s="1236"/>
      <c r="K747" s="1236"/>
      <c r="L747" s="1236"/>
    </row>
    <row r="748" spans="1:12" ht="27.95" customHeight="1">
      <c r="A748" s="9"/>
      <c r="B748" s="1238"/>
      <c r="C748" s="1238"/>
      <c r="D748" s="1238"/>
      <c r="E748" s="1238"/>
      <c r="F748" s="1238"/>
      <c r="G748" s="1238"/>
      <c r="H748" s="1235"/>
      <c r="I748" s="1236"/>
      <c r="J748" s="1236"/>
      <c r="K748" s="1236"/>
      <c r="L748" s="1236"/>
    </row>
    <row r="749" spans="1:12" ht="27.95" customHeight="1">
      <c r="A749" s="9"/>
      <c r="B749" s="1238"/>
      <c r="C749" s="1238"/>
      <c r="D749" s="1238"/>
      <c r="E749" s="1238"/>
      <c r="F749" s="1238"/>
      <c r="G749" s="1238"/>
      <c r="H749" s="1239"/>
      <c r="I749" s="1236"/>
      <c r="J749" s="1236"/>
      <c r="K749" s="1236"/>
      <c r="L749" s="1236"/>
    </row>
    <row r="750" spans="1:12" ht="27.95" customHeight="1">
      <c r="A750" s="9"/>
      <c r="B750" s="154"/>
      <c r="C750" s="150"/>
      <c r="D750" s="150"/>
      <c r="E750" s="150"/>
      <c r="F750" s="150"/>
      <c r="G750" s="150"/>
      <c r="H750" s="139"/>
      <c r="I750" s="9"/>
      <c r="J750" s="223"/>
      <c r="K750" s="139"/>
      <c r="L750" s="139"/>
    </row>
    <row r="751" spans="1:12" ht="27.95" customHeight="1">
      <c r="A751" s="9"/>
      <c r="B751" s="154"/>
      <c r="C751" s="150"/>
      <c r="D751" s="150"/>
      <c r="E751" s="150"/>
      <c r="F751" s="150"/>
      <c r="G751" s="150"/>
      <c r="H751" s="139"/>
      <c r="I751" s="139"/>
      <c r="J751" s="223"/>
      <c r="K751" s="139"/>
      <c r="L751" s="139"/>
    </row>
    <row r="752" spans="1:12" ht="27.95" customHeight="1">
      <c r="A752" s="9"/>
      <c r="B752" s="1225"/>
      <c r="C752" s="1225"/>
      <c r="D752" s="1225"/>
      <c r="E752" s="1225"/>
      <c r="F752" s="1225"/>
      <c r="G752" s="1225"/>
      <c r="H752" s="1235"/>
      <c r="I752" s="1236"/>
      <c r="J752" s="1236"/>
      <c r="K752" s="1236"/>
      <c r="L752" s="1236"/>
    </row>
    <row r="753" spans="1:12" ht="27.95" customHeight="1">
      <c r="A753" s="9"/>
      <c r="B753" s="1238"/>
      <c r="C753" s="1238"/>
      <c r="D753" s="1238"/>
      <c r="E753" s="1238"/>
      <c r="F753" s="1238"/>
      <c r="G753" s="1238"/>
      <c r="H753" s="1241"/>
      <c r="I753" s="1236"/>
      <c r="J753" s="1236"/>
      <c r="K753" s="1236"/>
      <c r="L753" s="1236"/>
    </row>
    <row r="754" spans="1:12" ht="27.95" customHeight="1">
      <c r="B754" s="1238"/>
      <c r="C754" s="1238"/>
      <c r="D754" s="1238"/>
      <c r="E754" s="1238"/>
      <c r="F754" s="1238"/>
      <c r="G754" s="1238"/>
      <c r="H754" s="1236"/>
      <c r="I754" s="1236"/>
      <c r="J754" s="1236"/>
      <c r="K754" s="1236"/>
      <c r="L754" s="1236"/>
    </row>
    <row r="755" spans="1:12" ht="27.95" customHeight="1">
      <c r="B755" s="154"/>
      <c r="C755" s="150"/>
      <c r="D755" s="150"/>
      <c r="E755" s="150"/>
      <c r="F755" s="150"/>
      <c r="G755" s="150"/>
      <c r="H755" s="139"/>
      <c r="I755" s="139"/>
      <c r="J755" s="139"/>
      <c r="K755" s="139"/>
      <c r="L755" s="139"/>
    </row>
    <row r="756" spans="1:12" ht="27.95" customHeight="1">
      <c r="B756" s="154"/>
      <c r="C756" s="150"/>
      <c r="D756" s="150"/>
      <c r="E756" s="150"/>
      <c r="F756" s="150"/>
      <c r="G756" s="150"/>
      <c r="H756" s="139"/>
      <c r="I756" s="139"/>
      <c r="J756" s="139"/>
      <c r="K756" s="139"/>
      <c r="L756" s="139"/>
    </row>
    <row r="757" spans="1:12" ht="27.95" customHeight="1">
      <c r="B757" s="154"/>
      <c r="C757" s="150"/>
      <c r="D757" s="150"/>
      <c r="E757" s="150"/>
      <c r="F757" s="150"/>
      <c r="G757" s="150"/>
      <c r="H757" s="139"/>
      <c r="I757" s="139"/>
      <c r="J757" s="140"/>
      <c r="K757" s="139"/>
      <c r="L757" s="139"/>
    </row>
    <row r="758" spans="1:12" ht="27.95" customHeight="1">
      <c r="B758" s="154"/>
      <c r="C758" s="150"/>
      <c r="D758" s="150"/>
      <c r="E758" s="150"/>
      <c r="F758" s="150"/>
      <c r="G758" s="150"/>
      <c r="H758" s="139"/>
      <c r="I758" s="139"/>
      <c r="J758" s="139"/>
      <c r="K758" s="139"/>
      <c r="L758" s="139"/>
    </row>
    <row r="759" spans="1:12" ht="27.95" customHeight="1">
      <c r="B759" s="154"/>
      <c r="C759" s="150"/>
      <c r="D759" s="150"/>
      <c r="E759" s="150"/>
      <c r="F759" s="150"/>
      <c r="G759" s="150"/>
      <c r="H759" s="139"/>
      <c r="I759" s="139"/>
      <c r="J759" s="140"/>
      <c r="K759" s="139"/>
      <c r="L759" s="139"/>
    </row>
    <row r="760" spans="1:12" ht="27.95" customHeight="1">
      <c r="B760" s="154"/>
      <c r="C760" s="150"/>
      <c r="D760" s="139"/>
      <c r="E760" s="140"/>
      <c r="F760" s="139"/>
      <c r="G760" s="140"/>
      <c r="H760" s="139"/>
      <c r="I760" s="140"/>
      <c r="J760" s="139"/>
      <c r="K760" s="140"/>
      <c r="L760" s="140"/>
    </row>
    <row r="761" spans="1:12" ht="27.95" customHeight="1">
      <c r="B761" s="154"/>
      <c r="C761" s="150"/>
      <c r="D761" s="150"/>
      <c r="E761" s="150"/>
      <c r="F761" s="150"/>
      <c r="G761" s="150"/>
      <c r="H761" s="139"/>
      <c r="I761" s="139"/>
      <c r="J761" s="224"/>
      <c r="K761" s="139"/>
      <c r="L761" s="139"/>
    </row>
    <row r="762" spans="1:12" ht="27.95" customHeight="1">
      <c r="B762" s="154"/>
      <c r="C762" s="2"/>
      <c r="D762" s="2"/>
      <c r="E762" s="2"/>
      <c r="F762" s="2"/>
      <c r="G762" s="2"/>
    </row>
    <row r="763" spans="1:12" ht="27.95" customHeight="1">
      <c r="B763" s="154"/>
      <c r="C763" s="2"/>
      <c r="D763" s="2"/>
      <c r="E763" s="2"/>
      <c r="F763" s="2"/>
      <c r="G763" s="2"/>
    </row>
  </sheetData>
  <mergeCells count="410">
    <mergeCell ref="B752:G752"/>
    <mergeCell ref="H752:L752"/>
    <mergeCell ref="B753:G753"/>
    <mergeCell ref="H753:L753"/>
    <mergeCell ref="B754:G754"/>
    <mergeCell ref="H754:L754"/>
    <mergeCell ref="B747:G747"/>
    <mergeCell ref="H747:L747"/>
    <mergeCell ref="B748:G748"/>
    <mergeCell ref="H748:L748"/>
    <mergeCell ref="B749:G749"/>
    <mergeCell ref="H749:L749"/>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09:G709"/>
    <mergeCell ref="H709:L709"/>
    <mergeCell ref="B710:G710"/>
    <mergeCell ref="H710:L710"/>
    <mergeCell ref="B713:G713"/>
    <mergeCell ref="H713:L713"/>
    <mergeCell ref="B700:F700"/>
    <mergeCell ref="H700:L700"/>
    <mergeCell ref="B707:G707"/>
    <mergeCell ref="H707:L707"/>
    <mergeCell ref="B708:G708"/>
    <mergeCell ref="H708:L708"/>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14:F615"/>
    <mergeCell ref="H614:L615"/>
    <mergeCell ref="B622:F622"/>
    <mergeCell ref="H622:L622"/>
    <mergeCell ref="B629:G629"/>
    <mergeCell ref="H629:L629"/>
    <mergeCell ref="B598:G598"/>
    <mergeCell ref="H598:L598"/>
    <mergeCell ref="B599:G599"/>
    <mergeCell ref="H599:L599"/>
    <mergeCell ref="B611:L611"/>
    <mergeCell ref="B612:L612"/>
    <mergeCell ref="B597:G597"/>
    <mergeCell ref="H597:L597"/>
    <mergeCell ref="B584:F584"/>
    <mergeCell ref="H584:L584"/>
    <mergeCell ref="B591:G591"/>
    <mergeCell ref="H591:L591"/>
    <mergeCell ref="B592:G592"/>
    <mergeCell ref="H592:L592"/>
    <mergeCell ref="B613:L613"/>
    <mergeCell ref="H555:L555"/>
    <mergeCell ref="H556:L556"/>
    <mergeCell ref="G559:H559"/>
    <mergeCell ref="K559:L559"/>
    <mergeCell ref="K561:L561"/>
    <mergeCell ref="B593:G593"/>
    <mergeCell ref="H593:L593"/>
    <mergeCell ref="B594:G594"/>
    <mergeCell ref="H594:L594"/>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446:L446"/>
    <mergeCell ref="B448:G448"/>
    <mergeCell ref="H448:L448"/>
    <mergeCell ref="B449:G449"/>
    <mergeCell ref="H449:L449"/>
    <mergeCell ref="B450:G450"/>
    <mergeCell ref="H450:L450"/>
    <mergeCell ref="H451:L451"/>
    <mergeCell ref="H452:L452"/>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293:L293"/>
    <mergeCell ref="H294:L294"/>
    <mergeCell ref="H295:L295"/>
    <mergeCell ref="G298:H298"/>
    <mergeCell ref="K298:L298"/>
    <mergeCell ref="K300:L300"/>
    <mergeCell ref="B319:L319"/>
    <mergeCell ref="B320:L320"/>
    <mergeCell ref="B321:L321"/>
    <mergeCell ref="B214:L214"/>
    <mergeCell ref="B215:L215"/>
    <mergeCell ref="B216:F217"/>
    <mergeCell ref="H216:L217"/>
    <mergeCell ref="B224:F224"/>
    <mergeCell ref="H224:L224"/>
    <mergeCell ref="B231:G231"/>
    <mergeCell ref="H231:L231"/>
    <mergeCell ref="B232:G232"/>
    <mergeCell ref="H232:L232"/>
    <mergeCell ref="B161:L161"/>
    <mergeCell ref="B162:L162"/>
    <mergeCell ref="B163:F164"/>
    <mergeCell ref="H163:L164"/>
    <mergeCell ref="B171:F171"/>
    <mergeCell ref="H171:L171"/>
    <mergeCell ref="B178:G178"/>
    <mergeCell ref="H178:L178"/>
    <mergeCell ref="B179:G179"/>
    <mergeCell ref="H179:L179"/>
    <mergeCell ref="B133:G133"/>
    <mergeCell ref="H133:L133"/>
    <mergeCell ref="H134:L134"/>
    <mergeCell ref="H135:L135"/>
    <mergeCell ref="H136:L136"/>
    <mergeCell ref="G139:H139"/>
    <mergeCell ref="K139:L139"/>
    <mergeCell ref="K141:L141"/>
    <mergeCell ref="B160:L160"/>
    <mergeCell ref="B109:L109"/>
    <mergeCell ref="B110:F111"/>
    <mergeCell ref="H110:L111"/>
    <mergeCell ref="B118:F118"/>
    <mergeCell ref="H118:L118"/>
    <mergeCell ref="B125:G125"/>
    <mergeCell ref="H125:L125"/>
    <mergeCell ref="B126:G126"/>
    <mergeCell ref="H126:L126"/>
    <mergeCell ref="H81:L81"/>
    <mergeCell ref="H82:L82"/>
    <mergeCell ref="G85:H85"/>
    <mergeCell ref="K85:L85"/>
    <mergeCell ref="K87:L87"/>
    <mergeCell ref="H105:L105"/>
    <mergeCell ref="H106:L106"/>
    <mergeCell ref="B107:L107"/>
    <mergeCell ref="B108:L108"/>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28:L28"/>
    <mergeCell ref="H29:L29"/>
    <mergeCell ref="H30:L30"/>
    <mergeCell ref="G33:H33"/>
    <mergeCell ref="K33:L33"/>
    <mergeCell ref="B54:L54"/>
    <mergeCell ref="B55:L55"/>
    <mergeCell ref="B56:F57"/>
    <mergeCell ref="H56:L57"/>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B127:G127"/>
    <mergeCell ref="H127:L127"/>
    <mergeCell ref="B128:G128"/>
    <mergeCell ref="H128:L128"/>
    <mergeCell ref="H129:L129"/>
    <mergeCell ref="B131:G131"/>
    <mergeCell ref="H131:L131"/>
    <mergeCell ref="B132:G132"/>
    <mergeCell ref="H132:L132"/>
    <mergeCell ref="B180:G180"/>
    <mergeCell ref="H180:L180"/>
    <mergeCell ref="B181:G181"/>
    <mergeCell ref="H181:L181"/>
    <mergeCell ref="H182:L182"/>
    <mergeCell ref="B184:G184"/>
    <mergeCell ref="H184:L184"/>
    <mergeCell ref="B185:G185"/>
    <mergeCell ref="H185:L185"/>
    <mergeCell ref="B186:G186"/>
    <mergeCell ref="H186:L186"/>
    <mergeCell ref="H187:L187"/>
    <mergeCell ref="H188:L188"/>
    <mergeCell ref="H189:L189"/>
    <mergeCell ref="G192:H192"/>
    <mergeCell ref="K192:L192"/>
    <mergeCell ref="K194:L194"/>
    <mergeCell ref="B213:L213"/>
    <mergeCell ref="H233:L233"/>
    <mergeCell ref="B234:G234"/>
    <mergeCell ref="H234:L234"/>
    <mergeCell ref="H235:L235"/>
    <mergeCell ref="B237:G237"/>
    <mergeCell ref="H237:L237"/>
    <mergeCell ref="B238:G238"/>
    <mergeCell ref="H238:L238"/>
    <mergeCell ref="B239:G239"/>
    <mergeCell ref="H239:L239"/>
    <mergeCell ref="B233:G233"/>
    <mergeCell ref="H240:L240"/>
    <mergeCell ref="H241:L241"/>
    <mergeCell ref="H242:L242"/>
    <mergeCell ref="G245:H245"/>
    <mergeCell ref="K245:L245"/>
    <mergeCell ref="K247:L247"/>
    <mergeCell ref="B266:L266"/>
    <mergeCell ref="B267:L267"/>
    <mergeCell ref="B268:L268"/>
    <mergeCell ref="B269:F270"/>
    <mergeCell ref="H269:L270"/>
    <mergeCell ref="B277:F277"/>
    <mergeCell ref="H277:L277"/>
    <mergeCell ref="B284:G284"/>
    <mergeCell ref="H284:L284"/>
    <mergeCell ref="B285:G285"/>
    <mergeCell ref="H285:L285"/>
    <mergeCell ref="B286:G286"/>
    <mergeCell ref="H286:L286"/>
    <mergeCell ref="B287:G287"/>
    <mergeCell ref="H287:L287"/>
    <mergeCell ref="H288:L288"/>
    <mergeCell ref="B290:G290"/>
    <mergeCell ref="H290:L290"/>
    <mergeCell ref="B291:G291"/>
    <mergeCell ref="H291:L291"/>
    <mergeCell ref="B292:G292"/>
    <mergeCell ref="H292:L292"/>
    <mergeCell ref="K351:L351"/>
    <mergeCell ref="K353:L353"/>
    <mergeCell ref="B372:L372"/>
    <mergeCell ref="B393:G393"/>
    <mergeCell ref="H393:L393"/>
    <mergeCell ref="H394:L394"/>
    <mergeCell ref="B396:G396"/>
    <mergeCell ref="H396:L396"/>
    <mergeCell ref="B397:G397"/>
    <mergeCell ref="H397:L397"/>
    <mergeCell ref="B545:G545"/>
    <mergeCell ref="B527:L527"/>
    <mergeCell ref="H507:L507"/>
    <mergeCell ref="G510:H510"/>
    <mergeCell ref="K510:L510"/>
    <mergeCell ref="K512:L512"/>
    <mergeCell ref="B528:L528"/>
    <mergeCell ref="B529:L529"/>
    <mergeCell ref="B530:F531"/>
    <mergeCell ref="H530:L531"/>
    <mergeCell ref="B538:F538"/>
    <mergeCell ref="H538:L538"/>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66"/>
  <sheetViews>
    <sheetView topLeftCell="A7" zoomScale="110" zoomScaleNormal="110" workbookViewId="0">
      <selection activeCell="G49" sqref="G49"/>
    </sheetView>
  </sheetViews>
  <sheetFormatPr defaultRowHeight="15"/>
  <cols>
    <col min="3" max="3" width="9.140625" customWidth="1"/>
    <col min="6" max="6" width="16.85546875" customWidth="1"/>
    <col min="10" max="10" width="14.5703125" customWidth="1"/>
    <col min="12" max="12" width="22.7109375" customWidth="1"/>
  </cols>
  <sheetData>
    <row r="1" spans="1:12" ht="32.25" customHeight="1">
      <c r="A1" s="73"/>
      <c r="B1" s="74"/>
      <c r="C1" s="74"/>
      <c r="D1" s="158"/>
      <c r="E1" s="158"/>
      <c r="F1" s="158"/>
      <c r="G1" s="158"/>
      <c r="H1" s="158"/>
      <c r="I1" s="158"/>
      <c r="J1" s="74"/>
      <c r="K1" s="160" t="s">
        <v>213</v>
      </c>
      <c r="L1" s="159"/>
    </row>
    <row r="2" spans="1:12" ht="21">
      <c r="A2" s="12"/>
      <c r="B2" s="1245" t="s">
        <v>212</v>
      </c>
      <c r="C2" s="1245"/>
      <c r="D2" s="1245"/>
      <c r="E2" s="1245"/>
      <c r="F2" s="1245"/>
      <c r="G2" s="1245"/>
      <c r="H2" s="1245"/>
      <c r="I2" s="1245"/>
      <c r="J2" s="1245"/>
      <c r="K2" s="1245"/>
      <c r="L2" s="1246"/>
    </row>
    <row r="3" spans="1:12" ht="15.75">
      <c r="A3" s="12"/>
      <c r="B3" s="1240" t="s">
        <v>214</v>
      </c>
      <c r="C3" s="1240"/>
      <c r="D3" s="1240"/>
      <c r="E3" s="1240"/>
      <c r="F3" s="1240"/>
      <c r="G3" s="1240"/>
      <c r="H3" s="1240"/>
      <c r="I3" s="1240"/>
      <c r="J3" s="1240"/>
      <c r="K3" s="1240"/>
      <c r="L3" s="1247"/>
    </row>
    <row r="4" spans="1:12" ht="15" customHeight="1">
      <c r="A4" s="12"/>
      <c r="B4" s="161" t="s">
        <v>215</v>
      </c>
      <c r="C4" s="161"/>
      <c r="D4" s="161"/>
      <c r="E4" s="161"/>
      <c r="F4" s="161"/>
      <c r="H4" s="162"/>
      <c r="I4" s="162"/>
      <c r="J4" s="162"/>
      <c r="K4" s="162"/>
      <c r="L4" s="170"/>
    </row>
    <row r="5" spans="1:12">
      <c r="A5" s="12"/>
      <c r="B5" s="161"/>
      <c r="C5" s="161"/>
      <c r="D5" s="161"/>
      <c r="E5" s="161"/>
      <c r="F5" s="161"/>
      <c r="H5" s="162"/>
      <c r="I5" s="162"/>
      <c r="J5" s="162"/>
      <c r="K5" s="162"/>
      <c r="L5" s="170"/>
    </row>
    <row r="6" spans="1:12">
      <c r="A6" s="12"/>
      <c r="B6" s="1213" t="s">
        <v>185</v>
      </c>
      <c r="C6" s="1213"/>
      <c r="D6" s="1213"/>
      <c r="E6" s="1213"/>
      <c r="F6" s="1213"/>
      <c r="G6" s="1213"/>
      <c r="H6" s="1233" t="e">
        <f>'0422Master'!#REF!</f>
        <v>#REF!</v>
      </c>
      <c r="I6" s="1228"/>
      <c r="J6" s="1228"/>
      <c r="K6" s="1228"/>
      <c r="L6" s="1071"/>
    </row>
    <row r="7" spans="1:12">
      <c r="A7" s="12"/>
      <c r="B7" s="1234" t="s">
        <v>186</v>
      </c>
      <c r="C7" s="1234"/>
      <c r="D7" s="1234"/>
      <c r="E7" s="1234"/>
      <c r="F7" s="1234"/>
      <c r="G7" s="1234"/>
      <c r="H7" s="1233" t="e">
        <f>'0422Master'!#REF!</f>
        <v>#REF!</v>
      </c>
      <c r="I7" s="1228"/>
      <c r="J7" s="1228"/>
      <c r="K7" s="1228"/>
      <c r="L7" s="1071"/>
    </row>
    <row r="8" spans="1:12">
      <c r="A8" s="12"/>
      <c r="B8" s="1213" t="s">
        <v>187</v>
      </c>
      <c r="C8" s="1213"/>
      <c r="D8" s="1213"/>
      <c r="E8" s="1213"/>
      <c r="F8" s="1213"/>
      <c r="G8" s="1213"/>
      <c r="H8" s="1233" t="e">
        <f>'0422Master'!#REF!</f>
        <v>#REF!</v>
      </c>
      <c r="I8" s="1228"/>
      <c r="J8" s="1228"/>
      <c r="K8" s="1228"/>
      <c r="L8" s="1071"/>
    </row>
    <row r="9" spans="1:12">
      <c r="A9" s="12"/>
      <c r="B9" s="1213" t="s">
        <v>188</v>
      </c>
      <c r="C9" s="1213"/>
      <c r="D9" s="1213"/>
      <c r="E9" s="1213"/>
      <c r="F9" s="1213"/>
      <c r="G9" s="1213"/>
      <c r="H9" s="1227" t="e">
        <f>'0422Master'!#REF!</f>
        <v>#REF!</v>
      </c>
      <c r="I9" s="1228"/>
      <c r="J9" s="1228"/>
      <c r="K9" s="1228"/>
      <c r="L9" s="1071"/>
    </row>
    <row r="10" spans="1:12">
      <c r="A10" s="12"/>
      <c r="B10" s="85" t="s">
        <v>189</v>
      </c>
      <c r="C10" s="86"/>
      <c r="D10" s="86"/>
      <c r="E10" s="86"/>
      <c r="F10" s="86"/>
      <c r="G10" s="86"/>
      <c r="H10" s="1229" t="s">
        <v>190</v>
      </c>
      <c r="I10" s="1230"/>
      <c r="J10" s="1230"/>
      <c r="K10" s="1230"/>
      <c r="L10" s="1231"/>
    </row>
    <row r="11" spans="1:12">
      <c r="A11" s="12"/>
      <c r="B11" s="85" t="s">
        <v>191</v>
      </c>
      <c r="C11" s="86"/>
      <c r="D11" s="86"/>
      <c r="E11" s="86"/>
      <c r="F11" s="86"/>
      <c r="G11" s="86"/>
      <c r="H11" s="87"/>
      <c r="I11" s="89"/>
      <c r="J11" s="152"/>
      <c r="K11" s="89"/>
      <c r="L11" s="94"/>
    </row>
    <row r="12" spans="1:12">
      <c r="A12" s="12"/>
      <c r="B12" s="1082" t="s">
        <v>192</v>
      </c>
      <c r="C12" s="1082"/>
      <c r="D12" s="1082"/>
      <c r="E12" s="1082"/>
      <c r="F12" s="1082"/>
      <c r="G12" s="1082"/>
      <c r="H12" s="1074" t="e">
        <f>'0422Master'!#REF!</f>
        <v>#REF!</v>
      </c>
      <c r="I12" s="1075"/>
      <c r="J12" s="1075"/>
      <c r="K12" s="1075"/>
      <c r="L12" s="1076"/>
    </row>
    <row r="13" spans="1:12">
      <c r="A13" s="12"/>
      <c r="B13" s="1213"/>
      <c r="C13" s="1213"/>
      <c r="D13" s="1213"/>
      <c r="E13" s="1213"/>
      <c r="F13" s="1213"/>
      <c r="G13" s="1213"/>
      <c r="H13" s="1232" t="e">
        <f>'0422Master'!#REF!</f>
        <v>#REF!</v>
      </c>
      <c r="I13" s="1228"/>
      <c r="J13" s="1228"/>
      <c r="K13" s="1228"/>
      <c r="L13" s="1071"/>
    </row>
    <row r="14" spans="1:12">
      <c r="A14" s="12"/>
      <c r="B14" s="1213"/>
      <c r="C14" s="1213"/>
      <c r="D14" s="1213"/>
      <c r="E14" s="1213"/>
      <c r="F14" s="1213"/>
      <c r="G14" s="1213"/>
      <c r="H14" s="1233" t="e">
        <f>'0422Master'!#REF!</f>
        <v>#REF!</v>
      </c>
      <c r="I14" s="1228"/>
      <c r="J14" s="1228"/>
      <c r="K14" s="1228"/>
      <c r="L14" s="1071"/>
    </row>
    <row r="15" spans="1:12">
      <c r="A15" s="12"/>
      <c r="G15" s="2" t="s">
        <v>216</v>
      </c>
      <c r="H15" s="2"/>
      <c r="I15" s="2"/>
      <c r="J15" s="2"/>
      <c r="K15" s="2"/>
      <c r="L15" s="80"/>
    </row>
    <row r="16" spans="1:12">
      <c r="A16" s="12"/>
      <c r="B16" s="154" t="s">
        <v>200</v>
      </c>
      <c r="C16" s="150"/>
      <c r="D16" s="150"/>
      <c r="E16" s="150"/>
      <c r="F16" s="150"/>
      <c r="G16" s="150"/>
      <c r="H16" s="139"/>
      <c r="I16" s="139"/>
      <c r="J16" s="139"/>
      <c r="K16" s="139"/>
      <c r="L16" s="157"/>
    </row>
    <row r="17" spans="1:12">
      <c r="A17" s="12"/>
      <c r="B17" s="154" t="s">
        <v>201</v>
      </c>
      <c r="C17" s="150"/>
      <c r="D17" s="150"/>
      <c r="E17" s="150"/>
      <c r="F17" s="150"/>
      <c r="G17" s="150"/>
      <c r="H17" s="139"/>
      <c r="I17" s="139"/>
      <c r="J17" s="140"/>
      <c r="K17" s="139"/>
      <c r="L17" s="157"/>
    </row>
    <row r="18" spans="1:12" ht="27.95" customHeight="1">
      <c r="A18" s="84"/>
      <c r="B18" s="85" t="s">
        <v>204</v>
      </c>
      <c r="C18" s="86"/>
      <c r="D18" s="167"/>
      <c r="E18" s="145" t="s">
        <v>206</v>
      </c>
      <c r="F18" s="64"/>
      <c r="G18" s="1218" t="s">
        <v>205</v>
      </c>
      <c r="H18" s="1219"/>
      <c r="I18" s="144" t="s">
        <v>202</v>
      </c>
      <c r="J18" s="147" t="s">
        <v>207</v>
      </c>
      <c r="K18" s="1218" t="s">
        <v>203</v>
      </c>
      <c r="L18" s="1220"/>
    </row>
    <row r="19" spans="1:12" ht="20.100000000000001" customHeight="1">
      <c r="A19" s="84"/>
      <c r="B19" s="148">
        <v>1</v>
      </c>
      <c r="C19" s="86"/>
      <c r="D19" s="86"/>
      <c r="E19" s="151">
        <v>2</v>
      </c>
      <c r="F19" s="90"/>
      <c r="G19" s="151">
        <v>3</v>
      </c>
      <c r="H19" s="167"/>
      <c r="I19" s="167">
        <v>4</v>
      </c>
      <c r="J19" s="99">
        <v>5</v>
      </c>
      <c r="K19" s="92"/>
      <c r="L19" s="93">
        <v>6</v>
      </c>
    </row>
    <row r="20" spans="1:12" ht="20.100000000000001" customHeight="1">
      <c r="A20" s="84"/>
      <c r="B20" s="85" t="e">
        <f>'0422Master'!#REF!</f>
        <v>#REF!</v>
      </c>
      <c r="C20" s="163"/>
      <c r="D20" s="164"/>
      <c r="E20" s="165" t="s">
        <v>366</v>
      </c>
      <c r="F20" s="164"/>
      <c r="G20" s="165" t="s">
        <v>364</v>
      </c>
      <c r="H20" s="64"/>
      <c r="I20" s="10" t="s">
        <v>367</v>
      </c>
      <c r="J20" s="264">
        <v>1</v>
      </c>
      <c r="K20" s="166" t="s">
        <v>37</v>
      </c>
      <c r="L20" s="171"/>
    </row>
    <row r="21" spans="1:12" ht="20.100000000000001" customHeight="1">
      <c r="A21" s="84"/>
      <c r="B21" s="85"/>
      <c r="C21" s="163"/>
      <c r="D21" s="164"/>
      <c r="E21" s="165"/>
      <c r="F21" s="164"/>
      <c r="G21" s="165"/>
      <c r="H21" s="64"/>
      <c r="I21" s="10"/>
      <c r="J21" s="10"/>
      <c r="K21" s="166"/>
      <c r="L21" s="171"/>
    </row>
    <row r="22" spans="1:12" ht="20.100000000000001" customHeight="1">
      <c r="A22" s="84"/>
      <c r="B22" s="85"/>
      <c r="C22" s="163"/>
      <c r="D22" s="164"/>
      <c r="E22" s="165"/>
      <c r="F22" s="164"/>
      <c r="G22" s="165"/>
      <c r="H22" s="64"/>
      <c r="I22" s="10"/>
      <c r="J22" s="10"/>
      <c r="K22" s="166"/>
      <c r="L22" s="171"/>
    </row>
    <row r="23" spans="1:12" ht="20.100000000000001" customHeight="1">
      <c r="A23" s="84"/>
      <c r="B23" s="71"/>
      <c r="C23" s="16"/>
      <c r="D23" s="72"/>
      <c r="E23" s="165"/>
      <c r="F23" s="164"/>
      <c r="G23" s="165"/>
      <c r="H23" s="64"/>
      <c r="I23" s="10"/>
      <c r="J23" s="10"/>
      <c r="K23" s="166"/>
      <c r="L23" s="171"/>
    </row>
    <row r="24" spans="1:12" ht="27.95" customHeight="1">
      <c r="A24" s="84"/>
      <c r="B24" t="s">
        <v>208</v>
      </c>
      <c r="L24" s="13"/>
    </row>
    <row r="25" spans="1:12" ht="27.95" customHeight="1">
      <c r="A25" s="12"/>
      <c r="B25" t="s">
        <v>209</v>
      </c>
      <c r="L25" s="13"/>
    </row>
    <row r="26" spans="1:12" ht="27.95" customHeight="1">
      <c r="A26" s="12"/>
      <c r="B26" t="s">
        <v>220</v>
      </c>
      <c r="J26" t="s">
        <v>219</v>
      </c>
      <c r="L26" s="13"/>
    </row>
    <row r="27" spans="1:12" ht="19.5" customHeight="1">
      <c r="A27" s="12"/>
      <c r="G27" s="2" t="s">
        <v>217</v>
      </c>
      <c r="H27" s="2"/>
      <c r="I27" s="2"/>
      <c r="J27" s="2"/>
      <c r="K27" s="2"/>
      <c r="L27" s="80"/>
    </row>
    <row r="28" spans="1:12" ht="11.25" customHeight="1">
      <c r="A28" s="12"/>
      <c r="B28" s="2"/>
      <c r="G28" t="s">
        <v>218</v>
      </c>
      <c r="H28" s="2"/>
      <c r="I28" s="2"/>
      <c r="J28" s="2"/>
      <c r="K28" s="2"/>
      <c r="L28" s="80"/>
    </row>
    <row r="29" spans="1:12" ht="27.95" customHeight="1">
      <c r="A29" s="12"/>
      <c r="B29" s="154" t="s">
        <v>221</v>
      </c>
      <c r="C29" s="150"/>
      <c r="D29" s="150"/>
      <c r="E29" s="150"/>
      <c r="F29" s="150"/>
      <c r="G29" s="150"/>
      <c r="H29" s="139"/>
      <c r="I29" s="139"/>
      <c r="J29" s="139"/>
      <c r="K29" s="139"/>
      <c r="L29" s="157"/>
    </row>
    <row r="30" spans="1:12" ht="27.95" customHeight="1">
      <c r="A30" s="12"/>
      <c r="B30" s="154" t="s">
        <v>222</v>
      </c>
      <c r="C30" s="150"/>
      <c r="D30" s="150"/>
      <c r="E30" s="150"/>
      <c r="F30" s="150"/>
      <c r="G30" s="150"/>
      <c r="H30" s="139"/>
      <c r="I30" s="139"/>
      <c r="J30" s="140"/>
      <c r="K30" s="139"/>
      <c r="L30" s="157"/>
    </row>
    <row r="31" spans="1:12" ht="27.95" customHeight="1">
      <c r="A31" s="12"/>
      <c r="B31" s="85" t="s">
        <v>5</v>
      </c>
      <c r="C31" s="1248" t="s">
        <v>223</v>
      </c>
      <c r="D31" s="1216"/>
      <c r="E31" s="1216"/>
      <c r="F31" s="1216"/>
      <c r="G31" s="1216"/>
      <c r="H31" s="1249"/>
      <c r="I31" s="146" t="s">
        <v>102</v>
      </c>
      <c r="J31" s="1250" t="s">
        <v>224</v>
      </c>
      <c r="K31" s="1251"/>
      <c r="L31" s="1252"/>
    </row>
    <row r="32" spans="1:12" ht="20.100000000000001" customHeight="1">
      <c r="A32" s="12"/>
      <c r="B32" s="148">
        <v>1</v>
      </c>
      <c r="C32" s="182"/>
      <c r="D32" s="89"/>
      <c r="E32" s="95">
        <v>2</v>
      </c>
      <c r="F32" s="63"/>
      <c r="G32" s="1244"/>
      <c r="H32" s="1219"/>
      <c r="I32" s="89">
        <v>3</v>
      </c>
      <c r="J32" s="169" t="s">
        <v>225</v>
      </c>
      <c r="K32" s="1253">
        <v>4</v>
      </c>
      <c r="L32" s="1254"/>
    </row>
    <row r="33" spans="1:12" ht="20.100000000000001" customHeight="1">
      <c r="A33" s="12"/>
      <c r="B33" s="85"/>
      <c r="C33" s="182"/>
      <c r="D33" s="89"/>
      <c r="E33" s="95"/>
      <c r="F33" s="63"/>
      <c r="G33" s="1244"/>
      <c r="H33" s="1219"/>
      <c r="I33" s="166"/>
      <c r="J33" s="182"/>
      <c r="K33" s="1244"/>
      <c r="L33" s="1220"/>
    </row>
    <row r="34" spans="1:12" ht="20.100000000000001" customHeight="1">
      <c r="A34" s="12"/>
      <c r="B34" s="85"/>
      <c r="C34" s="182"/>
      <c r="D34" s="89"/>
      <c r="E34" s="95"/>
      <c r="F34" s="63"/>
      <c r="G34" s="1244"/>
      <c r="H34" s="1219"/>
      <c r="I34" s="166"/>
      <c r="J34" s="168"/>
      <c r="K34" s="1244"/>
      <c r="L34" s="1220"/>
    </row>
    <row r="35" spans="1:12" ht="20.100000000000001" customHeight="1">
      <c r="A35" s="12"/>
      <c r="B35" s="85"/>
      <c r="C35" s="182"/>
      <c r="D35" s="89"/>
      <c r="E35" s="95"/>
      <c r="F35" s="63"/>
      <c r="G35" s="1244"/>
      <c r="H35" s="1219"/>
      <c r="I35" s="166"/>
      <c r="J35" s="168"/>
      <c r="K35" s="1244"/>
      <c r="L35" s="1220"/>
    </row>
    <row r="36" spans="1:12" ht="20.100000000000001" customHeight="1">
      <c r="A36" s="12"/>
      <c r="B36" s="71"/>
      <c r="C36" s="182"/>
      <c r="D36" s="89"/>
      <c r="E36" s="95"/>
      <c r="F36" s="63"/>
      <c r="G36" s="1244"/>
      <c r="H36" s="1219"/>
      <c r="I36" s="166"/>
      <c r="J36" s="168"/>
      <c r="K36" s="1244"/>
      <c r="L36" s="1220"/>
    </row>
    <row r="37" spans="1:12" ht="27.95" customHeight="1">
      <c r="A37" s="12"/>
      <c r="B37" t="s">
        <v>229</v>
      </c>
      <c r="L37" s="13"/>
    </row>
    <row r="38" spans="1:12" ht="19.5" customHeight="1">
      <c r="A38" s="12"/>
      <c r="B38" t="s">
        <v>230</v>
      </c>
      <c r="L38" s="13"/>
    </row>
    <row r="39" spans="1:12" ht="19.5" customHeight="1">
      <c r="A39" s="12"/>
      <c r="B39" t="s">
        <v>231</v>
      </c>
      <c r="L39" s="13"/>
    </row>
    <row r="40" spans="1:12" ht="15.75" customHeight="1">
      <c r="A40" s="12"/>
      <c r="B40" t="s">
        <v>232</v>
      </c>
      <c r="L40" s="13"/>
    </row>
    <row r="41" spans="1:12" ht="27.95" customHeight="1">
      <c r="A41" s="12"/>
      <c r="B41" s="165" t="s">
        <v>226</v>
      </c>
      <c r="C41" s="63"/>
      <c r="D41" s="63"/>
      <c r="E41" s="63"/>
      <c r="F41" s="64"/>
      <c r="G41" s="165" t="s">
        <v>202</v>
      </c>
      <c r="H41" s="64"/>
      <c r="I41" s="165" t="s">
        <v>227</v>
      </c>
      <c r="J41" s="63"/>
      <c r="K41" s="64"/>
      <c r="L41" s="13"/>
    </row>
    <row r="42" spans="1:12" ht="27.95" customHeight="1">
      <c r="A42" s="12"/>
      <c r="B42" s="1221"/>
      <c r="C42" s="1243"/>
      <c r="D42" s="1243"/>
      <c r="E42" s="1243"/>
      <c r="F42" s="1222"/>
      <c r="G42" s="1221"/>
      <c r="H42" s="1222"/>
      <c r="I42" s="1221"/>
      <c r="J42" s="1243"/>
      <c r="K42" s="1222"/>
      <c r="L42" s="13"/>
    </row>
    <row r="43" spans="1:12" ht="27.95" customHeight="1">
      <c r="A43" s="12"/>
      <c r="B43" s="1221"/>
      <c r="C43" s="1243"/>
      <c r="D43" s="1243"/>
      <c r="E43" s="1243"/>
      <c r="F43" s="1222"/>
      <c r="G43" s="1221"/>
      <c r="H43" s="1222"/>
      <c r="I43" s="1221"/>
      <c r="J43" s="1243"/>
      <c r="K43" s="1222"/>
      <c r="L43" s="13"/>
    </row>
    <row r="44" spans="1:12" ht="27.95" customHeight="1">
      <c r="A44" s="12"/>
      <c r="B44" s="1221"/>
      <c r="C44" s="1243"/>
      <c r="D44" s="1243"/>
      <c r="E44" s="1243"/>
      <c r="F44" s="1222"/>
      <c r="G44" s="1221"/>
      <c r="H44" s="1222"/>
      <c r="I44" s="1221"/>
      <c r="J44" s="1243"/>
      <c r="K44" s="1222"/>
      <c r="L44" s="13"/>
    </row>
    <row r="45" spans="1:12" ht="27.95" customHeight="1">
      <c r="A45" s="12"/>
      <c r="B45" s="1221"/>
      <c r="C45" s="1243"/>
      <c r="D45" s="1243"/>
      <c r="E45" s="1243"/>
      <c r="F45" s="1222"/>
      <c r="G45" s="1221"/>
      <c r="H45" s="1222"/>
      <c r="I45" s="1221"/>
      <c r="J45" s="1243"/>
      <c r="K45" s="1222"/>
      <c r="L45" s="13"/>
    </row>
    <row r="46" spans="1:12">
      <c r="A46" s="12"/>
      <c r="L46" s="13"/>
    </row>
    <row r="47" spans="1:12">
      <c r="A47" s="12"/>
      <c r="B47" t="s">
        <v>199</v>
      </c>
      <c r="C47" s="263" t="e">
        <f>'0422Master'!#REF!</f>
        <v>#REF!</v>
      </c>
      <c r="I47" t="s">
        <v>228</v>
      </c>
      <c r="L47" s="13"/>
    </row>
    <row r="48" spans="1:12" ht="18.75">
      <c r="A48" s="12"/>
      <c r="F48" s="153" t="s">
        <v>194</v>
      </c>
      <c r="L48" s="13"/>
    </row>
    <row r="49" spans="1:12">
      <c r="A49" s="12" t="s">
        <v>195</v>
      </c>
      <c r="K49" s="203" t="e">
        <f>'0422Master'!#REF!</f>
        <v>#REF!</v>
      </c>
      <c r="L49" s="13"/>
    </row>
    <row r="50" spans="1:12">
      <c r="A50" s="12" t="s">
        <v>196</v>
      </c>
      <c r="L50" s="13"/>
    </row>
    <row r="51" spans="1:12">
      <c r="A51" s="12"/>
      <c r="L51" s="13"/>
    </row>
    <row r="52" spans="1:12">
      <c r="A52" s="12"/>
      <c r="F52" t="s">
        <v>197</v>
      </c>
      <c r="L52" s="13"/>
    </row>
    <row r="53" spans="1:12">
      <c r="A53" s="12" t="s">
        <v>198</v>
      </c>
      <c r="B53" t="s">
        <v>362</v>
      </c>
      <c r="F53" t="str">
        <f>'0422Master'!F5</f>
        <v>Burgeon IT Services Pvt.Ltd.</v>
      </c>
      <c r="L53" s="13"/>
    </row>
    <row r="54" spans="1:12" ht="15.75" thickBot="1">
      <c r="A54" s="24" t="s">
        <v>199</v>
      </c>
      <c r="B54" s="266" t="e">
        <f>'0422Master'!#REF!</f>
        <v>#REF!</v>
      </c>
      <c r="C54" s="22"/>
      <c r="D54" s="22"/>
      <c r="E54" s="22"/>
      <c r="F54" s="22" t="str">
        <f>'0422Master'!F6</f>
        <v>Siri Mansion LIGB 436 Dr.A S Rao Nagar,Hyderabad</v>
      </c>
      <c r="G54" s="22"/>
      <c r="H54" s="22"/>
      <c r="I54" s="22"/>
      <c r="J54" s="22"/>
      <c r="K54" s="22"/>
      <c r="L54" s="23"/>
    </row>
    <row r="55" spans="1:12" ht="27.95" customHeight="1">
      <c r="A55" s="73"/>
      <c r="B55" s="74"/>
      <c r="C55" s="74"/>
      <c r="D55" s="158"/>
      <c r="E55" s="158"/>
      <c r="F55" s="158"/>
      <c r="G55" s="158"/>
      <c r="H55" s="158"/>
      <c r="I55" s="158"/>
      <c r="J55" s="74"/>
      <c r="K55" s="160" t="s">
        <v>213</v>
      </c>
      <c r="L55" s="159"/>
    </row>
    <row r="56" spans="1:12" ht="27.95" customHeight="1">
      <c r="A56" s="12"/>
      <c r="B56" s="1245" t="s">
        <v>212</v>
      </c>
      <c r="C56" s="1245"/>
      <c r="D56" s="1245"/>
      <c r="E56" s="1245"/>
      <c r="F56" s="1245"/>
      <c r="G56" s="1245"/>
      <c r="H56" s="1245"/>
      <c r="I56" s="1245"/>
      <c r="J56" s="1245"/>
      <c r="K56" s="1245"/>
      <c r="L56" s="1246"/>
    </row>
    <row r="57" spans="1:12" ht="27.95" customHeight="1">
      <c r="A57" s="12"/>
      <c r="B57" s="1240" t="s">
        <v>214</v>
      </c>
      <c r="C57" s="1240"/>
      <c r="D57" s="1240"/>
      <c r="E57" s="1240"/>
      <c r="F57" s="1240"/>
      <c r="G57" s="1240"/>
      <c r="H57" s="1240"/>
      <c r="I57" s="1240"/>
      <c r="J57" s="1240"/>
      <c r="K57" s="1240"/>
      <c r="L57" s="1247"/>
    </row>
    <row r="58" spans="1:12" ht="27.95" customHeight="1">
      <c r="A58" s="12"/>
      <c r="B58" s="161" t="s">
        <v>215</v>
      </c>
      <c r="C58" s="161"/>
      <c r="D58" s="161"/>
      <c r="E58" s="161"/>
      <c r="F58" s="161"/>
      <c r="H58" s="162"/>
      <c r="I58" s="162"/>
      <c r="J58" s="162"/>
      <c r="K58" s="162"/>
      <c r="L58" s="170"/>
    </row>
    <row r="59" spans="1:12" ht="27.95" customHeight="1">
      <c r="A59" s="12"/>
      <c r="B59" s="161"/>
      <c r="C59" s="161"/>
      <c r="D59" s="161"/>
      <c r="E59" s="161"/>
      <c r="F59" s="161"/>
      <c r="H59" s="162"/>
      <c r="I59" s="162"/>
      <c r="J59" s="162"/>
      <c r="K59" s="162"/>
      <c r="L59" s="170"/>
    </row>
    <row r="60" spans="1:12" ht="27.95" customHeight="1">
      <c r="A60" s="12"/>
      <c r="B60" s="1213" t="s">
        <v>185</v>
      </c>
      <c r="C60" s="1213"/>
      <c r="D60" s="1213"/>
      <c r="E60" s="1213"/>
      <c r="F60" s="1213"/>
      <c r="G60" s="1213"/>
      <c r="H60" s="1233" t="e">
        <f>'0422Master'!#REF!</f>
        <v>#REF!</v>
      </c>
      <c r="I60" s="1228"/>
      <c r="J60" s="1228"/>
      <c r="K60" s="1228"/>
      <c r="L60" s="1071"/>
    </row>
    <row r="61" spans="1:12" ht="27.95" customHeight="1">
      <c r="A61" s="12"/>
      <c r="B61" s="1234" t="s">
        <v>186</v>
      </c>
      <c r="C61" s="1234"/>
      <c r="D61" s="1234"/>
      <c r="E61" s="1234"/>
      <c r="F61" s="1234"/>
      <c r="G61" s="1234"/>
      <c r="H61" s="1233" t="e">
        <f>'0422Master'!#REF!</f>
        <v>#REF!</v>
      </c>
      <c r="I61" s="1228"/>
      <c r="J61" s="1228"/>
      <c r="K61" s="1228"/>
      <c r="L61" s="1071"/>
    </row>
    <row r="62" spans="1:12" ht="27.95" customHeight="1">
      <c r="A62" s="12"/>
      <c r="B62" s="1213" t="s">
        <v>187</v>
      </c>
      <c r="C62" s="1213"/>
      <c r="D62" s="1213"/>
      <c r="E62" s="1213"/>
      <c r="F62" s="1213"/>
      <c r="G62" s="1213"/>
      <c r="H62" s="1233" t="e">
        <f>'0422Master'!#REF!</f>
        <v>#REF!</v>
      </c>
      <c r="I62" s="1228"/>
      <c r="J62" s="1228"/>
      <c r="K62" s="1228"/>
      <c r="L62" s="1071"/>
    </row>
    <row r="63" spans="1:12" ht="27.95" customHeight="1">
      <c r="A63" s="12"/>
      <c r="B63" s="1213" t="s">
        <v>188</v>
      </c>
      <c r="C63" s="1213"/>
      <c r="D63" s="1213"/>
      <c r="E63" s="1213"/>
      <c r="F63" s="1213"/>
      <c r="G63" s="1213"/>
      <c r="H63" s="1227" t="e">
        <f>'0422Master'!#REF!</f>
        <v>#REF!</v>
      </c>
      <c r="I63" s="1228"/>
      <c r="J63" s="1228"/>
      <c r="K63" s="1228"/>
      <c r="L63" s="1071"/>
    </row>
    <row r="64" spans="1:12" ht="27.95" customHeight="1">
      <c r="A64" s="12"/>
      <c r="B64" s="85" t="s">
        <v>189</v>
      </c>
      <c r="C64" s="86"/>
      <c r="D64" s="86"/>
      <c r="E64" s="86"/>
      <c r="F64" s="86"/>
      <c r="G64" s="86"/>
      <c r="H64" s="1229" t="s">
        <v>190</v>
      </c>
      <c r="I64" s="1230"/>
      <c r="J64" s="1230"/>
      <c r="K64" s="1230"/>
      <c r="L64" s="1231"/>
    </row>
    <row r="65" spans="1:12" ht="27.95" customHeight="1">
      <c r="A65" s="12"/>
      <c r="B65" s="85" t="s">
        <v>191</v>
      </c>
      <c r="C65" s="86"/>
      <c r="D65" s="86"/>
      <c r="E65" s="86"/>
      <c r="F65" s="86"/>
      <c r="G65" s="86"/>
      <c r="H65" s="87"/>
      <c r="I65" s="89"/>
      <c r="J65" s="152"/>
      <c r="K65" s="89"/>
      <c r="L65" s="94"/>
    </row>
    <row r="66" spans="1:12">
      <c r="A66" s="12"/>
      <c r="B66" s="1082" t="s">
        <v>192</v>
      </c>
      <c r="C66" s="1082"/>
      <c r="D66" s="1082"/>
      <c r="E66" s="1082"/>
      <c r="F66" s="1082"/>
      <c r="G66" s="1082"/>
      <c r="H66" s="1074" t="e">
        <f>'0422Master'!#REF!</f>
        <v>#REF!</v>
      </c>
      <c r="I66" s="1075"/>
      <c r="J66" s="1075"/>
      <c r="K66" s="1075"/>
      <c r="L66" s="1076"/>
    </row>
    <row r="67" spans="1:12">
      <c r="A67" s="12"/>
      <c r="B67" s="1213"/>
      <c r="C67" s="1213"/>
      <c r="D67" s="1213"/>
      <c r="E67" s="1213"/>
      <c r="F67" s="1213"/>
      <c r="G67" s="1213"/>
      <c r="H67" s="1232" t="e">
        <f>'0422Master'!#REF!</f>
        <v>#REF!</v>
      </c>
      <c r="I67" s="1228"/>
      <c r="J67" s="1228"/>
      <c r="K67" s="1228"/>
      <c r="L67" s="1071"/>
    </row>
    <row r="68" spans="1:12">
      <c r="A68" s="12"/>
      <c r="B68" s="1213"/>
      <c r="C68" s="1213"/>
      <c r="D68" s="1213"/>
      <c r="E68" s="1213"/>
      <c r="F68" s="1213"/>
      <c r="G68" s="1213"/>
      <c r="H68" s="1233" t="e">
        <f>'0422Master'!#REF!</f>
        <v>#REF!</v>
      </c>
      <c r="I68" s="1228"/>
      <c r="J68" s="1228"/>
      <c r="K68" s="1228"/>
      <c r="L68" s="1071"/>
    </row>
    <row r="69" spans="1:12">
      <c r="A69" s="12"/>
      <c r="G69" s="2" t="s">
        <v>216</v>
      </c>
      <c r="H69" s="2"/>
      <c r="I69" s="2"/>
      <c r="J69" s="2"/>
      <c r="K69" s="2"/>
      <c r="L69" s="80"/>
    </row>
    <row r="70" spans="1:12">
      <c r="A70" s="12"/>
      <c r="B70" s="154" t="s">
        <v>200</v>
      </c>
      <c r="C70" s="150"/>
      <c r="D70" s="150"/>
      <c r="E70" s="150"/>
      <c r="F70" s="150"/>
      <c r="G70" s="150"/>
      <c r="H70" s="139"/>
      <c r="I70" s="139"/>
      <c r="J70" s="139"/>
      <c r="K70" s="139"/>
      <c r="L70" s="157"/>
    </row>
    <row r="71" spans="1:12">
      <c r="A71" s="12"/>
      <c r="B71" s="154" t="s">
        <v>201</v>
      </c>
      <c r="C71" s="150"/>
      <c r="D71" s="150"/>
      <c r="E71" s="150"/>
      <c r="F71" s="150"/>
      <c r="G71" s="150"/>
      <c r="H71" s="139"/>
      <c r="I71" s="139"/>
      <c r="J71" s="140"/>
      <c r="K71" s="139"/>
      <c r="L71" s="157"/>
    </row>
    <row r="72" spans="1:12" ht="45">
      <c r="A72" s="84"/>
      <c r="B72" s="85" t="s">
        <v>204</v>
      </c>
      <c r="C72" s="86"/>
      <c r="D72" s="167"/>
      <c r="E72" s="145" t="s">
        <v>206</v>
      </c>
      <c r="F72" s="64"/>
      <c r="G72" s="1218" t="s">
        <v>205</v>
      </c>
      <c r="H72" s="1219"/>
      <c r="I72" s="144" t="s">
        <v>202</v>
      </c>
      <c r="J72" s="147" t="s">
        <v>207</v>
      </c>
      <c r="K72" s="1218" t="s">
        <v>203</v>
      </c>
      <c r="L72" s="1220"/>
    </row>
    <row r="73" spans="1:12">
      <c r="A73" s="84"/>
      <c r="B73" s="148">
        <v>1</v>
      </c>
      <c r="C73" s="86"/>
      <c r="D73" s="86"/>
      <c r="E73" s="151">
        <v>2</v>
      </c>
      <c r="F73" s="90"/>
      <c r="G73" s="151">
        <v>3</v>
      </c>
      <c r="H73" s="167"/>
      <c r="I73" s="167">
        <v>4</v>
      </c>
      <c r="J73" s="99">
        <v>5</v>
      </c>
      <c r="K73" s="92"/>
      <c r="L73" s="93">
        <v>6</v>
      </c>
    </row>
    <row r="74" spans="1:12">
      <c r="A74" s="84"/>
      <c r="B74" s="85" t="e">
        <f>'0422Master'!#REF!</f>
        <v>#REF!</v>
      </c>
      <c r="C74" s="163"/>
      <c r="D74" s="164"/>
      <c r="E74" s="165" t="s">
        <v>366</v>
      </c>
      <c r="F74" s="164"/>
      <c r="G74" s="165" t="s">
        <v>364</v>
      </c>
      <c r="H74" s="64"/>
      <c r="I74" s="10" t="s">
        <v>367</v>
      </c>
      <c r="J74" s="264">
        <v>1</v>
      </c>
      <c r="K74" s="166" t="s">
        <v>37</v>
      </c>
      <c r="L74" s="171"/>
    </row>
    <row r="75" spans="1:12">
      <c r="A75" s="84"/>
      <c r="B75" s="85"/>
      <c r="C75" s="163"/>
      <c r="D75" s="164"/>
      <c r="E75" s="165"/>
      <c r="F75" s="164"/>
      <c r="G75" s="165"/>
      <c r="H75" s="64"/>
      <c r="I75" s="10"/>
      <c r="J75" s="10"/>
      <c r="K75" s="166"/>
      <c r="L75" s="171"/>
    </row>
    <row r="76" spans="1:12">
      <c r="A76" s="84"/>
      <c r="B76" s="85"/>
      <c r="C76" s="163"/>
      <c r="D76" s="164"/>
      <c r="E76" s="165"/>
      <c r="F76" s="164"/>
      <c r="G76" s="165"/>
      <c r="H76" s="64"/>
      <c r="I76" s="10"/>
      <c r="J76" s="10"/>
      <c r="K76" s="166"/>
      <c r="L76" s="171"/>
    </row>
    <row r="77" spans="1:12">
      <c r="A77" s="84"/>
      <c r="B77" s="71"/>
      <c r="C77" s="16"/>
      <c r="D77" s="72"/>
      <c r="E77" s="165"/>
      <c r="F77" s="164"/>
      <c r="G77" s="165"/>
      <c r="H77" s="64"/>
      <c r="I77" s="10"/>
      <c r="J77" s="10"/>
      <c r="K77" s="166"/>
      <c r="L77" s="171"/>
    </row>
    <row r="78" spans="1:12">
      <c r="A78" s="84"/>
      <c r="B78" t="s">
        <v>208</v>
      </c>
      <c r="L78" s="13"/>
    </row>
    <row r="79" spans="1:12">
      <c r="A79" s="12"/>
      <c r="B79" t="s">
        <v>209</v>
      </c>
      <c r="L79" s="13"/>
    </row>
    <row r="80" spans="1:12">
      <c r="A80" s="12"/>
      <c r="B80" t="s">
        <v>220</v>
      </c>
      <c r="J80" t="s">
        <v>219</v>
      </c>
      <c r="L80" s="13"/>
    </row>
    <row r="81" spans="1:12">
      <c r="A81" s="12"/>
      <c r="G81" s="2" t="s">
        <v>217</v>
      </c>
      <c r="H81" s="2"/>
      <c r="I81" s="2"/>
      <c r="J81" s="2"/>
      <c r="K81" s="2"/>
      <c r="L81" s="80"/>
    </row>
    <row r="82" spans="1:12">
      <c r="A82" s="12"/>
      <c r="B82" s="2"/>
      <c r="G82" t="s">
        <v>218</v>
      </c>
      <c r="H82" s="2"/>
      <c r="I82" s="2"/>
      <c r="J82" s="2"/>
      <c r="K82" s="2"/>
      <c r="L82" s="80"/>
    </row>
    <row r="83" spans="1:12">
      <c r="A83" s="12"/>
      <c r="B83" s="154" t="s">
        <v>221</v>
      </c>
      <c r="C83" s="150"/>
      <c r="D83" s="150"/>
      <c r="E83" s="150"/>
      <c r="F83" s="150"/>
      <c r="G83" s="150"/>
      <c r="H83" s="139"/>
      <c r="I83" s="139"/>
      <c r="J83" s="139"/>
      <c r="K83" s="139"/>
      <c r="L83" s="157"/>
    </row>
    <row r="84" spans="1:12">
      <c r="A84" s="12"/>
      <c r="B84" s="154" t="s">
        <v>222</v>
      </c>
      <c r="C84" s="150"/>
      <c r="D84" s="150"/>
      <c r="E84" s="150"/>
      <c r="F84" s="150"/>
      <c r="G84" s="150"/>
      <c r="H84" s="139"/>
      <c r="I84" s="139"/>
      <c r="J84" s="140"/>
      <c r="K84" s="139"/>
      <c r="L84" s="157"/>
    </row>
    <row r="85" spans="1:12">
      <c r="A85" s="12"/>
      <c r="B85" s="85" t="s">
        <v>5</v>
      </c>
      <c r="C85" s="1248" t="s">
        <v>223</v>
      </c>
      <c r="D85" s="1216"/>
      <c r="E85" s="1216"/>
      <c r="F85" s="1216"/>
      <c r="G85" s="1216"/>
      <c r="H85" s="1249"/>
      <c r="I85" s="146" t="s">
        <v>102</v>
      </c>
      <c r="J85" s="1250" t="s">
        <v>224</v>
      </c>
      <c r="K85" s="1251"/>
      <c r="L85" s="1252"/>
    </row>
    <row r="86" spans="1:12">
      <c r="A86" s="12"/>
      <c r="B86" s="148">
        <v>1</v>
      </c>
      <c r="C86" s="182"/>
      <c r="D86" s="89"/>
      <c r="E86" s="95">
        <v>2</v>
      </c>
      <c r="F86" s="63"/>
      <c r="G86" s="1244"/>
      <c r="H86" s="1219"/>
      <c r="I86" s="89">
        <v>3</v>
      </c>
      <c r="J86" s="169" t="s">
        <v>225</v>
      </c>
      <c r="K86" s="1253">
        <v>4</v>
      </c>
      <c r="L86" s="1254"/>
    </row>
    <row r="87" spans="1:12" ht="15" customHeight="1">
      <c r="A87" s="12"/>
      <c r="B87" s="85"/>
      <c r="C87" s="182"/>
      <c r="D87" s="89"/>
      <c r="E87" s="95"/>
      <c r="F87" s="63"/>
      <c r="G87" s="1244"/>
      <c r="H87" s="1219"/>
      <c r="I87" s="166"/>
      <c r="J87" s="168"/>
      <c r="K87" s="1244"/>
      <c r="L87" s="1220"/>
    </row>
    <row r="88" spans="1:12">
      <c r="A88" s="12"/>
      <c r="B88" s="85"/>
      <c r="C88" s="182"/>
      <c r="D88" s="89"/>
      <c r="E88" s="95"/>
      <c r="F88" s="63"/>
      <c r="G88" s="1244"/>
      <c r="H88" s="1219"/>
      <c r="I88" s="166"/>
      <c r="J88" s="168"/>
      <c r="K88" s="1244"/>
      <c r="L88" s="1220"/>
    </row>
    <row r="89" spans="1:12">
      <c r="A89" s="12"/>
      <c r="B89" s="85"/>
      <c r="C89" s="182"/>
      <c r="D89" s="89"/>
      <c r="E89" s="95"/>
      <c r="F89" s="63"/>
      <c r="G89" s="1244"/>
      <c r="H89" s="1219"/>
      <c r="I89" s="166"/>
      <c r="J89" s="168"/>
      <c r="K89" s="1244"/>
      <c r="L89" s="1220"/>
    </row>
    <row r="90" spans="1:12">
      <c r="A90" s="12"/>
      <c r="B90" s="71"/>
      <c r="C90" s="182"/>
      <c r="D90" s="89"/>
      <c r="E90" s="95"/>
      <c r="F90" s="63"/>
      <c r="G90" s="1244"/>
      <c r="H90" s="1219"/>
      <c r="I90" s="166"/>
      <c r="J90" s="168"/>
      <c r="K90" s="1244"/>
      <c r="L90" s="1220"/>
    </row>
    <row r="91" spans="1:12">
      <c r="A91" s="12"/>
      <c r="B91" t="s">
        <v>229</v>
      </c>
      <c r="L91" s="13"/>
    </row>
    <row r="92" spans="1:12">
      <c r="A92" s="12"/>
      <c r="B92" t="s">
        <v>230</v>
      </c>
      <c r="L92" s="13"/>
    </row>
    <row r="93" spans="1:12">
      <c r="A93" s="12"/>
      <c r="B93" t="s">
        <v>231</v>
      </c>
      <c r="L93" s="13"/>
    </row>
    <row r="94" spans="1:12">
      <c r="A94" s="12"/>
      <c r="B94" t="s">
        <v>232</v>
      </c>
      <c r="L94" s="13"/>
    </row>
    <row r="95" spans="1:12">
      <c r="A95" s="12"/>
      <c r="B95" s="165" t="s">
        <v>226</v>
      </c>
      <c r="C95" s="63"/>
      <c r="D95" s="63"/>
      <c r="E95" s="63"/>
      <c r="F95" s="64"/>
      <c r="G95" s="165" t="s">
        <v>202</v>
      </c>
      <c r="H95" s="64"/>
      <c r="I95" s="165" t="s">
        <v>227</v>
      </c>
      <c r="J95" s="63"/>
      <c r="K95" s="64"/>
      <c r="L95" s="13"/>
    </row>
    <row r="96" spans="1:12">
      <c r="A96" s="12"/>
      <c r="B96" s="1221"/>
      <c r="C96" s="1243"/>
      <c r="D96" s="1243"/>
      <c r="E96" s="1243"/>
      <c r="F96" s="1222"/>
      <c r="G96" s="1221"/>
      <c r="H96" s="1222"/>
      <c r="I96" s="1221"/>
      <c r="J96" s="1243"/>
      <c r="K96" s="1222"/>
      <c r="L96" s="13"/>
    </row>
    <row r="97" spans="1:12">
      <c r="A97" s="12"/>
      <c r="B97" s="1221"/>
      <c r="C97" s="1243"/>
      <c r="D97" s="1243"/>
      <c r="E97" s="1243"/>
      <c r="F97" s="1222"/>
      <c r="G97" s="1221"/>
      <c r="H97" s="1222"/>
      <c r="I97" s="1221"/>
      <c r="J97" s="1243"/>
      <c r="K97" s="1222"/>
      <c r="L97" s="13"/>
    </row>
    <row r="98" spans="1:12">
      <c r="A98" s="12"/>
      <c r="B98" s="1221"/>
      <c r="C98" s="1243"/>
      <c r="D98" s="1243"/>
      <c r="E98" s="1243"/>
      <c r="F98" s="1222"/>
      <c r="G98" s="1221"/>
      <c r="H98" s="1222"/>
      <c r="I98" s="1221"/>
      <c r="J98" s="1243"/>
      <c r="K98" s="1222"/>
      <c r="L98" s="13"/>
    </row>
    <row r="99" spans="1:12">
      <c r="A99" s="12"/>
      <c r="B99" s="1221"/>
      <c r="C99" s="1243"/>
      <c r="D99" s="1243"/>
      <c r="E99" s="1243"/>
      <c r="F99" s="1222"/>
      <c r="G99" s="1221"/>
      <c r="H99" s="1222"/>
      <c r="I99" s="1221"/>
      <c r="J99" s="1243"/>
      <c r="K99" s="1222"/>
      <c r="L99" s="13"/>
    </row>
    <row r="100" spans="1:12">
      <c r="A100" s="12"/>
      <c r="L100" s="13"/>
    </row>
    <row r="101" spans="1:12">
      <c r="A101" s="12"/>
      <c r="B101" t="s">
        <v>199</v>
      </c>
      <c r="C101" s="263" t="e">
        <f>'0422Master'!#REF!</f>
        <v>#REF!</v>
      </c>
      <c r="I101" t="s">
        <v>228</v>
      </c>
      <c r="L101" s="13"/>
    </row>
    <row r="102" spans="1:12" ht="27.95" customHeight="1">
      <c r="A102" s="12"/>
      <c r="F102" s="153" t="s">
        <v>194</v>
      </c>
      <c r="L102" s="13"/>
    </row>
    <row r="103" spans="1:12" ht="27.95" customHeight="1">
      <c r="A103" s="12" t="s">
        <v>195</v>
      </c>
      <c r="K103" s="203" t="e">
        <f>'0422Master'!#REF!</f>
        <v>#REF!</v>
      </c>
      <c r="L103" s="13"/>
    </row>
    <row r="104" spans="1:12" ht="27.95" customHeight="1">
      <c r="A104" s="12" t="s">
        <v>196</v>
      </c>
      <c r="L104" s="13"/>
    </row>
    <row r="105" spans="1:12" ht="27.95" customHeight="1">
      <c r="A105" s="12"/>
      <c r="L105" s="13"/>
    </row>
    <row r="106" spans="1:12" ht="27.95" customHeight="1">
      <c r="A106" s="12"/>
      <c r="F106" t="s">
        <v>197</v>
      </c>
      <c r="L106" s="13"/>
    </row>
    <row r="107" spans="1:12" ht="27.95" customHeight="1">
      <c r="A107" s="12" t="s">
        <v>198</v>
      </c>
      <c r="B107" t="s">
        <v>362</v>
      </c>
      <c r="F107" t="str">
        <f>'0422Master'!F5</f>
        <v>Burgeon IT Services Pvt.Ltd.</v>
      </c>
      <c r="L107" s="13"/>
    </row>
    <row r="108" spans="1:12" ht="27.95" customHeight="1" thickBot="1">
      <c r="A108" s="24" t="s">
        <v>199</v>
      </c>
      <c r="B108" s="266" t="e">
        <f>'0422Master'!#REF!</f>
        <v>#REF!</v>
      </c>
      <c r="C108" s="22"/>
      <c r="D108" s="22"/>
      <c r="E108" s="22"/>
      <c r="F108" s="22" t="str">
        <f>'0422Master'!F6</f>
        <v>Siri Mansion LIGB 436 Dr.A S Rao Nagar,Hyderabad</v>
      </c>
      <c r="G108" s="22"/>
      <c r="H108" s="22"/>
      <c r="I108" s="22"/>
      <c r="J108" s="22"/>
      <c r="K108" s="22"/>
      <c r="L108" s="23"/>
    </row>
    <row r="109" spans="1:12" ht="27.95" customHeight="1">
      <c r="A109" s="73"/>
      <c r="B109" s="74"/>
      <c r="C109" s="74"/>
      <c r="D109" s="158"/>
      <c r="E109" s="158"/>
      <c r="F109" s="158"/>
      <c r="G109" s="158"/>
      <c r="H109" s="158"/>
      <c r="I109" s="158"/>
      <c r="J109" s="74"/>
      <c r="K109" s="160" t="s">
        <v>213</v>
      </c>
      <c r="L109" s="159"/>
    </row>
    <row r="110" spans="1:12" ht="27.95" customHeight="1">
      <c r="A110" s="12"/>
      <c r="B110" s="1245" t="s">
        <v>212</v>
      </c>
      <c r="C110" s="1245"/>
      <c r="D110" s="1245"/>
      <c r="E110" s="1245"/>
      <c r="F110" s="1245"/>
      <c r="G110" s="1245"/>
      <c r="H110" s="1245"/>
      <c r="I110" s="1245"/>
      <c r="J110" s="1245"/>
      <c r="K110" s="1245"/>
      <c r="L110" s="1246"/>
    </row>
    <row r="111" spans="1:12" ht="27.95" customHeight="1">
      <c r="A111" s="12"/>
      <c r="B111" s="1240" t="s">
        <v>214</v>
      </c>
      <c r="C111" s="1240"/>
      <c r="D111" s="1240"/>
      <c r="E111" s="1240"/>
      <c r="F111" s="1240"/>
      <c r="G111" s="1240"/>
      <c r="H111" s="1240"/>
      <c r="I111" s="1240"/>
      <c r="J111" s="1240"/>
      <c r="K111" s="1240"/>
      <c r="L111" s="1247"/>
    </row>
    <row r="112" spans="1:12" ht="27.95" customHeight="1">
      <c r="A112" s="12"/>
      <c r="B112" s="161" t="s">
        <v>215</v>
      </c>
      <c r="C112" s="161"/>
      <c r="D112" s="161"/>
      <c r="E112" s="161"/>
      <c r="F112" s="161"/>
      <c r="H112" s="162"/>
      <c r="I112" s="162"/>
      <c r="J112" s="162"/>
      <c r="K112" s="162"/>
      <c r="L112" s="170"/>
    </row>
    <row r="113" spans="1:12" ht="27.95" customHeight="1">
      <c r="A113" s="12"/>
      <c r="B113" s="161"/>
      <c r="C113" s="161"/>
      <c r="D113" s="161"/>
      <c r="E113" s="161"/>
      <c r="F113" s="161"/>
      <c r="H113" s="162"/>
      <c r="I113" s="162"/>
      <c r="J113" s="162"/>
      <c r="K113" s="162"/>
      <c r="L113" s="170"/>
    </row>
    <row r="114" spans="1:12" ht="27.95" customHeight="1">
      <c r="A114" s="12"/>
      <c r="B114" s="1213" t="s">
        <v>185</v>
      </c>
      <c r="C114" s="1213"/>
      <c r="D114" s="1213"/>
      <c r="E114" s="1213"/>
      <c r="F114" s="1213"/>
      <c r="G114" s="1213"/>
      <c r="H114" s="1233" t="e">
        <f>'0422Master'!#REF!</f>
        <v>#REF!</v>
      </c>
      <c r="I114" s="1228"/>
      <c r="J114" s="1228"/>
      <c r="K114" s="1228"/>
      <c r="L114" s="1071"/>
    </row>
    <row r="115" spans="1:12" ht="27.95" customHeight="1">
      <c r="A115" s="12"/>
      <c r="B115" s="1234" t="s">
        <v>186</v>
      </c>
      <c r="C115" s="1234"/>
      <c r="D115" s="1234"/>
      <c r="E115" s="1234"/>
      <c r="F115" s="1234"/>
      <c r="G115" s="1234"/>
      <c r="H115" s="1233" t="e">
        <f>'0422Master'!#REF!</f>
        <v>#REF!</v>
      </c>
      <c r="I115" s="1228"/>
      <c r="J115" s="1228"/>
      <c r="K115" s="1228"/>
      <c r="L115" s="1071"/>
    </row>
    <row r="116" spans="1:12" ht="27.95" customHeight="1">
      <c r="A116" s="12"/>
      <c r="B116" s="1213" t="s">
        <v>187</v>
      </c>
      <c r="C116" s="1213"/>
      <c r="D116" s="1213"/>
      <c r="E116" s="1213"/>
      <c r="F116" s="1213"/>
      <c r="G116" s="1213"/>
      <c r="H116" s="1233" t="e">
        <f>'0422Master'!#REF!</f>
        <v>#REF!</v>
      </c>
      <c r="I116" s="1228"/>
      <c r="J116" s="1228"/>
      <c r="K116" s="1228"/>
      <c r="L116" s="1071"/>
    </row>
    <row r="117" spans="1:12" ht="27.95" customHeight="1">
      <c r="A117" s="12"/>
      <c r="B117" s="1213" t="s">
        <v>188</v>
      </c>
      <c r="C117" s="1213"/>
      <c r="D117" s="1213"/>
      <c r="E117" s="1213"/>
      <c r="F117" s="1213"/>
      <c r="G117" s="1213"/>
      <c r="H117" s="1227" t="e">
        <f>'0422Master'!#REF!</f>
        <v>#REF!</v>
      </c>
      <c r="I117" s="1228"/>
      <c r="J117" s="1228"/>
      <c r="K117" s="1228"/>
      <c r="L117" s="1071"/>
    </row>
    <row r="118" spans="1:12" ht="27.95" customHeight="1">
      <c r="A118" s="12"/>
      <c r="B118" s="85" t="s">
        <v>189</v>
      </c>
      <c r="C118" s="86"/>
      <c r="D118" s="86"/>
      <c r="E118" s="86"/>
      <c r="F118" s="86"/>
      <c r="G118" s="86"/>
      <c r="H118" s="1229" t="s">
        <v>190</v>
      </c>
      <c r="I118" s="1230"/>
      <c r="J118" s="1230"/>
      <c r="K118" s="1230"/>
      <c r="L118" s="1231"/>
    </row>
    <row r="119" spans="1:12">
      <c r="A119" s="12"/>
      <c r="B119" s="85" t="s">
        <v>191</v>
      </c>
      <c r="C119" s="86"/>
      <c r="D119" s="86"/>
      <c r="E119" s="86"/>
      <c r="F119" s="86"/>
      <c r="G119" s="86"/>
    </row>
    <row r="120" spans="1:12">
      <c r="A120" s="12"/>
      <c r="B120" s="1082" t="s">
        <v>192</v>
      </c>
      <c r="C120" s="1082"/>
      <c r="D120" s="1082"/>
      <c r="E120" s="1082"/>
      <c r="F120" s="1082"/>
      <c r="G120" s="1082"/>
      <c r="H120" s="1233" t="e">
        <f>'0422Master'!#REF!</f>
        <v>#REF!</v>
      </c>
      <c r="I120" s="1228"/>
      <c r="J120" s="1228"/>
      <c r="K120" s="1228"/>
      <c r="L120" s="1228"/>
    </row>
    <row r="121" spans="1:12">
      <c r="A121" s="12"/>
      <c r="B121" s="1213"/>
      <c r="C121" s="1213"/>
      <c r="D121" s="1213"/>
      <c r="E121" s="1213"/>
      <c r="F121" s="1213"/>
      <c r="G121" s="1213"/>
      <c r="H121" s="1233" t="e">
        <f>'0422Master'!#REF!</f>
        <v>#REF!</v>
      </c>
      <c r="I121" s="1228"/>
      <c r="J121" s="1228"/>
      <c r="K121" s="1228"/>
      <c r="L121" s="1228"/>
    </row>
    <row r="122" spans="1:12">
      <c r="A122" s="12"/>
      <c r="B122" s="1213"/>
      <c r="C122" s="1213"/>
      <c r="D122" s="1213"/>
      <c r="E122" s="1213"/>
      <c r="F122" s="1213"/>
      <c r="G122" s="1213"/>
      <c r="H122" s="1232" t="e">
        <f>'0422Master'!#REF!</f>
        <v>#REF!</v>
      </c>
      <c r="I122" s="1228"/>
      <c r="J122" s="1228"/>
      <c r="K122" s="1228"/>
      <c r="L122" s="1071"/>
    </row>
    <row r="123" spans="1:12">
      <c r="A123" s="12"/>
      <c r="G123" s="2" t="s">
        <v>216</v>
      </c>
      <c r="H123" s="2"/>
      <c r="I123" s="2"/>
      <c r="J123" s="2"/>
      <c r="K123" s="2"/>
      <c r="L123" s="80"/>
    </row>
    <row r="124" spans="1:12">
      <c r="A124" s="12"/>
      <c r="B124" s="154" t="s">
        <v>200</v>
      </c>
      <c r="C124" s="150"/>
      <c r="D124" s="150"/>
      <c r="E124" s="150"/>
      <c r="F124" s="150"/>
      <c r="G124" s="150"/>
      <c r="H124" s="139"/>
      <c r="I124" s="139"/>
      <c r="J124" s="139"/>
      <c r="K124" s="139"/>
      <c r="L124" s="157"/>
    </row>
    <row r="125" spans="1:12">
      <c r="A125" s="12"/>
      <c r="B125" s="154" t="s">
        <v>201</v>
      </c>
      <c r="C125" s="150"/>
      <c r="D125" s="150"/>
      <c r="E125" s="150"/>
      <c r="F125" s="150"/>
      <c r="G125" s="150"/>
      <c r="H125" s="139"/>
      <c r="I125" s="139"/>
      <c r="J125" s="140"/>
      <c r="K125" s="139"/>
      <c r="L125" s="157"/>
    </row>
    <row r="126" spans="1:12" ht="45">
      <c r="A126" s="84"/>
      <c r="B126" s="85" t="s">
        <v>204</v>
      </c>
      <c r="C126" s="86"/>
      <c r="D126" s="167"/>
      <c r="E126" s="145" t="s">
        <v>206</v>
      </c>
      <c r="F126" s="64"/>
      <c r="G126" s="1218" t="s">
        <v>205</v>
      </c>
      <c r="H126" s="1219"/>
      <c r="I126" s="144" t="s">
        <v>202</v>
      </c>
      <c r="J126" s="147" t="s">
        <v>207</v>
      </c>
      <c r="K126" s="1218" t="s">
        <v>203</v>
      </c>
      <c r="L126" s="1220"/>
    </row>
    <row r="127" spans="1:12">
      <c r="A127" s="84"/>
      <c r="B127" s="148">
        <v>1</v>
      </c>
      <c r="C127" s="86"/>
      <c r="D127" s="86"/>
      <c r="E127" s="151">
        <v>2</v>
      </c>
      <c r="F127" s="90"/>
      <c r="G127" s="151">
        <v>3</v>
      </c>
      <c r="H127" s="167"/>
      <c r="I127" s="167">
        <v>4</v>
      </c>
      <c r="J127" s="99">
        <v>5</v>
      </c>
      <c r="K127" s="92"/>
      <c r="L127" s="93">
        <v>6</v>
      </c>
    </row>
    <row r="128" spans="1:12">
      <c r="A128" s="84"/>
      <c r="B128" s="85" t="e">
        <f>'0422Master'!#REF!</f>
        <v>#REF!</v>
      </c>
      <c r="C128" s="163"/>
      <c r="D128" s="164"/>
      <c r="E128" s="165" t="s">
        <v>366</v>
      </c>
      <c r="F128" s="164"/>
      <c r="G128" s="165" t="s">
        <v>364</v>
      </c>
      <c r="H128" s="64"/>
      <c r="I128" s="10" t="s">
        <v>367</v>
      </c>
      <c r="J128" s="264">
        <v>1</v>
      </c>
      <c r="K128" s="166" t="s">
        <v>37</v>
      </c>
      <c r="L128" s="171"/>
    </row>
    <row r="129" spans="1:12">
      <c r="A129" s="84"/>
      <c r="B129" s="85"/>
      <c r="C129" s="163"/>
      <c r="D129" s="164"/>
      <c r="E129" s="165"/>
      <c r="F129" s="164"/>
      <c r="G129" s="165"/>
      <c r="H129" s="64"/>
      <c r="I129" s="10"/>
      <c r="J129" s="10"/>
      <c r="K129" s="166"/>
      <c r="L129" s="171"/>
    </row>
    <row r="130" spans="1:12">
      <c r="A130" s="84"/>
      <c r="B130" s="85"/>
      <c r="C130" s="163"/>
      <c r="D130" s="164"/>
      <c r="E130" s="165"/>
      <c r="F130" s="164"/>
      <c r="G130" s="165"/>
      <c r="H130" s="64"/>
      <c r="I130" s="10"/>
      <c r="J130" s="10"/>
      <c r="K130" s="166"/>
      <c r="L130" s="171"/>
    </row>
    <row r="131" spans="1:12">
      <c r="A131" s="84"/>
      <c r="B131" s="71"/>
      <c r="C131" s="16"/>
      <c r="D131" s="72"/>
      <c r="E131" s="165"/>
      <c r="F131" s="164"/>
      <c r="G131" s="165"/>
      <c r="H131" s="64"/>
      <c r="I131" s="10"/>
      <c r="J131" s="10"/>
      <c r="K131" s="166"/>
      <c r="L131" s="171"/>
    </row>
    <row r="132" spans="1:12">
      <c r="A132" s="84"/>
      <c r="B132" t="s">
        <v>208</v>
      </c>
      <c r="L132" s="13"/>
    </row>
    <row r="133" spans="1:12">
      <c r="A133" s="12"/>
      <c r="B133" t="s">
        <v>209</v>
      </c>
      <c r="L133" s="13"/>
    </row>
    <row r="134" spans="1:12">
      <c r="A134" s="12"/>
      <c r="B134" t="s">
        <v>220</v>
      </c>
      <c r="J134" t="s">
        <v>219</v>
      </c>
      <c r="L134" s="13"/>
    </row>
    <row r="135" spans="1:12">
      <c r="A135" s="12"/>
      <c r="G135" s="2" t="s">
        <v>217</v>
      </c>
      <c r="H135" s="2"/>
      <c r="I135" s="2"/>
      <c r="J135" s="2"/>
      <c r="K135" s="2"/>
      <c r="L135" s="80"/>
    </row>
    <row r="136" spans="1:12">
      <c r="A136" s="12"/>
      <c r="B136" s="2"/>
      <c r="G136" t="s">
        <v>218</v>
      </c>
      <c r="H136" s="2"/>
      <c r="I136" s="2"/>
      <c r="J136" s="2"/>
      <c r="K136" s="2"/>
      <c r="L136" s="80"/>
    </row>
    <row r="137" spans="1:12">
      <c r="A137" s="12"/>
      <c r="B137" s="154" t="s">
        <v>221</v>
      </c>
      <c r="C137" s="150"/>
      <c r="D137" s="150"/>
      <c r="E137" s="150"/>
      <c r="F137" s="150"/>
      <c r="G137" s="150"/>
      <c r="H137" s="139"/>
      <c r="I137" s="139"/>
      <c r="J137" s="139"/>
      <c r="K137" s="139"/>
      <c r="L137" s="157"/>
    </row>
    <row r="138" spans="1:12">
      <c r="A138" s="12"/>
      <c r="B138" s="154" t="s">
        <v>222</v>
      </c>
      <c r="C138" s="150"/>
      <c r="D138" s="150"/>
      <c r="E138" s="150"/>
      <c r="F138" s="150"/>
      <c r="G138" s="150"/>
      <c r="H138" s="139"/>
      <c r="I138" s="139"/>
      <c r="J138" s="140"/>
      <c r="K138" s="139"/>
      <c r="L138" s="157"/>
    </row>
    <row r="139" spans="1:12">
      <c r="A139" s="12"/>
      <c r="B139" s="85" t="s">
        <v>5</v>
      </c>
      <c r="C139" s="1248" t="s">
        <v>223</v>
      </c>
      <c r="D139" s="1216"/>
      <c r="E139" s="1216"/>
      <c r="F139" s="1216"/>
      <c r="G139" s="1216"/>
      <c r="H139" s="1249"/>
      <c r="I139" s="146" t="s">
        <v>102</v>
      </c>
      <c r="J139" s="1250" t="s">
        <v>224</v>
      </c>
      <c r="K139" s="1251"/>
      <c r="L139" s="1252"/>
    </row>
    <row r="140" spans="1:12">
      <c r="A140" s="12"/>
      <c r="B140" s="148">
        <v>1</v>
      </c>
      <c r="C140" s="182"/>
      <c r="D140" s="89"/>
      <c r="E140" s="95">
        <v>2</v>
      </c>
      <c r="F140" s="63"/>
      <c r="G140" s="1244"/>
      <c r="H140" s="1219"/>
      <c r="I140" s="89">
        <v>3</v>
      </c>
      <c r="J140" s="169" t="s">
        <v>225</v>
      </c>
      <c r="K140" s="1253">
        <v>4</v>
      </c>
      <c r="L140" s="1254"/>
    </row>
    <row r="141" spans="1:12">
      <c r="A141" s="12"/>
      <c r="B141" s="85"/>
      <c r="C141" s="182"/>
      <c r="D141" s="89"/>
      <c r="E141" s="95"/>
      <c r="F141" s="63"/>
      <c r="G141" s="1244"/>
      <c r="H141" s="1219"/>
      <c r="I141" s="166"/>
      <c r="J141" s="168"/>
      <c r="K141" s="1244"/>
      <c r="L141" s="1220"/>
    </row>
    <row r="142" spans="1:12">
      <c r="A142" s="12"/>
      <c r="B142" s="85"/>
      <c r="C142" s="182"/>
      <c r="D142" s="89"/>
      <c r="E142" s="95"/>
      <c r="F142" s="63"/>
      <c r="G142" s="1244"/>
      <c r="H142" s="1219"/>
      <c r="I142" s="166"/>
      <c r="J142" s="168"/>
      <c r="K142" s="1244"/>
      <c r="L142" s="1220"/>
    </row>
    <row r="143" spans="1:12">
      <c r="A143" s="12"/>
      <c r="B143" s="85"/>
      <c r="C143" s="182"/>
      <c r="D143" s="89"/>
      <c r="E143" s="95"/>
      <c r="F143" s="63"/>
      <c r="G143" s="1244"/>
      <c r="H143" s="1219"/>
      <c r="I143" s="166"/>
      <c r="J143" s="168"/>
      <c r="K143" s="1244"/>
      <c r="L143" s="1220"/>
    </row>
    <row r="144" spans="1:12">
      <c r="A144" s="12"/>
      <c r="B144" s="71"/>
      <c r="C144" s="182"/>
      <c r="D144" s="89"/>
      <c r="E144" s="95"/>
      <c r="F144" s="63"/>
      <c r="G144" s="1244"/>
      <c r="H144" s="1219"/>
      <c r="I144" s="166"/>
      <c r="J144" s="168"/>
      <c r="K144" s="1244"/>
      <c r="L144" s="1220"/>
    </row>
    <row r="145" spans="1:12">
      <c r="A145" s="12"/>
      <c r="B145" t="s">
        <v>229</v>
      </c>
      <c r="L145" s="13"/>
    </row>
    <row r="146" spans="1:12">
      <c r="A146" s="12"/>
      <c r="B146" t="s">
        <v>230</v>
      </c>
      <c r="L146" s="13"/>
    </row>
    <row r="147" spans="1:12">
      <c r="A147" s="12"/>
      <c r="B147" t="s">
        <v>231</v>
      </c>
      <c r="L147" s="13"/>
    </row>
    <row r="148" spans="1:12">
      <c r="A148" s="12"/>
      <c r="B148" t="s">
        <v>232</v>
      </c>
      <c r="L148" s="13"/>
    </row>
    <row r="149" spans="1:12">
      <c r="A149" s="12"/>
      <c r="B149" s="165" t="s">
        <v>226</v>
      </c>
      <c r="C149" s="63"/>
      <c r="D149" s="63"/>
      <c r="E149" s="63"/>
      <c r="F149" s="64"/>
      <c r="G149" s="165" t="s">
        <v>202</v>
      </c>
      <c r="H149" s="64"/>
      <c r="I149" s="165" t="s">
        <v>227</v>
      </c>
      <c r="J149" s="63"/>
      <c r="K149" s="64"/>
      <c r="L149" s="13"/>
    </row>
    <row r="150" spans="1:12">
      <c r="A150" s="12"/>
      <c r="B150" s="1221"/>
      <c r="C150" s="1243"/>
      <c r="D150" s="1243"/>
      <c r="E150" s="1243"/>
      <c r="F150" s="1222"/>
      <c r="G150" s="1221"/>
      <c r="H150" s="1222"/>
      <c r="I150" s="1221"/>
      <c r="J150" s="1243"/>
      <c r="K150" s="1222"/>
      <c r="L150" s="13"/>
    </row>
    <row r="151" spans="1:12">
      <c r="A151" s="12"/>
      <c r="B151" s="1221"/>
      <c r="C151" s="1243"/>
      <c r="D151" s="1243"/>
      <c r="E151" s="1243"/>
      <c r="F151" s="1222"/>
      <c r="G151" s="1221"/>
      <c r="H151" s="1222"/>
      <c r="I151" s="1221"/>
      <c r="J151" s="1243"/>
      <c r="K151" s="1222"/>
      <c r="L151" s="13"/>
    </row>
    <row r="152" spans="1:12">
      <c r="A152" s="12"/>
      <c r="B152" s="1221"/>
      <c r="C152" s="1243"/>
      <c r="D152" s="1243"/>
      <c r="E152" s="1243"/>
      <c r="F152" s="1222"/>
      <c r="G152" s="1221"/>
      <c r="H152" s="1222"/>
      <c r="I152" s="1221"/>
      <c r="J152" s="1243"/>
      <c r="K152" s="1222"/>
      <c r="L152" s="13"/>
    </row>
    <row r="153" spans="1:12">
      <c r="A153" s="12"/>
      <c r="B153" s="1221"/>
      <c r="C153" s="1243"/>
      <c r="D153" s="1243"/>
      <c r="E153" s="1243"/>
      <c r="F153" s="1222"/>
      <c r="G153" s="1221"/>
      <c r="H153" s="1222"/>
      <c r="I153" s="1221"/>
      <c r="J153" s="1243"/>
      <c r="K153" s="1222"/>
      <c r="L153" s="13"/>
    </row>
    <row r="154" spans="1:12" ht="27.95" customHeight="1">
      <c r="A154" s="12"/>
      <c r="L154" s="13"/>
    </row>
    <row r="155" spans="1:12" ht="27.95" customHeight="1">
      <c r="A155" s="12"/>
      <c r="B155" t="s">
        <v>199</v>
      </c>
      <c r="C155" s="263" t="e">
        <f>'0422Master'!#REF!</f>
        <v>#REF!</v>
      </c>
      <c r="I155" t="s">
        <v>228</v>
      </c>
      <c r="L155" s="13"/>
    </row>
    <row r="156" spans="1:12" ht="27.95" customHeight="1">
      <c r="A156" s="12"/>
      <c r="F156" s="153" t="s">
        <v>194</v>
      </c>
      <c r="L156" s="13"/>
    </row>
    <row r="157" spans="1:12" ht="27.95" customHeight="1">
      <c r="A157" s="12" t="s">
        <v>195</v>
      </c>
      <c r="L157" s="13"/>
    </row>
    <row r="158" spans="1:12" ht="27.95" customHeight="1">
      <c r="A158" s="12" t="s">
        <v>196</v>
      </c>
      <c r="L158" s="13"/>
    </row>
    <row r="159" spans="1:12" ht="27.95" customHeight="1">
      <c r="A159" s="12"/>
      <c r="L159" s="13"/>
    </row>
    <row r="160" spans="1:12" ht="27.95" customHeight="1">
      <c r="A160" s="12"/>
      <c r="F160" t="s">
        <v>197</v>
      </c>
      <c r="L160" s="13"/>
    </row>
    <row r="161" spans="1:12" ht="27.95" customHeight="1">
      <c r="A161" s="12" t="s">
        <v>198</v>
      </c>
      <c r="B161" t="s">
        <v>362</v>
      </c>
      <c r="F161" t="str">
        <f>'0422Master'!F5</f>
        <v>Burgeon IT Services Pvt.Ltd.</v>
      </c>
      <c r="L161" s="13"/>
    </row>
    <row r="162" spans="1:12" ht="27.95" customHeight="1" thickBot="1">
      <c r="A162" s="24" t="s">
        <v>199</v>
      </c>
      <c r="B162" s="266" t="e">
        <f>'0422Master'!#REF!</f>
        <v>#REF!</v>
      </c>
      <c r="C162" s="22"/>
      <c r="D162" s="22"/>
      <c r="E162" s="22"/>
      <c r="F162" s="22" t="str">
        <f>'0422Master'!F6</f>
        <v>Siri Mansion LIGB 436 Dr.A S Rao Nagar,Hyderabad</v>
      </c>
      <c r="G162" s="22"/>
      <c r="H162" s="22"/>
      <c r="I162" s="22"/>
      <c r="J162" s="22"/>
      <c r="K162" s="22"/>
      <c r="L162" s="23"/>
    </row>
    <row r="163" spans="1:12" ht="27.95" customHeight="1">
      <c r="A163" s="73"/>
      <c r="B163" s="74"/>
      <c r="C163" s="74"/>
      <c r="D163" s="158"/>
      <c r="E163" s="158"/>
      <c r="F163" s="158"/>
      <c r="G163" s="158"/>
      <c r="H163" s="158"/>
      <c r="I163" s="158"/>
      <c r="J163" s="74"/>
      <c r="K163" s="160" t="s">
        <v>213</v>
      </c>
      <c r="L163" s="159"/>
    </row>
    <row r="164" spans="1:12" ht="27.95" customHeight="1">
      <c r="A164" s="12"/>
      <c r="B164" s="1245" t="s">
        <v>212</v>
      </c>
      <c r="C164" s="1245"/>
      <c r="D164" s="1245"/>
      <c r="E164" s="1245"/>
      <c r="F164" s="1245"/>
      <c r="G164" s="1245"/>
      <c r="H164" s="1245"/>
      <c r="I164" s="1245"/>
      <c r="J164" s="1245"/>
      <c r="K164" s="1245"/>
      <c r="L164" s="1246"/>
    </row>
    <row r="165" spans="1:12" ht="27.95" customHeight="1">
      <c r="A165" s="12"/>
      <c r="B165" s="1240" t="s">
        <v>214</v>
      </c>
      <c r="C165" s="1240"/>
      <c r="D165" s="1240"/>
      <c r="E165" s="1240"/>
      <c r="F165" s="1240"/>
      <c r="G165" s="1240"/>
      <c r="H165" s="1240"/>
      <c r="I165" s="1240"/>
      <c r="J165" s="1240"/>
      <c r="K165" s="1240"/>
      <c r="L165" s="1247"/>
    </row>
    <row r="166" spans="1:12" ht="27.95" customHeight="1">
      <c r="A166" s="12"/>
      <c r="B166" s="161" t="s">
        <v>215</v>
      </c>
      <c r="C166" s="161"/>
      <c r="D166" s="161"/>
      <c r="E166" s="161"/>
      <c r="F166" s="161"/>
      <c r="H166" s="162"/>
      <c r="I166" s="162"/>
      <c r="J166" s="162"/>
      <c r="K166" s="162"/>
      <c r="L166" s="170"/>
    </row>
    <row r="167" spans="1:12" ht="27.95" customHeight="1">
      <c r="A167" s="12"/>
      <c r="B167" s="161"/>
      <c r="C167" s="161"/>
      <c r="D167" s="161"/>
      <c r="E167" s="161"/>
      <c r="F167" s="161"/>
      <c r="H167" s="162"/>
      <c r="I167" s="162"/>
      <c r="J167" s="162"/>
      <c r="K167" s="162"/>
      <c r="L167" s="170"/>
    </row>
    <row r="168" spans="1:12" ht="27.95" customHeight="1">
      <c r="A168" s="12"/>
      <c r="B168" s="1213" t="s">
        <v>185</v>
      </c>
      <c r="C168" s="1213"/>
      <c r="D168" s="1213"/>
      <c r="E168" s="1213"/>
      <c r="F168" s="1213"/>
      <c r="G168" s="1213"/>
      <c r="H168" s="1233" t="e">
        <f>'0422Master'!#REF!</f>
        <v>#REF!</v>
      </c>
      <c r="I168" s="1228"/>
      <c r="J168" s="1228"/>
      <c r="K168" s="1228"/>
      <c r="L168" s="1071"/>
    </row>
    <row r="169" spans="1:12" ht="27.95" customHeight="1">
      <c r="A169" s="12"/>
      <c r="B169" s="1234" t="s">
        <v>186</v>
      </c>
      <c r="C169" s="1234"/>
      <c r="D169" s="1234"/>
      <c r="E169" s="1234"/>
      <c r="F169" s="1234"/>
      <c r="G169" s="1234"/>
      <c r="H169" s="1233" t="e">
        <f>'0422Master'!#REF!</f>
        <v>#REF!</v>
      </c>
      <c r="I169" s="1228"/>
      <c r="J169" s="1228"/>
      <c r="K169" s="1228"/>
      <c r="L169" s="1071"/>
    </row>
    <row r="170" spans="1:12" ht="27.95" customHeight="1">
      <c r="A170" s="12"/>
      <c r="B170" s="1213" t="s">
        <v>187</v>
      </c>
      <c r="C170" s="1213"/>
      <c r="D170" s="1213"/>
      <c r="E170" s="1213"/>
      <c r="F170" s="1213"/>
      <c r="G170" s="1213"/>
      <c r="H170" s="1233" t="e">
        <f>'0422Master'!#REF!</f>
        <v>#REF!</v>
      </c>
      <c r="I170" s="1228"/>
      <c r="J170" s="1228"/>
      <c r="K170" s="1228"/>
      <c r="L170" s="1071"/>
    </row>
    <row r="171" spans="1:12" ht="27.95" customHeight="1">
      <c r="A171" s="12"/>
      <c r="B171" s="1213" t="s">
        <v>188</v>
      </c>
      <c r="C171" s="1213"/>
      <c r="D171" s="1213"/>
      <c r="E171" s="1213"/>
      <c r="F171" s="1213"/>
      <c r="G171" s="1213"/>
      <c r="H171" s="1227" t="e">
        <f>'0422Master'!#REF!</f>
        <v>#REF!</v>
      </c>
      <c r="I171" s="1228"/>
      <c r="J171" s="1228"/>
      <c r="K171" s="1228"/>
      <c r="L171" s="1071"/>
    </row>
    <row r="172" spans="1:12">
      <c r="A172" s="12"/>
      <c r="B172" s="85" t="s">
        <v>189</v>
      </c>
      <c r="C172" s="86"/>
      <c r="D172" s="86"/>
      <c r="E172" s="86"/>
      <c r="F172" s="86"/>
      <c r="G172" s="86"/>
      <c r="H172" s="1229" t="s">
        <v>190</v>
      </c>
      <c r="I172" s="1230"/>
      <c r="J172" s="1230"/>
      <c r="K172" s="1230"/>
      <c r="L172" s="1231"/>
    </row>
    <row r="173" spans="1:12">
      <c r="A173" s="12"/>
      <c r="B173" s="85" t="s">
        <v>191</v>
      </c>
      <c r="C173" s="86"/>
      <c r="D173" s="86"/>
      <c r="E173" s="86"/>
      <c r="F173" s="86"/>
      <c r="G173" s="86"/>
      <c r="H173" s="87"/>
      <c r="I173" s="89"/>
      <c r="J173" s="152"/>
      <c r="K173" s="89"/>
      <c r="L173" s="94"/>
    </row>
    <row r="174" spans="1:12">
      <c r="A174" s="12"/>
      <c r="B174" s="1082" t="s">
        <v>192</v>
      </c>
      <c r="C174" s="1082"/>
      <c r="D174" s="1082"/>
      <c r="E174" s="1082"/>
      <c r="F174" s="1082"/>
      <c r="G174" s="1082"/>
      <c r="H174" s="1074" t="e">
        <f>'0422Master'!#REF!</f>
        <v>#REF!</v>
      </c>
      <c r="I174" s="1075"/>
      <c r="J174" s="1075"/>
      <c r="K174" s="1075"/>
      <c r="L174" s="1076"/>
    </row>
    <row r="175" spans="1:12">
      <c r="A175" s="12"/>
      <c r="B175" s="1213"/>
      <c r="C175" s="1213"/>
      <c r="D175" s="1213"/>
      <c r="E175" s="1213"/>
      <c r="F175" s="1213"/>
      <c r="G175" s="1213"/>
      <c r="H175" s="1232" t="e">
        <f>'0422Master'!#REF!</f>
        <v>#REF!</v>
      </c>
      <c r="I175" s="1228"/>
      <c r="J175" s="1228"/>
      <c r="K175" s="1228"/>
      <c r="L175" s="1071"/>
    </row>
    <row r="176" spans="1:12">
      <c r="A176" s="12"/>
      <c r="B176" s="1213"/>
      <c r="C176" s="1213"/>
      <c r="D176" s="1213"/>
      <c r="E176" s="1213"/>
      <c r="F176" s="1213"/>
      <c r="G176" s="1213"/>
      <c r="H176" s="1233" t="e">
        <f>'0422Master'!#REF!</f>
        <v>#REF!</v>
      </c>
      <c r="I176" s="1228"/>
      <c r="J176" s="1228"/>
      <c r="K176" s="1228"/>
      <c r="L176" s="1071"/>
    </row>
    <row r="177" spans="1:12">
      <c r="A177" s="12"/>
      <c r="G177" s="2" t="s">
        <v>216</v>
      </c>
      <c r="H177" s="2"/>
      <c r="I177" s="2"/>
      <c r="J177" s="2"/>
      <c r="K177" s="2"/>
      <c r="L177" s="80"/>
    </row>
    <row r="178" spans="1:12">
      <c r="A178" s="12"/>
      <c r="B178" s="154" t="s">
        <v>200</v>
      </c>
      <c r="C178" s="150"/>
      <c r="D178" s="150"/>
      <c r="E178" s="150"/>
      <c r="F178" s="150"/>
      <c r="G178" s="150"/>
      <c r="H178" s="139"/>
      <c r="I178" s="139"/>
      <c r="J178" s="139"/>
      <c r="K178" s="139"/>
      <c r="L178" s="157"/>
    </row>
    <row r="179" spans="1:12">
      <c r="A179" s="12"/>
      <c r="B179" s="154" t="s">
        <v>201</v>
      </c>
      <c r="C179" s="150"/>
      <c r="D179" s="150"/>
      <c r="E179" s="150"/>
      <c r="F179" s="150"/>
      <c r="G179" s="150"/>
      <c r="H179" s="139"/>
      <c r="I179" s="139"/>
      <c r="J179" s="140"/>
      <c r="K179" s="139"/>
      <c r="L179" s="157"/>
    </row>
    <row r="180" spans="1:12" ht="45">
      <c r="A180" s="84"/>
      <c r="B180" s="85" t="s">
        <v>204</v>
      </c>
      <c r="C180" s="86"/>
      <c r="D180" s="167"/>
      <c r="E180" s="145" t="s">
        <v>206</v>
      </c>
      <c r="F180" s="64"/>
      <c r="G180" s="1218" t="s">
        <v>205</v>
      </c>
      <c r="H180" s="1219"/>
      <c r="I180" s="144" t="s">
        <v>202</v>
      </c>
      <c r="J180" s="147" t="s">
        <v>207</v>
      </c>
      <c r="K180" s="1218" t="s">
        <v>203</v>
      </c>
      <c r="L180" s="1220"/>
    </row>
    <row r="181" spans="1:12">
      <c r="A181" s="84"/>
      <c r="B181" s="148">
        <v>1</v>
      </c>
      <c r="C181" s="86"/>
      <c r="D181" s="86"/>
      <c r="E181" s="151">
        <v>2</v>
      </c>
      <c r="F181" s="90"/>
      <c r="G181" s="151">
        <v>3</v>
      </c>
      <c r="H181" s="167"/>
      <c r="I181" s="167">
        <v>4</v>
      </c>
      <c r="J181" s="99">
        <v>5</v>
      </c>
      <c r="K181" s="92"/>
      <c r="L181" s="93">
        <v>6</v>
      </c>
    </row>
    <row r="182" spans="1:12">
      <c r="A182" s="84"/>
      <c r="B182" s="85" t="e">
        <f>'0422Master'!#REF!</f>
        <v>#REF!</v>
      </c>
      <c r="C182" s="163"/>
      <c r="D182" s="164"/>
      <c r="E182" s="165" t="s">
        <v>366</v>
      </c>
      <c r="F182" s="164"/>
      <c r="G182" s="165" t="s">
        <v>364</v>
      </c>
      <c r="H182" s="64"/>
      <c r="I182" s="10" t="s">
        <v>367</v>
      </c>
      <c r="J182" s="264">
        <v>1</v>
      </c>
      <c r="K182" s="166" t="s">
        <v>37</v>
      </c>
      <c r="L182" s="171"/>
    </row>
    <row r="183" spans="1:12">
      <c r="A183" s="84"/>
      <c r="B183" s="85"/>
      <c r="C183" s="163"/>
      <c r="D183" s="164"/>
      <c r="E183" s="165"/>
      <c r="F183" s="164"/>
      <c r="G183" s="165"/>
      <c r="H183" s="64"/>
      <c r="I183" s="10"/>
      <c r="J183" s="10"/>
      <c r="K183" s="166"/>
      <c r="L183" s="171"/>
    </row>
    <row r="184" spans="1:12">
      <c r="A184" s="84"/>
      <c r="B184" s="85"/>
      <c r="C184" s="163"/>
      <c r="D184" s="164"/>
      <c r="E184" s="165"/>
      <c r="F184" s="164"/>
      <c r="G184" s="165"/>
      <c r="H184" s="64"/>
      <c r="I184" s="10"/>
      <c r="J184" s="10"/>
      <c r="K184" s="166"/>
      <c r="L184" s="171"/>
    </row>
    <row r="185" spans="1:12">
      <c r="A185" s="84"/>
      <c r="B185" s="71"/>
      <c r="C185" s="16"/>
      <c r="D185" s="72"/>
      <c r="E185" s="165"/>
      <c r="F185" s="164"/>
      <c r="G185" s="165"/>
      <c r="H185" s="64"/>
      <c r="I185" s="10"/>
      <c r="J185" s="10"/>
      <c r="K185" s="166"/>
      <c r="L185" s="171"/>
    </row>
    <row r="186" spans="1:12">
      <c r="A186" s="84"/>
      <c r="B186" t="s">
        <v>208</v>
      </c>
      <c r="L186" s="13"/>
    </row>
    <row r="187" spans="1:12">
      <c r="A187" s="12"/>
      <c r="B187" t="s">
        <v>209</v>
      </c>
      <c r="L187" s="13"/>
    </row>
    <row r="188" spans="1:12">
      <c r="A188" s="12"/>
      <c r="B188" t="s">
        <v>220</v>
      </c>
      <c r="J188" t="s">
        <v>219</v>
      </c>
      <c r="L188" s="13"/>
    </row>
    <row r="189" spans="1:12">
      <c r="A189" s="12"/>
      <c r="G189" s="2" t="s">
        <v>217</v>
      </c>
      <c r="H189" s="2"/>
      <c r="I189" s="2"/>
      <c r="J189" s="2"/>
      <c r="K189" s="2"/>
      <c r="L189" s="80"/>
    </row>
    <row r="190" spans="1:12">
      <c r="A190" s="12"/>
      <c r="B190" s="2"/>
      <c r="G190" t="s">
        <v>218</v>
      </c>
      <c r="H190" s="2"/>
      <c r="I190" s="2"/>
      <c r="J190" s="2"/>
      <c r="K190" s="2"/>
      <c r="L190" s="80"/>
    </row>
    <row r="191" spans="1:12">
      <c r="A191" s="12"/>
      <c r="B191" s="154" t="s">
        <v>221</v>
      </c>
      <c r="C191" s="150"/>
      <c r="D191" s="150"/>
      <c r="E191" s="150"/>
      <c r="F191" s="150"/>
      <c r="G191" s="150"/>
      <c r="H191" s="139"/>
      <c r="I191" s="139"/>
      <c r="J191" s="139"/>
      <c r="K191" s="139"/>
      <c r="L191" s="157"/>
    </row>
    <row r="192" spans="1:12">
      <c r="A192" s="12"/>
      <c r="B192" s="154" t="s">
        <v>222</v>
      </c>
      <c r="C192" s="150"/>
      <c r="D192" s="150"/>
      <c r="E192" s="150"/>
      <c r="F192" s="150"/>
      <c r="G192" s="150"/>
      <c r="H192" s="139"/>
      <c r="I192" s="139"/>
      <c r="J192" s="140"/>
      <c r="K192" s="139"/>
      <c r="L192" s="157"/>
    </row>
    <row r="193" spans="1:12">
      <c r="A193" s="12"/>
      <c r="B193" s="85" t="s">
        <v>5</v>
      </c>
      <c r="C193" s="1248" t="s">
        <v>223</v>
      </c>
      <c r="D193" s="1216"/>
      <c r="E193" s="1216"/>
      <c r="F193" s="1216"/>
      <c r="G193" s="1216"/>
      <c r="H193" s="1249"/>
      <c r="I193" s="146" t="s">
        <v>102</v>
      </c>
      <c r="J193" s="1250" t="s">
        <v>224</v>
      </c>
      <c r="K193" s="1251"/>
      <c r="L193" s="1252"/>
    </row>
    <row r="194" spans="1:12">
      <c r="A194" s="12"/>
      <c r="B194" s="148">
        <v>1</v>
      </c>
      <c r="C194" s="182"/>
      <c r="D194" s="89"/>
      <c r="E194" s="95">
        <v>2</v>
      </c>
      <c r="F194" s="63"/>
      <c r="G194" s="1244"/>
      <c r="H194" s="1219"/>
      <c r="I194" s="89">
        <v>3</v>
      </c>
      <c r="J194" s="169" t="s">
        <v>225</v>
      </c>
      <c r="K194" s="1253">
        <v>4</v>
      </c>
      <c r="L194" s="1254"/>
    </row>
    <row r="195" spans="1:12">
      <c r="A195" s="12"/>
      <c r="B195" s="85"/>
      <c r="C195" s="182"/>
      <c r="D195" s="89"/>
      <c r="E195" s="95"/>
      <c r="F195" s="63"/>
      <c r="G195" s="1244"/>
      <c r="H195" s="1219"/>
      <c r="I195" s="166"/>
      <c r="J195" s="168"/>
      <c r="K195" s="1244"/>
      <c r="L195" s="1220"/>
    </row>
    <row r="196" spans="1:12">
      <c r="A196" s="12"/>
      <c r="B196" s="85"/>
      <c r="C196" s="182"/>
      <c r="D196" s="89"/>
      <c r="E196" s="95"/>
      <c r="F196" s="63"/>
      <c r="G196" s="1244"/>
      <c r="H196" s="1219"/>
      <c r="I196" s="166"/>
      <c r="J196" s="168"/>
      <c r="K196" s="1244"/>
      <c r="L196" s="1220"/>
    </row>
    <row r="197" spans="1:12">
      <c r="A197" s="12"/>
      <c r="B197" s="85"/>
      <c r="C197" s="182"/>
      <c r="D197" s="89"/>
      <c r="E197" s="95"/>
      <c r="F197" s="63"/>
      <c r="G197" s="1244"/>
      <c r="H197" s="1219"/>
      <c r="I197" s="166"/>
      <c r="J197" s="168"/>
      <c r="K197" s="1244"/>
      <c r="L197" s="1220"/>
    </row>
    <row r="198" spans="1:12">
      <c r="A198" s="12"/>
      <c r="B198" s="71"/>
      <c r="C198" s="182"/>
      <c r="D198" s="89"/>
      <c r="E198" s="95"/>
      <c r="F198" s="63"/>
      <c r="G198" s="1244"/>
      <c r="H198" s="1219"/>
      <c r="I198" s="166"/>
      <c r="J198" s="168"/>
      <c r="K198" s="1244"/>
      <c r="L198" s="1220"/>
    </row>
    <row r="199" spans="1:12">
      <c r="A199" s="12"/>
      <c r="B199" t="s">
        <v>229</v>
      </c>
      <c r="L199" s="13"/>
    </row>
    <row r="200" spans="1:12">
      <c r="A200" s="12"/>
      <c r="B200" t="s">
        <v>230</v>
      </c>
      <c r="L200" s="13"/>
    </row>
    <row r="201" spans="1:12">
      <c r="A201" s="12"/>
      <c r="B201" t="s">
        <v>231</v>
      </c>
      <c r="L201" s="13"/>
    </row>
    <row r="202" spans="1:12">
      <c r="A202" s="12"/>
      <c r="B202" t="s">
        <v>232</v>
      </c>
      <c r="L202" s="13"/>
    </row>
    <row r="203" spans="1:12">
      <c r="A203" s="12"/>
      <c r="B203" s="165" t="s">
        <v>226</v>
      </c>
      <c r="C203" s="63"/>
      <c r="D203" s="63"/>
      <c r="E203" s="63"/>
      <c r="F203" s="64"/>
      <c r="G203" s="165" t="s">
        <v>202</v>
      </c>
      <c r="H203" s="64"/>
      <c r="I203" s="165" t="s">
        <v>227</v>
      </c>
      <c r="J203" s="63"/>
      <c r="K203" s="64"/>
      <c r="L203" s="13"/>
    </row>
    <row r="204" spans="1:12">
      <c r="A204" s="12"/>
      <c r="B204" s="1221"/>
      <c r="C204" s="1243"/>
      <c r="D204" s="1243"/>
      <c r="E204" s="1243"/>
      <c r="F204" s="1222"/>
      <c r="G204" s="1221"/>
      <c r="H204" s="1222"/>
      <c r="I204" s="1221"/>
      <c r="J204" s="1243"/>
      <c r="K204" s="1222"/>
      <c r="L204" s="13"/>
    </row>
    <row r="205" spans="1:12">
      <c r="A205" s="12"/>
      <c r="B205" s="1221"/>
      <c r="C205" s="1243"/>
      <c r="D205" s="1243"/>
      <c r="E205" s="1243"/>
      <c r="F205" s="1222"/>
      <c r="G205" s="1221"/>
      <c r="H205" s="1222"/>
      <c r="I205" s="1221"/>
      <c r="J205" s="1243"/>
      <c r="K205" s="1222"/>
      <c r="L205" s="13"/>
    </row>
    <row r="206" spans="1:12">
      <c r="A206" s="12"/>
      <c r="B206" s="1221"/>
      <c r="C206" s="1243"/>
      <c r="D206" s="1243"/>
      <c r="E206" s="1243"/>
      <c r="F206" s="1222"/>
      <c r="G206" s="1221"/>
      <c r="H206" s="1222"/>
      <c r="I206" s="1221"/>
      <c r="J206" s="1243"/>
      <c r="K206" s="1222"/>
      <c r="L206" s="13"/>
    </row>
    <row r="207" spans="1:12" ht="27.95" customHeight="1">
      <c r="A207" s="12"/>
      <c r="B207" s="1221"/>
      <c r="C207" s="1243"/>
      <c r="D207" s="1243"/>
      <c r="E207" s="1243"/>
      <c r="F207" s="1222"/>
      <c r="G207" s="1221"/>
      <c r="H207" s="1222"/>
      <c r="I207" s="1221"/>
      <c r="J207" s="1243"/>
      <c r="K207" s="1222"/>
      <c r="L207" s="13"/>
    </row>
    <row r="208" spans="1:12" ht="27.95" customHeight="1">
      <c r="A208" s="12"/>
      <c r="L208" s="13"/>
    </row>
    <row r="209" spans="1:12" ht="27.95" customHeight="1">
      <c r="A209" s="12"/>
      <c r="B209" t="s">
        <v>199</v>
      </c>
      <c r="C209" s="263" t="e">
        <f>'0422Master'!#REF!</f>
        <v>#REF!</v>
      </c>
      <c r="I209" t="s">
        <v>228</v>
      </c>
      <c r="L209" s="13"/>
    </row>
    <row r="210" spans="1:12" ht="27.95" customHeight="1">
      <c r="A210" s="12"/>
      <c r="F210" s="153" t="s">
        <v>194</v>
      </c>
      <c r="L210" s="13"/>
    </row>
    <row r="211" spans="1:12" ht="27.95" customHeight="1">
      <c r="A211" s="12" t="s">
        <v>195</v>
      </c>
      <c r="K211" s="203" t="e">
        <f>'0422Master'!#REF!</f>
        <v>#REF!</v>
      </c>
      <c r="L211" s="13"/>
    </row>
    <row r="212" spans="1:12" ht="27.95" customHeight="1">
      <c r="A212" s="12" t="s">
        <v>196</v>
      </c>
      <c r="L212" s="13"/>
    </row>
    <row r="213" spans="1:12" ht="27.95" customHeight="1">
      <c r="A213" s="12"/>
      <c r="L213" s="13"/>
    </row>
    <row r="214" spans="1:12" ht="27.95" customHeight="1">
      <c r="A214" s="12"/>
      <c r="F214" t="s">
        <v>197</v>
      </c>
      <c r="L214" s="13"/>
    </row>
    <row r="215" spans="1:12" ht="27.95" customHeight="1">
      <c r="A215" s="12" t="s">
        <v>198</v>
      </c>
      <c r="B215" t="s">
        <v>362</v>
      </c>
      <c r="F215" t="str">
        <f>'0422Master'!F5</f>
        <v>Burgeon IT Services Pvt.Ltd.</v>
      </c>
      <c r="L215" s="13"/>
    </row>
    <row r="216" spans="1:12" ht="27.95" customHeight="1" thickBot="1">
      <c r="A216" s="24" t="s">
        <v>199</v>
      </c>
      <c r="B216" s="266" t="e">
        <f>'0422Master'!#REF!</f>
        <v>#REF!</v>
      </c>
      <c r="C216" s="22"/>
      <c r="D216" s="22"/>
      <c r="E216" s="22"/>
      <c r="F216" s="22" t="str">
        <f>'0422Master'!F6</f>
        <v>Siri Mansion LIGB 436 Dr.A S Rao Nagar,Hyderabad</v>
      </c>
      <c r="G216" s="22"/>
      <c r="H216" s="22"/>
      <c r="I216" s="22"/>
      <c r="J216" s="22"/>
      <c r="K216" s="22"/>
      <c r="L216" s="23"/>
    </row>
    <row r="217" spans="1:12" ht="27.95" customHeight="1">
      <c r="A217" s="73"/>
      <c r="B217" s="74"/>
      <c r="C217" s="74"/>
      <c r="D217" s="158"/>
      <c r="E217" s="158"/>
      <c r="F217" s="158"/>
      <c r="G217" s="158"/>
      <c r="H217" s="158"/>
      <c r="I217" s="158"/>
      <c r="J217" s="74"/>
      <c r="K217" s="160" t="s">
        <v>213</v>
      </c>
      <c r="L217" s="159"/>
    </row>
    <row r="218" spans="1:12" ht="27.95" customHeight="1">
      <c r="A218" s="12"/>
      <c r="B218" s="1245" t="s">
        <v>212</v>
      </c>
      <c r="C218" s="1245"/>
      <c r="D218" s="1245"/>
      <c r="E218" s="1245"/>
      <c r="F218" s="1245"/>
      <c r="G218" s="1245"/>
      <c r="H218" s="1245"/>
      <c r="I218" s="1245"/>
      <c r="J218" s="1245"/>
      <c r="K218" s="1245"/>
      <c r="L218" s="1246"/>
    </row>
    <row r="219" spans="1:12" ht="27.95" customHeight="1">
      <c r="A219" s="12"/>
      <c r="B219" s="1240" t="s">
        <v>214</v>
      </c>
      <c r="C219" s="1240"/>
      <c r="D219" s="1240"/>
      <c r="E219" s="1240"/>
      <c r="F219" s="1240"/>
      <c r="G219" s="1240"/>
      <c r="H219" s="1240"/>
      <c r="I219" s="1240"/>
      <c r="J219" s="1240"/>
      <c r="K219" s="1240"/>
      <c r="L219" s="1247"/>
    </row>
    <row r="220" spans="1:12" ht="27.95" customHeight="1">
      <c r="A220" s="12"/>
      <c r="B220" s="161" t="s">
        <v>215</v>
      </c>
      <c r="C220" s="161"/>
      <c r="D220" s="161"/>
      <c r="E220" s="161"/>
      <c r="F220" s="161"/>
      <c r="H220" s="162"/>
      <c r="I220" s="162"/>
      <c r="J220" s="162"/>
      <c r="K220" s="162"/>
      <c r="L220" s="170"/>
    </row>
    <row r="221" spans="1:12" ht="27.95" customHeight="1">
      <c r="A221" s="12"/>
      <c r="B221" s="161"/>
      <c r="C221" s="161"/>
      <c r="D221" s="161"/>
      <c r="E221" s="161"/>
      <c r="F221" s="161"/>
      <c r="H221" s="162"/>
      <c r="I221" s="162"/>
      <c r="J221" s="162"/>
      <c r="K221" s="162"/>
      <c r="L221" s="170"/>
    </row>
    <row r="222" spans="1:12" ht="27.95" customHeight="1">
      <c r="A222" s="12"/>
      <c r="B222" s="1213" t="s">
        <v>185</v>
      </c>
      <c r="C222" s="1213"/>
      <c r="D222" s="1213"/>
      <c r="E222" s="1213"/>
      <c r="F222" s="1213"/>
      <c r="G222" s="1213"/>
      <c r="H222" s="1233" t="e">
        <f>'0422Master'!#REF!</f>
        <v>#REF!</v>
      </c>
      <c r="I222" s="1228"/>
      <c r="J222" s="1228"/>
      <c r="K222" s="1228"/>
      <c r="L222" s="1071"/>
    </row>
    <row r="223" spans="1:12" ht="27.95" customHeight="1">
      <c r="A223" s="12"/>
      <c r="B223" s="1234" t="s">
        <v>186</v>
      </c>
      <c r="C223" s="1234"/>
      <c r="D223" s="1234"/>
      <c r="E223" s="1234"/>
      <c r="F223" s="1234"/>
      <c r="G223" s="1234"/>
      <c r="H223" s="1233" t="e">
        <f>'0422Master'!#REF!</f>
        <v>#REF!</v>
      </c>
      <c r="I223" s="1228"/>
      <c r="J223" s="1228"/>
      <c r="K223" s="1228"/>
      <c r="L223" s="1071"/>
    </row>
    <row r="224" spans="1:12" ht="27.95" customHeight="1">
      <c r="A224" s="12"/>
      <c r="B224" s="1213" t="s">
        <v>187</v>
      </c>
      <c r="C224" s="1213"/>
      <c r="D224" s="1213"/>
      <c r="E224" s="1213"/>
      <c r="F224" s="1213"/>
      <c r="G224" s="1213"/>
      <c r="H224" s="1233" t="e">
        <f>'0422Master'!#REF!</f>
        <v>#REF!</v>
      </c>
      <c r="I224" s="1228"/>
      <c r="J224" s="1228"/>
      <c r="K224" s="1228"/>
      <c r="L224" s="1071"/>
    </row>
    <row r="225" spans="1:12">
      <c r="A225" s="12"/>
      <c r="B225" s="1213" t="s">
        <v>188</v>
      </c>
      <c r="C225" s="1213"/>
      <c r="D225" s="1213"/>
      <c r="E225" s="1213"/>
      <c r="F225" s="1213"/>
      <c r="G225" s="1213"/>
      <c r="H225" s="1227" t="e">
        <f>'0422Master'!#REF!</f>
        <v>#REF!</v>
      </c>
      <c r="I225" s="1228"/>
      <c r="J225" s="1228"/>
      <c r="K225" s="1228"/>
      <c r="L225" s="1071"/>
    </row>
    <row r="226" spans="1:12">
      <c r="A226" s="12"/>
      <c r="B226" s="85" t="s">
        <v>189</v>
      </c>
      <c r="C226" s="86"/>
      <c r="D226" s="86"/>
      <c r="E226" s="86"/>
      <c r="F226" s="86"/>
      <c r="G226" s="86"/>
      <c r="H226" s="1229" t="s">
        <v>190</v>
      </c>
      <c r="I226" s="1230"/>
      <c r="J226" s="1230"/>
      <c r="K226" s="1230"/>
      <c r="L226" s="1231"/>
    </row>
    <row r="227" spans="1:12">
      <c r="A227" s="12"/>
      <c r="B227" s="85" t="s">
        <v>191</v>
      </c>
      <c r="C227" s="86"/>
      <c r="D227" s="86"/>
      <c r="E227" s="86"/>
      <c r="F227" s="86"/>
      <c r="G227" s="86"/>
      <c r="H227" s="87"/>
      <c r="I227" s="89"/>
      <c r="J227" s="152"/>
      <c r="K227" s="89"/>
      <c r="L227" s="94"/>
    </row>
    <row r="228" spans="1:12">
      <c r="A228" s="12"/>
      <c r="B228" s="1082" t="s">
        <v>192</v>
      </c>
      <c r="C228" s="1082"/>
      <c r="D228" s="1082"/>
      <c r="E228" s="1082"/>
      <c r="F228" s="1082"/>
      <c r="G228" s="1082"/>
      <c r="H228" s="1074" t="e">
        <f>'0422Master'!#REF!</f>
        <v>#REF!</v>
      </c>
      <c r="I228" s="1075"/>
      <c r="J228" s="1075"/>
      <c r="K228" s="1075"/>
      <c r="L228" s="1076"/>
    </row>
    <row r="229" spans="1:12">
      <c r="A229" s="12"/>
      <c r="B229" s="1213"/>
      <c r="C229" s="1213"/>
      <c r="D229" s="1213"/>
      <c r="E229" s="1213"/>
      <c r="F229" s="1213"/>
      <c r="G229" s="1213"/>
      <c r="H229" s="1232" t="e">
        <f>'0422Master'!#REF!</f>
        <v>#REF!</v>
      </c>
      <c r="I229" s="1228"/>
      <c r="J229" s="1228"/>
      <c r="K229" s="1228"/>
      <c r="L229" s="1071"/>
    </row>
    <row r="230" spans="1:12">
      <c r="A230" s="12"/>
      <c r="B230" s="1213"/>
      <c r="C230" s="1213"/>
      <c r="D230" s="1213"/>
      <c r="E230" s="1213"/>
      <c r="F230" s="1213"/>
      <c r="G230" s="1213"/>
      <c r="H230" s="1233" t="e">
        <f>'0422Master'!#REF!</f>
        <v>#REF!</v>
      </c>
      <c r="I230" s="1228"/>
      <c r="J230" s="1228"/>
      <c r="K230" s="1228"/>
      <c r="L230" s="1071"/>
    </row>
    <row r="231" spans="1:12">
      <c r="A231" s="12"/>
      <c r="G231" s="2" t="s">
        <v>216</v>
      </c>
      <c r="H231" s="2"/>
      <c r="I231" s="2"/>
      <c r="J231" s="2"/>
      <c r="K231" s="2"/>
      <c r="L231" s="80"/>
    </row>
    <row r="232" spans="1:12">
      <c r="A232" s="12"/>
      <c r="B232" s="154" t="s">
        <v>200</v>
      </c>
      <c r="C232" s="150"/>
      <c r="D232" s="150"/>
      <c r="E232" s="150"/>
      <c r="F232" s="150"/>
      <c r="G232" s="150"/>
      <c r="H232" s="139"/>
      <c r="I232" s="139"/>
      <c r="J232" s="139"/>
      <c r="K232" s="139"/>
      <c r="L232" s="157"/>
    </row>
    <row r="233" spans="1:12">
      <c r="A233" s="12"/>
      <c r="B233" s="154" t="s">
        <v>201</v>
      </c>
      <c r="C233" s="150"/>
      <c r="D233" s="150"/>
      <c r="E233" s="150"/>
      <c r="F233" s="150"/>
      <c r="G233" s="150"/>
      <c r="H233" s="139"/>
      <c r="I233" s="139"/>
      <c r="J233" s="140"/>
      <c r="K233" s="139"/>
      <c r="L233" s="157"/>
    </row>
    <row r="234" spans="1:12" ht="45">
      <c r="A234" s="84"/>
      <c r="B234" s="85" t="s">
        <v>204</v>
      </c>
      <c r="C234" s="86"/>
      <c r="D234" s="167"/>
      <c r="E234" s="145" t="s">
        <v>206</v>
      </c>
      <c r="F234" s="64"/>
      <c r="G234" s="1218" t="s">
        <v>205</v>
      </c>
      <c r="H234" s="1219"/>
      <c r="I234" s="144" t="s">
        <v>202</v>
      </c>
      <c r="J234" s="147" t="s">
        <v>207</v>
      </c>
      <c r="K234" s="1218" t="s">
        <v>203</v>
      </c>
      <c r="L234" s="1220"/>
    </row>
    <row r="235" spans="1:12">
      <c r="A235" s="84"/>
      <c r="B235" s="148">
        <v>1</v>
      </c>
      <c r="C235" s="86"/>
      <c r="D235" s="86"/>
      <c r="E235" s="151">
        <v>2</v>
      </c>
      <c r="F235" s="90"/>
      <c r="G235" s="151">
        <v>3</v>
      </c>
      <c r="H235" s="167"/>
      <c r="I235" s="167">
        <v>4</v>
      </c>
      <c r="J235" s="99">
        <v>5</v>
      </c>
      <c r="K235" s="92"/>
      <c r="L235" s="93">
        <v>6</v>
      </c>
    </row>
    <row r="236" spans="1:12">
      <c r="A236" s="84"/>
      <c r="B236" s="85" t="e">
        <f>'0422Master'!#REF!</f>
        <v>#REF!</v>
      </c>
      <c r="C236" s="163"/>
      <c r="D236" s="164"/>
      <c r="E236" s="165" t="s">
        <v>366</v>
      </c>
      <c r="F236" s="164"/>
      <c r="G236" s="165" t="s">
        <v>364</v>
      </c>
      <c r="H236" s="64"/>
      <c r="I236" s="10" t="s">
        <v>367</v>
      </c>
      <c r="J236" s="264">
        <v>1</v>
      </c>
      <c r="K236" s="166" t="s">
        <v>37</v>
      </c>
      <c r="L236" s="171"/>
    </row>
    <row r="237" spans="1:12">
      <c r="A237" s="84"/>
      <c r="B237" s="85"/>
      <c r="C237" s="163"/>
      <c r="D237" s="164"/>
      <c r="E237" s="165"/>
      <c r="F237" s="164"/>
      <c r="G237" s="165"/>
      <c r="H237" s="64"/>
      <c r="I237" s="10"/>
      <c r="J237" s="10"/>
      <c r="K237" s="166"/>
      <c r="L237" s="171"/>
    </row>
    <row r="238" spans="1:12">
      <c r="A238" s="84"/>
      <c r="B238" s="85"/>
      <c r="C238" s="163"/>
      <c r="D238" s="164"/>
      <c r="E238" s="165"/>
      <c r="F238" s="164"/>
      <c r="G238" s="165"/>
      <c r="H238" s="64"/>
      <c r="I238" s="10"/>
      <c r="J238" s="10"/>
      <c r="K238" s="166"/>
      <c r="L238" s="171"/>
    </row>
    <row r="239" spans="1:12">
      <c r="A239" s="84"/>
      <c r="B239" s="71"/>
      <c r="C239" s="16"/>
      <c r="D239" s="72"/>
      <c r="E239" s="165"/>
      <c r="F239" s="164"/>
      <c r="G239" s="165"/>
      <c r="H239" s="64"/>
      <c r="I239" s="10"/>
      <c r="J239" s="10"/>
      <c r="K239" s="166"/>
      <c r="L239" s="171"/>
    </row>
    <row r="240" spans="1:12">
      <c r="A240" s="84"/>
      <c r="B240" t="s">
        <v>208</v>
      </c>
      <c r="L240" s="13"/>
    </row>
    <row r="241" spans="1:12">
      <c r="A241" s="12"/>
      <c r="B241" t="s">
        <v>209</v>
      </c>
      <c r="L241" s="13"/>
    </row>
    <row r="242" spans="1:12">
      <c r="A242" s="12"/>
      <c r="B242" t="s">
        <v>220</v>
      </c>
      <c r="J242" t="s">
        <v>219</v>
      </c>
      <c r="L242" s="13"/>
    </row>
    <row r="243" spans="1:12">
      <c r="A243" s="12"/>
      <c r="G243" s="2" t="s">
        <v>217</v>
      </c>
      <c r="H243" s="2"/>
      <c r="I243" s="2"/>
      <c r="J243" s="2"/>
      <c r="K243" s="2"/>
      <c r="L243" s="80"/>
    </row>
    <row r="244" spans="1:12">
      <c r="A244" s="12"/>
      <c r="B244" s="2"/>
      <c r="G244" t="s">
        <v>218</v>
      </c>
      <c r="H244" s="2"/>
      <c r="I244" s="2"/>
      <c r="J244" s="2"/>
      <c r="K244" s="2"/>
      <c r="L244" s="80"/>
    </row>
    <row r="245" spans="1:12">
      <c r="A245" s="12"/>
      <c r="B245" s="154" t="s">
        <v>221</v>
      </c>
      <c r="C245" s="150"/>
      <c r="D245" s="150"/>
      <c r="E245" s="150"/>
      <c r="F245" s="150"/>
      <c r="G245" s="150"/>
      <c r="H245" s="139"/>
      <c r="I245" s="139"/>
      <c r="J245" s="139"/>
      <c r="K245" s="139"/>
      <c r="L245" s="157"/>
    </row>
    <row r="246" spans="1:12">
      <c r="A246" s="12"/>
      <c r="B246" s="154" t="s">
        <v>222</v>
      </c>
      <c r="C246" s="150"/>
      <c r="D246" s="150"/>
      <c r="E246" s="150"/>
      <c r="F246" s="150"/>
      <c r="G246" s="150"/>
      <c r="H246" s="139"/>
      <c r="I246" s="139"/>
      <c r="J246" s="140"/>
      <c r="K246" s="139"/>
      <c r="L246" s="157"/>
    </row>
    <row r="247" spans="1:12">
      <c r="A247" s="12"/>
      <c r="B247" s="85" t="s">
        <v>5</v>
      </c>
      <c r="C247" s="1248" t="s">
        <v>223</v>
      </c>
      <c r="D247" s="1216"/>
      <c r="E247" s="1216"/>
      <c r="F247" s="1216"/>
      <c r="G247" s="1216"/>
      <c r="H247" s="1249"/>
      <c r="I247" s="146" t="s">
        <v>102</v>
      </c>
      <c r="J247" s="1250" t="s">
        <v>224</v>
      </c>
      <c r="K247" s="1251"/>
      <c r="L247" s="1252"/>
    </row>
    <row r="248" spans="1:12">
      <c r="A248" s="12"/>
      <c r="B248" s="148">
        <v>1</v>
      </c>
      <c r="C248" s="182"/>
      <c r="D248" s="89"/>
      <c r="E248" s="95">
        <v>2</v>
      </c>
      <c r="F248" s="63"/>
      <c r="G248" s="1244"/>
      <c r="H248" s="1219"/>
      <c r="I248" s="89">
        <v>3</v>
      </c>
      <c r="J248" s="169" t="s">
        <v>225</v>
      </c>
      <c r="K248" s="1253">
        <v>4</v>
      </c>
      <c r="L248" s="1254"/>
    </row>
    <row r="249" spans="1:12">
      <c r="A249" s="12"/>
      <c r="B249" s="85"/>
      <c r="C249" s="182"/>
      <c r="D249" s="89"/>
      <c r="E249" s="95"/>
      <c r="F249" s="63"/>
      <c r="G249" s="1244"/>
      <c r="H249" s="1219"/>
      <c r="I249" s="166"/>
      <c r="J249" s="168"/>
      <c r="K249" s="1244"/>
      <c r="L249" s="1220"/>
    </row>
    <row r="250" spans="1:12">
      <c r="A250" s="12"/>
      <c r="B250" s="85"/>
      <c r="C250" s="182"/>
      <c r="D250" s="89"/>
      <c r="E250" s="95"/>
      <c r="F250" s="63"/>
      <c r="G250" s="1244"/>
      <c r="H250" s="1219"/>
      <c r="I250" s="166"/>
      <c r="J250" s="168"/>
      <c r="K250" s="1244"/>
      <c r="L250" s="1220"/>
    </row>
    <row r="251" spans="1:12">
      <c r="A251" s="12"/>
      <c r="B251" s="85"/>
      <c r="C251" s="182"/>
      <c r="D251" s="89"/>
      <c r="E251" s="95"/>
      <c r="F251" s="63"/>
      <c r="G251" s="1244"/>
      <c r="H251" s="1219"/>
      <c r="I251" s="166"/>
      <c r="J251" s="168"/>
      <c r="K251" s="1244"/>
      <c r="L251" s="1220"/>
    </row>
    <row r="252" spans="1:12">
      <c r="A252" s="12"/>
      <c r="B252" s="71"/>
      <c r="C252" s="182"/>
      <c r="D252" s="89"/>
      <c r="E252" s="95"/>
      <c r="F252" s="63"/>
      <c r="G252" s="1244"/>
      <c r="H252" s="1219"/>
      <c r="I252" s="166"/>
      <c r="J252" s="168"/>
      <c r="K252" s="1244"/>
      <c r="L252" s="1220"/>
    </row>
    <row r="253" spans="1:12">
      <c r="A253" s="12"/>
      <c r="B253" t="s">
        <v>229</v>
      </c>
      <c r="L253" s="13"/>
    </row>
    <row r="254" spans="1:12">
      <c r="A254" s="12"/>
      <c r="B254" t="s">
        <v>230</v>
      </c>
      <c r="L254" s="13"/>
    </row>
    <row r="255" spans="1:12">
      <c r="A255" s="12"/>
      <c r="B255" t="s">
        <v>231</v>
      </c>
      <c r="L255" s="13"/>
    </row>
    <row r="256" spans="1:12">
      <c r="A256" s="12"/>
      <c r="B256" t="s">
        <v>232</v>
      </c>
      <c r="L256" s="13"/>
    </row>
    <row r="257" spans="1:12">
      <c r="A257" s="12"/>
      <c r="B257" s="165" t="s">
        <v>226</v>
      </c>
      <c r="C257" s="63"/>
      <c r="D257" s="63"/>
      <c r="E257" s="63"/>
      <c r="F257" s="64"/>
      <c r="G257" s="165" t="s">
        <v>202</v>
      </c>
      <c r="H257" s="64"/>
      <c r="I257" s="165" t="s">
        <v>227</v>
      </c>
      <c r="J257" s="63"/>
      <c r="K257" s="64"/>
      <c r="L257" s="13"/>
    </row>
    <row r="258" spans="1:12">
      <c r="A258" s="12"/>
      <c r="B258" s="1221"/>
      <c r="C258" s="1243"/>
      <c r="D258" s="1243"/>
      <c r="E258" s="1243"/>
      <c r="F258" s="1222"/>
      <c r="G258" s="1221"/>
      <c r="H258" s="1222"/>
      <c r="I258" s="1221"/>
      <c r="J258" s="1243"/>
      <c r="K258" s="1222"/>
      <c r="L258" s="13"/>
    </row>
    <row r="259" spans="1:12">
      <c r="A259" s="12"/>
      <c r="B259" s="1221"/>
      <c r="C259" s="1243"/>
      <c r="D259" s="1243"/>
      <c r="E259" s="1243"/>
      <c r="F259" s="1222"/>
      <c r="G259" s="1221"/>
      <c r="H259" s="1222"/>
      <c r="I259" s="1221"/>
      <c r="J259" s="1243"/>
      <c r="K259" s="1222"/>
      <c r="L259" s="13"/>
    </row>
    <row r="260" spans="1:12" ht="27.95" customHeight="1">
      <c r="A260" s="12"/>
      <c r="B260" s="1221"/>
      <c r="C260" s="1243"/>
      <c r="D260" s="1243"/>
      <c r="E260" s="1243"/>
      <c r="F260" s="1222"/>
      <c r="G260" s="1221"/>
      <c r="H260" s="1222"/>
      <c r="I260" s="1221"/>
      <c r="J260" s="1243"/>
      <c r="K260" s="1222"/>
      <c r="L260" s="13"/>
    </row>
    <row r="261" spans="1:12" ht="27.95" customHeight="1">
      <c r="A261" s="12"/>
      <c r="B261" s="1221"/>
      <c r="C261" s="1243"/>
      <c r="D261" s="1243"/>
      <c r="E261" s="1243"/>
      <c r="F261" s="1222"/>
      <c r="G261" s="1221"/>
      <c r="H261" s="1222"/>
      <c r="I261" s="1221"/>
      <c r="J261" s="1243"/>
      <c r="K261" s="1222"/>
      <c r="L261" s="13"/>
    </row>
    <row r="262" spans="1:12" ht="27.95" customHeight="1">
      <c r="A262" s="12"/>
      <c r="L262" s="13"/>
    </row>
    <row r="263" spans="1:12" ht="27.95" customHeight="1">
      <c r="A263" s="12"/>
      <c r="B263" t="s">
        <v>199</v>
      </c>
      <c r="C263" s="263" t="e">
        <f>'0422Master'!#REF!</f>
        <v>#REF!</v>
      </c>
      <c r="I263" t="s">
        <v>228</v>
      </c>
      <c r="L263" s="13"/>
    </row>
    <row r="264" spans="1:12" ht="27.95" customHeight="1">
      <c r="A264" s="12"/>
      <c r="F264" s="153" t="s">
        <v>194</v>
      </c>
      <c r="L264" s="13"/>
    </row>
    <row r="265" spans="1:12" ht="27.95" customHeight="1">
      <c r="A265" s="12" t="s">
        <v>195</v>
      </c>
      <c r="K265" s="203" t="e">
        <f>'0422Master'!#REF!</f>
        <v>#REF!</v>
      </c>
      <c r="L265" s="13"/>
    </row>
    <row r="266" spans="1:12" ht="27.95" customHeight="1">
      <c r="A266" s="12" t="s">
        <v>196</v>
      </c>
      <c r="L266" s="13"/>
    </row>
    <row r="267" spans="1:12" ht="27.95" customHeight="1">
      <c r="A267" s="12"/>
      <c r="L267" s="13"/>
    </row>
    <row r="268" spans="1:12" ht="27.95" customHeight="1">
      <c r="A268" s="12"/>
      <c r="F268" t="s">
        <v>197</v>
      </c>
      <c r="L268" s="13"/>
    </row>
    <row r="269" spans="1:12" ht="27.95" customHeight="1">
      <c r="A269" s="12" t="s">
        <v>198</v>
      </c>
      <c r="B269" t="s">
        <v>362</v>
      </c>
      <c r="F269" s="223" t="str">
        <f>'0422Master'!F5</f>
        <v>Burgeon IT Services Pvt.Ltd.</v>
      </c>
      <c r="L269" s="13"/>
    </row>
    <row r="270" spans="1:12" ht="27.95" customHeight="1" thickBot="1">
      <c r="A270" s="24" t="s">
        <v>199</v>
      </c>
      <c r="B270" s="266" t="e">
        <f>'0422Master'!#REF!</f>
        <v>#REF!</v>
      </c>
      <c r="C270" s="22"/>
      <c r="D270" s="22"/>
      <c r="E270" s="22"/>
      <c r="F270" s="22" t="str">
        <f>'0422Master'!F6</f>
        <v>Siri Mansion LIGB 436 Dr.A S Rao Nagar,Hyderabad</v>
      </c>
      <c r="G270" s="22"/>
      <c r="H270" s="22"/>
      <c r="I270" s="22"/>
      <c r="J270" s="22"/>
      <c r="K270" s="22"/>
      <c r="L270" s="23"/>
    </row>
    <row r="271" spans="1:12" ht="27.95" customHeight="1">
      <c r="A271" s="73"/>
      <c r="B271" s="74"/>
      <c r="C271" s="74"/>
      <c r="D271" s="158"/>
      <c r="E271" s="158"/>
      <c r="F271" s="158"/>
      <c r="G271" s="158"/>
      <c r="H271" s="158"/>
      <c r="I271" s="158"/>
      <c r="J271" s="74"/>
      <c r="K271" s="160" t="s">
        <v>213</v>
      </c>
      <c r="L271" s="159"/>
    </row>
    <row r="272" spans="1:12" ht="27.95" customHeight="1">
      <c r="A272" s="12"/>
      <c r="B272" s="1245" t="s">
        <v>212</v>
      </c>
      <c r="C272" s="1245"/>
      <c r="D272" s="1245"/>
      <c r="E272" s="1245"/>
      <c r="F272" s="1245"/>
      <c r="G272" s="1245"/>
      <c r="H272" s="1245"/>
      <c r="I272" s="1245"/>
      <c r="J272" s="1245"/>
      <c r="K272" s="1245"/>
      <c r="L272" s="1246"/>
    </row>
    <row r="273" spans="1:12" ht="27.95" customHeight="1">
      <c r="A273" s="12"/>
      <c r="B273" s="1240" t="s">
        <v>214</v>
      </c>
      <c r="C273" s="1240"/>
      <c r="D273" s="1240"/>
      <c r="E273" s="1240"/>
      <c r="F273" s="1240"/>
      <c r="G273" s="1240"/>
      <c r="H273" s="1240"/>
      <c r="I273" s="1240"/>
      <c r="J273" s="1240"/>
      <c r="K273" s="1240"/>
      <c r="L273" s="1247"/>
    </row>
    <row r="274" spans="1:12" ht="27.95" customHeight="1">
      <c r="A274" s="12"/>
      <c r="B274" s="161" t="s">
        <v>215</v>
      </c>
      <c r="C274" s="161"/>
      <c r="D274" s="161"/>
      <c r="E274" s="161"/>
      <c r="F274" s="161"/>
      <c r="H274" s="162"/>
      <c r="I274" s="162"/>
      <c r="J274" s="162"/>
      <c r="K274" s="162"/>
      <c r="L274" s="170"/>
    </row>
    <row r="275" spans="1:12" ht="27.95" customHeight="1">
      <c r="A275" s="12"/>
      <c r="B275" s="1213" t="s">
        <v>185</v>
      </c>
      <c r="C275" s="1213"/>
      <c r="D275" s="1213"/>
      <c r="E275" s="1213"/>
      <c r="F275" s="1213"/>
      <c r="G275" s="1213"/>
      <c r="H275" s="1233" t="e">
        <f>'0422Master'!#REF!</f>
        <v>#REF!</v>
      </c>
      <c r="I275" s="1228"/>
      <c r="J275" s="1228"/>
      <c r="K275" s="1228"/>
      <c r="L275" s="1071"/>
    </row>
    <row r="276" spans="1:12" ht="27.95" customHeight="1">
      <c r="A276" s="12"/>
      <c r="B276" s="1234" t="s">
        <v>186</v>
      </c>
      <c r="C276" s="1234"/>
      <c r="D276" s="1234"/>
      <c r="E276" s="1234"/>
      <c r="F276" s="1234"/>
      <c r="G276" s="1234"/>
      <c r="H276" s="1233" t="e">
        <f>'0422Master'!#REF!</f>
        <v>#REF!</v>
      </c>
      <c r="I276" s="1228"/>
      <c r="J276" s="1228"/>
      <c r="K276" s="1228"/>
      <c r="L276" s="1071"/>
    </row>
    <row r="277" spans="1:12">
      <c r="A277" s="12"/>
      <c r="B277" s="1213" t="s">
        <v>187</v>
      </c>
      <c r="C277" s="1213"/>
      <c r="D277" s="1213"/>
      <c r="E277" s="1213"/>
      <c r="F277" s="1213"/>
      <c r="G277" s="1213"/>
      <c r="H277" s="1233" t="e">
        <f>'0422Master'!#REF!</f>
        <v>#REF!</v>
      </c>
      <c r="I277" s="1228"/>
      <c r="J277" s="1228"/>
      <c r="K277" s="1228"/>
      <c r="L277" s="1071"/>
    </row>
    <row r="278" spans="1:12">
      <c r="A278" s="12"/>
      <c r="B278" s="1213" t="s">
        <v>188</v>
      </c>
      <c r="C278" s="1213"/>
      <c r="D278" s="1213"/>
      <c r="E278" s="1213"/>
      <c r="F278" s="1213"/>
      <c r="G278" s="1213"/>
      <c r="H278" s="1227" t="e">
        <f>'0422Master'!#REF!</f>
        <v>#REF!</v>
      </c>
      <c r="I278" s="1228"/>
      <c r="J278" s="1228"/>
      <c r="K278" s="1228"/>
      <c r="L278" s="1071"/>
    </row>
    <row r="279" spans="1:12">
      <c r="A279" s="12"/>
      <c r="B279" s="85" t="s">
        <v>189</v>
      </c>
      <c r="C279" s="86"/>
      <c r="D279" s="86"/>
      <c r="E279" s="86"/>
      <c r="F279" s="86"/>
      <c r="G279" s="86"/>
      <c r="H279" s="1229" t="s">
        <v>190</v>
      </c>
      <c r="I279" s="1230"/>
      <c r="J279" s="1230"/>
      <c r="K279" s="1230"/>
      <c r="L279" s="1231"/>
    </row>
    <row r="280" spans="1:12">
      <c r="A280" s="12"/>
      <c r="B280" s="85" t="s">
        <v>191</v>
      </c>
      <c r="C280" s="86"/>
      <c r="D280" s="86"/>
      <c r="E280" s="86"/>
      <c r="F280" s="86"/>
      <c r="G280" s="86"/>
      <c r="H280" s="87"/>
      <c r="I280" s="89"/>
      <c r="J280" s="152"/>
      <c r="K280" s="89"/>
      <c r="L280" s="94"/>
    </row>
    <row r="281" spans="1:12">
      <c r="A281" s="12"/>
      <c r="B281" s="1082" t="s">
        <v>192</v>
      </c>
      <c r="C281" s="1082"/>
      <c r="D281" s="1082"/>
      <c r="E281" s="1082"/>
      <c r="F281" s="1082"/>
      <c r="G281" s="1082"/>
      <c r="H281" s="1074" t="e">
        <f>'0422Master'!#REF!</f>
        <v>#REF!</v>
      </c>
      <c r="I281" s="1075"/>
      <c r="J281" s="1075"/>
      <c r="K281" s="1075"/>
      <c r="L281" s="1076"/>
    </row>
    <row r="282" spans="1:12">
      <c r="A282" s="12"/>
      <c r="B282" s="1213"/>
      <c r="C282" s="1213"/>
      <c r="D282" s="1213"/>
      <c r="E282" s="1213"/>
      <c r="F282" s="1213"/>
      <c r="G282" s="1213"/>
      <c r="H282" s="1232" t="e">
        <f>'0422Master'!#REF!</f>
        <v>#REF!</v>
      </c>
      <c r="I282" s="1228"/>
      <c r="J282" s="1228"/>
      <c r="K282" s="1228"/>
      <c r="L282" s="1071"/>
    </row>
    <row r="283" spans="1:12">
      <c r="A283" s="12"/>
      <c r="B283" s="1213"/>
      <c r="C283" s="1213"/>
      <c r="D283" s="1213"/>
      <c r="E283" s="1213"/>
      <c r="F283" s="1213"/>
      <c r="G283" s="1213"/>
      <c r="H283" s="1233" t="e">
        <f>'0422Master'!#REF!</f>
        <v>#REF!</v>
      </c>
      <c r="I283" s="1228"/>
      <c r="J283" s="1228"/>
      <c r="K283" s="1228"/>
      <c r="L283" s="1071"/>
    </row>
    <row r="284" spans="1:12">
      <c r="A284" s="12"/>
      <c r="G284" s="2" t="s">
        <v>216</v>
      </c>
      <c r="H284" s="2"/>
      <c r="I284" s="2"/>
      <c r="J284" s="2"/>
      <c r="K284" s="2"/>
      <c r="L284" s="80"/>
    </row>
    <row r="285" spans="1:12">
      <c r="A285" s="12"/>
      <c r="B285" s="154" t="s">
        <v>200</v>
      </c>
      <c r="C285" s="150"/>
      <c r="D285" s="150"/>
      <c r="E285" s="150"/>
      <c r="F285" s="150"/>
      <c r="G285" s="150"/>
      <c r="H285" s="139"/>
      <c r="I285" s="139"/>
      <c r="J285" s="139"/>
      <c r="K285" s="139"/>
      <c r="L285" s="157"/>
    </row>
    <row r="286" spans="1:12">
      <c r="A286" s="12"/>
      <c r="B286" s="154" t="s">
        <v>201</v>
      </c>
      <c r="C286" s="150"/>
      <c r="D286" s="150"/>
      <c r="E286" s="150"/>
      <c r="F286" s="150"/>
      <c r="G286" s="150"/>
      <c r="H286" s="139"/>
      <c r="I286" s="139"/>
      <c r="J286" s="140"/>
      <c r="K286" s="139"/>
      <c r="L286" s="157"/>
    </row>
    <row r="287" spans="1:12" ht="45">
      <c r="A287" s="84"/>
      <c r="B287" s="85" t="s">
        <v>204</v>
      </c>
      <c r="C287" s="86"/>
      <c r="D287" s="167"/>
      <c r="E287" s="145" t="s">
        <v>206</v>
      </c>
      <c r="F287" s="64"/>
      <c r="G287" s="1218" t="s">
        <v>205</v>
      </c>
      <c r="H287" s="1219"/>
      <c r="I287" s="144" t="s">
        <v>202</v>
      </c>
      <c r="J287" s="147" t="s">
        <v>207</v>
      </c>
      <c r="K287" s="1218" t="s">
        <v>203</v>
      </c>
      <c r="L287" s="1220"/>
    </row>
    <row r="288" spans="1:12">
      <c r="A288" s="84"/>
      <c r="B288" s="148">
        <v>1</v>
      </c>
      <c r="C288" s="86"/>
      <c r="D288" s="86"/>
      <c r="E288" s="151">
        <v>2</v>
      </c>
      <c r="F288" s="90"/>
      <c r="G288" s="151">
        <v>3</v>
      </c>
      <c r="H288" s="167"/>
      <c r="I288" s="167">
        <v>4</v>
      </c>
      <c r="J288" s="99">
        <v>5</v>
      </c>
      <c r="K288" s="92"/>
      <c r="L288" s="93">
        <v>6</v>
      </c>
    </row>
    <row r="289" spans="1:12">
      <c r="A289" s="84"/>
      <c r="B289" s="85" t="e">
        <f>'0422Master'!#REF!</f>
        <v>#REF!</v>
      </c>
      <c r="C289" s="163"/>
      <c r="D289" s="164"/>
      <c r="E289" s="165" t="s">
        <v>366</v>
      </c>
      <c r="F289" s="164"/>
      <c r="G289" s="165" t="s">
        <v>364</v>
      </c>
      <c r="H289" s="64"/>
      <c r="I289" s="10" t="s">
        <v>367</v>
      </c>
      <c r="J289" s="264">
        <v>1</v>
      </c>
      <c r="K289" s="166" t="s">
        <v>37</v>
      </c>
      <c r="L289" s="171"/>
    </row>
    <row r="290" spans="1:12">
      <c r="A290" s="84"/>
      <c r="B290" s="85"/>
      <c r="C290" s="163"/>
      <c r="D290" s="164"/>
      <c r="E290" s="165"/>
      <c r="F290" s="164"/>
      <c r="G290" s="165"/>
      <c r="H290" s="64"/>
      <c r="I290" s="10"/>
      <c r="J290" s="10"/>
      <c r="K290" s="166"/>
      <c r="L290" s="171"/>
    </row>
    <row r="291" spans="1:12">
      <c r="A291" s="84"/>
      <c r="B291" s="85"/>
      <c r="C291" s="163"/>
      <c r="D291" s="164"/>
      <c r="E291" s="165"/>
      <c r="F291" s="164"/>
      <c r="G291" s="165"/>
      <c r="H291" s="64"/>
      <c r="I291" s="10"/>
      <c r="J291" s="10"/>
      <c r="K291" s="166"/>
      <c r="L291" s="171"/>
    </row>
    <row r="292" spans="1:12">
      <c r="A292" s="84"/>
      <c r="B292" s="71"/>
      <c r="C292" s="16"/>
      <c r="D292" s="72"/>
      <c r="E292" s="165"/>
      <c r="F292" s="164"/>
      <c r="G292" s="165"/>
      <c r="H292" s="64"/>
      <c r="I292" s="10"/>
      <c r="J292" s="10"/>
      <c r="K292" s="166"/>
      <c r="L292" s="171"/>
    </row>
    <row r="293" spans="1:12">
      <c r="A293" s="84"/>
      <c r="B293" t="s">
        <v>208</v>
      </c>
      <c r="L293" s="13"/>
    </row>
    <row r="294" spans="1:12">
      <c r="A294" s="12"/>
      <c r="B294" t="s">
        <v>209</v>
      </c>
      <c r="L294" s="13"/>
    </row>
    <row r="295" spans="1:12">
      <c r="A295" s="12"/>
      <c r="B295" t="s">
        <v>220</v>
      </c>
      <c r="J295" t="s">
        <v>219</v>
      </c>
      <c r="L295" s="13"/>
    </row>
    <row r="296" spans="1:12">
      <c r="A296" s="12"/>
      <c r="G296" s="2" t="s">
        <v>217</v>
      </c>
      <c r="H296" s="2"/>
      <c r="I296" s="2"/>
      <c r="J296" s="2"/>
      <c r="K296" s="2"/>
      <c r="L296" s="80"/>
    </row>
    <row r="297" spans="1:12">
      <c r="A297" s="12"/>
      <c r="B297" s="2"/>
      <c r="G297" t="s">
        <v>218</v>
      </c>
      <c r="H297" s="2"/>
      <c r="I297" s="2"/>
      <c r="J297" s="2"/>
      <c r="K297" s="2"/>
      <c r="L297" s="80"/>
    </row>
    <row r="298" spans="1:12">
      <c r="A298" s="12"/>
      <c r="B298" s="154" t="s">
        <v>221</v>
      </c>
      <c r="C298" s="150"/>
      <c r="D298" s="150"/>
      <c r="E298" s="150"/>
      <c r="F298" s="150"/>
      <c r="G298" s="150"/>
      <c r="H298" s="139"/>
      <c r="I298" s="139"/>
      <c r="J298" s="139"/>
      <c r="K298" s="139"/>
      <c r="L298" s="157"/>
    </row>
    <row r="299" spans="1:12">
      <c r="A299" s="12"/>
      <c r="B299" s="154" t="s">
        <v>222</v>
      </c>
      <c r="C299" s="150"/>
      <c r="D299" s="150"/>
      <c r="E299" s="150"/>
      <c r="F299" s="150"/>
      <c r="G299" s="150"/>
      <c r="H299" s="139"/>
      <c r="I299" s="139"/>
      <c r="J299" s="140"/>
      <c r="K299" s="139"/>
      <c r="L299" s="157"/>
    </row>
    <row r="300" spans="1:12">
      <c r="A300" s="12"/>
      <c r="B300" s="85" t="s">
        <v>5</v>
      </c>
      <c r="C300" s="1248" t="s">
        <v>223</v>
      </c>
      <c r="D300" s="1216"/>
      <c r="E300" s="1216"/>
      <c r="F300" s="1216"/>
      <c r="G300" s="1216"/>
      <c r="H300" s="1249"/>
      <c r="I300" s="146" t="s">
        <v>102</v>
      </c>
      <c r="J300" s="1250" t="s">
        <v>224</v>
      </c>
      <c r="K300" s="1251"/>
      <c r="L300" s="1252"/>
    </row>
    <row r="301" spans="1:12">
      <c r="A301" s="12"/>
      <c r="B301" s="148">
        <v>1</v>
      </c>
      <c r="C301" s="182"/>
      <c r="D301" s="89"/>
      <c r="E301" s="95">
        <v>2</v>
      </c>
      <c r="F301" s="63"/>
      <c r="G301" s="1244"/>
      <c r="H301" s="1219"/>
      <c r="I301" s="89">
        <v>3</v>
      </c>
      <c r="J301" s="169" t="s">
        <v>225</v>
      </c>
      <c r="K301" s="1253">
        <v>4</v>
      </c>
      <c r="L301" s="1254"/>
    </row>
    <row r="302" spans="1:12">
      <c r="A302" s="12"/>
      <c r="B302" s="85"/>
      <c r="C302" s="182"/>
      <c r="D302" s="89"/>
      <c r="E302" s="95"/>
      <c r="F302" s="63"/>
      <c r="G302" s="1244"/>
      <c r="H302" s="1219"/>
      <c r="I302" s="166"/>
      <c r="J302" s="168"/>
      <c r="K302" s="1244"/>
      <c r="L302" s="1220"/>
    </row>
    <row r="303" spans="1:12">
      <c r="A303" s="12"/>
      <c r="B303" s="85"/>
      <c r="C303" s="182"/>
      <c r="D303" s="89"/>
      <c r="E303" s="95"/>
      <c r="F303" s="63"/>
      <c r="G303" s="1244"/>
      <c r="H303" s="1219"/>
      <c r="I303" s="166"/>
      <c r="J303" s="168"/>
      <c r="K303" s="1244"/>
      <c r="L303" s="1220"/>
    </row>
    <row r="304" spans="1:12">
      <c r="A304" s="12"/>
      <c r="B304" s="85"/>
      <c r="C304" s="182"/>
      <c r="D304" s="89"/>
      <c r="E304" s="95"/>
      <c r="F304" s="63"/>
      <c r="G304" s="1244"/>
      <c r="H304" s="1219"/>
      <c r="I304" s="166"/>
      <c r="J304" s="168"/>
      <c r="K304" s="1244"/>
      <c r="L304" s="1220"/>
    </row>
    <row r="305" spans="1:12">
      <c r="A305" s="12"/>
      <c r="B305" s="71"/>
      <c r="C305" s="182"/>
      <c r="D305" s="89"/>
      <c r="E305" s="95"/>
      <c r="F305" s="63"/>
      <c r="G305" s="1244"/>
      <c r="H305" s="1219"/>
      <c r="I305" s="166"/>
      <c r="J305" s="168"/>
      <c r="K305" s="1244"/>
      <c r="L305" s="1220"/>
    </row>
    <row r="306" spans="1:12">
      <c r="A306" s="12"/>
      <c r="B306" t="s">
        <v>229</v>
      </c>
      <c r="L306" s="13"/>
    </row>
    <row r="307" spans="1:12">
      <c r="A307" s="12"/>
      <c r="B307" t="s">
        <v>230</v>
      </c>
      <c r="L307" s="13"/>
    </row>
    <row r="308" spans="1:12">
      <c r="A308" s="12"/>
      <c r="B308" t="s">
        <v>231</v>
      </c>
      <c r="L308" s="13"/>
    </row>
    <row r="309" spans="1:12">
      <c r="A309" s="12"/>
      <c r="B309" t="s">
        <v>232</v>
      </c>
      <c r="L309" s="13"/>
    </row>
    <row r="310" spans="1:12">
      <c r="A310" s="12"/>
      <c r="B310" s="165" t="s">
        <v>226</v>
      </c>
      <c r="C310" s="63"/>
      <c r="D310" s="63"/>
      <c r="E310" s="63"/>
      <c r="F310" s="64"/>
      <c r="G310" s="165" t="s">
        <v>202</v>
      </c>
      <c r="H310" s="64"/>
      <c r="I310" s="165" t="s">
        <v>227</v>
      </c>
      <c r="J310" s="63"/>
      <c r="K310" s="64"/>
      <c r="L310" s="13"/>
    </row>
    <row r="311" spans="1:12">
      <c r="A311" s="12"/>
      <c r="B311" s="1221"/>
      <c r="C311" s="1243"/>
      <c r="D311" s="1243"/>
      <c r="E311" s="1243"/>
      <c r="F311" s="1222"/>
      <c r="G311" s="1221"/>
      <c r="H311" s="1222"/>
      <c r="I311" s="1221"/>
      <c r="J311" s="1243"/>
      <c r="K311" s="1222"/>
      <c r="L311" s="13"/>
    </row>
    <row r="312" spans="1:12" ht="27.95" customHeight="1">
      <c r="A312" s="12"/>
      <c r="B312" s="1221"/>
      <c r="C312" s="1243"/>
      <c r="D312" s="1243"/>
      <c r="E312" s="1243"/>
      <c r="F312" s="1222"/>
      <c r="G312" s="1221"/>
      <c r="H312" s="1222"/>
      <c r="I312" s="1221"/>
      <c r="J312" s="1243"/>
      <c r="K312" s="1222"/>
      <c r="L312" s="13"/>
    </row>
    <row r="313" spans="1:12" ht="27.95" customHeight="1">
      <c r="A313" s="12"/>
      <c r="B313" s="1221"/>
      <c r="C313" s="1243"/>
      <c r="D313" s="1243"/>
      <c r="E313" s="1243"/>
      <c r="F313" s="1222"/>
      <c r="G313" s="1221"/>
      <c r="H313" s="1222"/>
      <c r="I313" s="1221"/>
      <c r="J313" s="1243"/>
      <c r="K313" s="1222"/>
      <c r="L313" s="13"/>
    </row>
    <row r="314" spans="1:12" ht="27.95" customHeight="1">
      <c r="A314" s="12"/>
      <c r="B314" s="1221"/>
      <c r="C314" s="1243"/>
      <c r="D314" s="1243"/>
      <c r="E314" s="1243"/>
      <c r="F314" s="1222"/>
      <c r="G314" s="1221"/>
      <c r="H314" s="1222"/>
      <c r="I314" s="1221"/>
      <c r="J314" s="1243"/>
      <c r="K314" s="1222"/>
      <c r="L314" s="13"/>
    </row>
    <row r="315" spans="1:12" ht="27.95" customHeight="1">
      <c r="A315" s="12"/>
      <c r="L315" s="13"/>
    </row>
    <row r="316" spans="1:12" ht="27.95" customHeight="1">
      <c r="A316" s="12"/>
      <c r="B316" t="s">
        <v>199</v>
      </c>
      <c r="C316" s="263" t="e">
        <f>'0422Master'!#REF!</f>
        <v>#REF!</v>
      </c>
      <c r="I316" t="s">
        <v>228</v>
      </c>
      <c r="L316" s="13"/>
    </row>
    <row r="317" spans="1:12" ht="27.95" customHeight="1">
      <c r="A317" s="12"/>
      <c r="F317" s="153" t="s">
        <v>194</v>
      </c>
      <c r="L317" s="13"/>
    </row>
    <row r="318" spans="1:12" ht="27.95" customHeight="1">
      <c r="A318" s="12" t="s">
        <v>195</v>
      </c>
      <c r="K318" s="203" t="e">
        <f>'0422Master'!#REF!</f>
        <v>#REF!</v>
      </c>
      <c r="L318" s="13"/>
    </row>
    <row r="319" spans="1:12" ht="27.95" customHeight="1">
      <c r="A319" s="12" t="s">
        <v>196</v>
      </c>
      <c r="L319" s="13"/>
    </row>
    <row r="320" spans="1:12" ht="27.95" customHeight="1">
      <c r="A320" s="12"/>
      <c r="L320" s="13"/>
    </row>
    <row r="321" spans="1:12" ht="27.95" customHeight="1">
      <c r="A321" s="12"/>
      <c r="F321" t="s">
        <v>197</v>
      </c>
      <c r="L321" s="13"/>
    </row>
    <row r="322" spans="1:12" ht="27.95" customHeight="1">
      <c r="A322" s="12" t="s">
        <v>198</v>
      </c>
      <c r="B322" t="s">
        <v>362</v>
      </c>
      <c r="F322" t="str">
        <f>'0422Master'!F5</f>
        <v>Burgeon IT Services Pvt.Ltd.</v>
      </c>
      <c r="L322" s="13"/>
    </row>
    <row r="323" spans="1:12" ht="27.95" customHeight="1" thickBot="1">
      <c r="A323" s="24" t="s">
        <v>199</v>
      </c>
      <c r="B323" s="266" t="e">
        <f>'0422Master'!#REF!</f>
        <v>#REF!</v>
      </c>
      <c r="C323" s="22"/>
      <c r="D323" s="22"/>
      <c r="E323" s="22"/>
      <c r="F323" s="22" t="str">
        <f>'0422Master'!F6</f>
        <v>Siri Mansion LIGB 436 Dr.A S Rao Nagar,Hyderabad</v>
      </c>
      <c r="G323" s="22"/>
      <c r="H323" s="22"/>
      <c r="I323" s="22"/>
      <c r="J323" s="22"/>
      <c r="K323" s="22"/>
      <c r="L323" s="23"/>
    </row>
    <row r="324" spans="1:12" ht="27.95" customHeight="1" thickBot="1">
      <c r="A324" s="12"/>
      <c r="B324" s="263"/>
      <c r="L324" s="13"/>
    </row>
    <row r="325" spans="1:12" ht="27.95" customHeight="1">
      <c r="A325" s="73"/>
      <c r="B325" s="74"/>
      <c r="C325" s="74"/>
      <c r="D325" s="158"/>
      <c r="E325" s="158"/>
      <c r="F325" s="158"/>
      <c r="G325" s="158"/>
      <c r="H325" s="158"/>
      <c r="I325" s="158"/>
      <c r="J325" s="74"/>
      <c r="K325" s="160" t="s">
        <v>213</v>
      </c>
      <c r="L325" s="159"/>
    </row>
    <row r="326" spans="1:12" ht="27.95" customHeight="1">
      <c r="A326" s="12"/>
      <c r="B326" s="1245" t="s">
        <v>212</v>
      </c>
      <c r="C326" s="1245"/>
      <c r="D326" s="1245"/>
      <c r="E326" s="1245"/>
      <c r="F326" s="1245"/>
      <c r="G326" s="1245"/>
      <c r="H326" s="1245"/>
      <c r="I326" s="1245"/>
      <c r="J326" s="1245"/>
      <c r="K326" s="1245"/>
      <c r="L326" s="1246"/>
    </row>
    <row r="327" spans="1:12" ht="27.95" customHeight="1">
      <c r="A327" s="12"/>
      <c r="B327" s="1240" t="s">
        <v>214</v>
      </c>
      <c r="C327" s="1240"/>
      <c r="D327" s="1240"/>
      <c r="E327" s="1240"/>
      <c r="F327" s="1240"/>
      <c r="G327" s="1240"/>
      <c r="H327" s="1240"/>
      <c r="I327" s="1240"/>
      <c r="J327" s="1240"/>
      <c r="K327" s="1240"/>
      <c r="L327" s="1247"/>
    </row>
    <row r="328" spans="1:12" ht="27.95" customHeight="1">
      <c r="A328" s="12"/>
      <c r="B328" s="161" t="s">
        <v>215</v>
      </c>
      <c r="C328" s="161"/>
      <c r="D328" s="161"/>
      <c r="E328" s="161"/>
      <c r="F328" s="161"/>
      <c r="H328" s="162"/>
      <c r="I328" s="162"/>
      <c r="J328" s="162"/>
      <c r="K328" s="162"/>
      <c r="L328" s="170"/>
    </row>
    <row r="329" spans="1:12" ht="27.95" customHeight="1">
      <c r="A329" s="12"/>
      <c r="B329" s="161"/>
      <c r="C329" s="161"/>
      <c r="D329" s="161"/>
      <c r="E329" s="161"/>
      <c r="F329" s="161"/>
      <c r="H329" s="162"/>
      <c r="I329" s="162"/>
      <c r="J329" s="162"/>
      <c r="K329" s="162"/>
      <c r="L329" s="170"/>
    </row>
    <row r="330" spans="1:12" ht="27.95" customHeight="1">
      <c r="A330" s="12"/>
      <c r="B330" s="1213" t="s">
        <v>185</v>
      </c>
      <c r="C330" s="1213"/>
      <c r="D330" s="1213"/>
      <c r="E330" s="1213"/>
      <c r="F330" s="1213"/>
      <c r="G330" s="1213"/>
      <c r="H330" s="1233" t="e">
        <f>'0422Master'!#REF!</f>
        <v>#REF!</v>
      </c>
      <c r="I330" s="1228"/>
      <c r="J330" s="1228"/>
      <c r="K330" s="1228"/>
      <c r="L330" s="1071"/>
    </row>
    <row r="331" spans="1:12">
      <c r="A331" s="12"/>
      <c r="B331" s="1234" t="s">
        <v>186</v>
      </c>
      <c r="C331" s="1234"/>
      <c r="D331" s="1234"/>
      <c r="E331" s="1234"/>
      <c r="F331" s="1234"/>
      <c r="G331" s="1234"/>
      <c r="H331" s="1233" t="e">
        <f>'0422Master'!#REF!</f>
        <v>#REF!</v>
      </c>
      <c r="I331" s="1228"/>
      <c r="J331" s="1228"/>
      <c r="K331" s="1228"/>
      <c r="L331" s="1071"/>
    </row>
    <row r="332" spans="1:12">
      <c r="A332" s="12"/>
      <c r="B332" s="1213" t="s">
        <v>187</v>
      </c>
      <c r="C332" s="1213"/>
      <c r="D332" s="1213"/>
      <c r="E332" s="1213"/>
      <c r="F332" s="1213"/>
      <c r="G332" s="1213"/>
      <c r="H332" s="1233" t="e">
        <f>'0422Master'!#REF!</f>
        <v>#REF!</v>
      </c>
      <c r="I332" s="1228"/>
      <c r="J332" s="1228"/>
      <c r="K332" s="1228"/>
      <c r="L332" s="1071"/>
    </row>
    <row r="333" spans="1:12">
      <c r="A333" s="12"/>
      <c r="B333" s="1213" t="s">
        <v>188</v>
      </c>
      <c r="C333" s="1213"/>
      <c r="D333" s="1213"/>
      <c r="E333" s="1213"/>
      <c r="F333" s="1213"/>
      <c r="G333" s="1213"/>
      <c r="H333" s="1227" t="e">
        <f>'0422Master'!#REF!</f>
        <v>#REF!</v>
      </c>
      <c r="I333" s="1228"/>
      <c r="J333" s="1228"/>
      <c r="K333" s="1228"/>
      <c r="L333" s="1071"/>
    </row>
    <row r="334" spans="1:12">
      <c r="A334" s="12"/>
      <c r="B334" s="85" t="s">
        <v>189</v>
      </c>
      <c r="C334" s="86"/>
      <c r="D334" s="86"/>
      <c r="E334" s="86"/>
      <c r="F334" s="86"/>
      <c r="G334" s="86"/>
      <c r="H334" s="1229" t="s">
        <v>190</v>
      </c>
      <c r="I334" s="1230"/>
      <c r="J334" s="1230"/>
      <c r="K334" s="1230"/>
      <c r="L334" s="1231"/>
    </row>
    <row r="335" spans="1:12">
      <c r="A335" s="12"/>
      <c r="B335" s="85" t="s">
        <v>191</v>
      </c>
      <c r="C335" s="86"/>
      <c r="D335" s="86"/>
      <c r="E335" s="86"/>
      <c r="F335" s="86"/>
      <c r="G335" s="86"/>
      <c r="H335" s="87"/>
      <c r="I335" s="89"/>
      <c r="J335" s="152"/>
      <c r="K335" s="89"/>
      <c r="L335" s="94"/>
    </row>
    <row r="336" spans="1:12">
      <c r="A336" s="12"/>
      <c r="B336" s="1082" t="s">
        <v>192</v>
      </c>
      <c r="C336" s="1082"/>
      <c r="D336" s="1082"/>
      <c r="E336" s="1082"/>
      <c r="F336" s="1082"/>
      <c r="G336" s="1082"/>
      <c r="H336" s="1074" t="e">
        <f>'0422Master'!#REF!</f>
        <v>#REF!</v>
      </c>
      <c r="I336" s="1075"/>
      <c r="J336" s="1075"/>
      <c r="K336" s="1075"/>
      <c r="L336" s="1076"/>
    </row>
    <row r="337" spans="1:12">
      <c r="A337" s="12"/>
      <c r="B337" s="1213"/>
      <c r="C337" s="1213"/>
      <c r="D337" s="1213"/>
      <c r="E337" s="1213"/>
      <c r="F337" s="1213"/>
      <c r="G337" s="1213"/>
      <c r="H337" s="1232" t="e">
        <f>'0422Master'!#REF!</f>
        <v>#REF!</v>
      </c>
      <c r="I337" s="1228"/>
      <c r="J337" s="1228"/>
      <c r="K337" s="1228"/>
      <c r="L337" s="1071"/>
    </row>
    <row r="338" spans="1:12">
      <c r="A338" s="12"/>
      <c r="B338" s="1213"/>
      <c r="C338" s="1213"/>
      <c r="D338" s="1213"/>
      <c r="E338" s="1213"/>
      <c r="F338" s="1213"/>
      <c r="G338" s="1213"/>
      <c r="H338" s="1233" t="e">
        <f>'0422Master'!#REF!</f>
        <v>#REF!</v>
      </c>
      <c r="I338" s="1228"/>
      <c r="J338" s="1228"/>
      <c r="K338" s="1228"/>
      <c r="L338" s="1071"/>
    </row>
    <row r="339" spans="1:12">
      <c r="A339" s="12"/>
      <c r="G339" s="2" t="s">
        <v>216</v>
      </c>
      <c r="H339" s="2"/>
      <c r="I339" s="2"/>
      <c r="J339" s="2"/>
      <c r="K339" s="2"/>
      <c r="L339" s="80"/>
    </row>
    <row r="340" spans="1:12">
      <c r="A340" s="12"/>
      <c r="B340" s="154" t="s">
        <v>200</v>
      </c>
      <c r="C340" s="150"/>
      <c r="D340" s="150"/>
      <c r="E340" s="150"/>
      <c r="F340" s="150"/>
      <c r="G340" s="150"/>
      <c r="H340" s="139"/>
      <c r="I340" s="139"/>
      <c r="J340" s="139"/>
      <c r="K340" s="139"/>
      <c r="L340" s="157"/>
    </row>
    <row r="341" spans="1:12">
      <c r="A341" s="12"/>
      <c r="B341" s="154" t="s">
        <v>201</v>
      </c>
      <c r="C341" s="150"/>
      <c r="D341" s="150"/>
      <c r="E341" s="150"/>
      <c r="F341" s="150"/>
      <c r="G341" s="150"/>
      <c r="H341" s="139"/>
      <c r="I341" s="139"/>
      <c r="J341" s="140"/>
      <c r="K341" s="139"/>
      <c r="L341" s="157"/>
    </row>
    <row r="342" spans="1:12" ht="45">
      <c r="A342" s="84"/>
      <c r="B342" s="85" t="s">
        <v>204</v>
      </c>
      <c r="C342" s="86"/>
      <c r="D342" s="167"/>
      <c r="E342" s="145" t="s">
        <v>206</v>
      </c>
      <c r="F342" s="64"/>
      <c r="G342" s="1218" t="s">
        <v>205</v>
      </c>
      <c r="H342" s="1219"/>
      <c r="I342" s="144" t="s">
        <v>202</v>
      </c>
      <c r="J342" s="147" t="s">
        <v>207</v>
      </c>
      <c r="K342" s="1218" t="s">
        <v>203</v>
      </c>
      <c r="L342" s="1220"/>
    </row>
    <row r="343" spans="1:12">
      <c r="A343" s="84"/>
      <c r="B343" s="148">
        <v>1</v>
      </c>
      <c r="C343" s="86"/>
      <c r="D343" s="86"/>
      <c r="E343" s="151">
        <v>2</v>
      </c>
      <c r="F343" s="90"/>
      <c r="G343" s="151">
        <v>3</v>
      </c>
      <c r="H343" s="167"/>
      <c r="I343" s="167">
        <v>4</v>
      </c>
      <c r="J343" s="99">
        <v>5</v>
      </c>
      <c r="K343" s="92"/>
      <c r="L343" s="93">
        <v>6</v>
      </c>
    </row>
    <row r="344" spans="1:12">
      <c r="A344" s="84"/>
      <c r="B344" s="85" t="e">
        <f>'0422Master'!#REF!</f>
        <v>#REF!</v>
      </c>
      <c r="C344" s="163"/>
      <c r="D344" s="164"/>
      <c r="E344" s="165" t="s">
        <v>366</v>
      </c>
      <c r="F344" s="164"/>
      <c r="G344" s="165" t="s">
        <v>364</v>
      </c>
      <c r="H344" s="64"/>
      <c r="I344" s="10" t="s">
        <v>367</v>
      </c>
      <c r="J344" s="264">
        <v>1</v>
      </c>
      <c r="K344" s="166" t="s">
        <v>37</v>
      </c>
      <c r="L344" s="171"/>
    </row>
    <row r="345" spans="1:12">
      <c r="A345" s="84"/>
      <c r="B345" s="85"/>
      <c r="C345" s="163"/>
      <c r="D345" s="164"/>
      <c r="E345" s="165"/>
      <c r="F345" s="164"/>
      <c r="G345" s="165"/>
      <c r="H345" s="64"/>
      <c r="I345" s="10"/>
      <c r="J345" s="10"/>
      <c r="K345" s="166"/>
      <c r="L345" s="171"/>
    </row>
    <row r="346" spans="1:12">
      <c r="A346" s="84"/>
      <c r="B346" s="85"/>
      <c r="C346" s="163"/>
      <c r="D346" s="164"/>
      <c r="E346" s="165"/>
      <c r="F346" s="164"/>
      <c r="G346" s="165"/>
      <c r="H346" s="64"/>
      <c r="I346" s="10"/>
      <c r="J346" s="10"/>
      <c r="K346" s="166"/>
      <c r="L346" s="171"/>
    </row>
    <row r="347" spans="1:12">
      <c r="A347" s="84"/>
      <c r="B347" s="71"/>
      <c r="C347" s="16"/>
      <c r="D347" s="72"/>
      <c r="E347" s="165"/>
      <c r="F347" s="164"/>
      <c r="G347" s="165"/>
      <c r="H347" s="64"/>
      <c r="I347" s="10"/>
      <c r="J347" s="10"/>
      <c r="K347" s="166"/>
      <c r="L347" s="171"/>
    </row>
    <row r="348" spans="1:12">
      <c r="A348" s="84"/>
      <c r="B348" t="s">
        <v>208</v>
      </c>
      <c r="L348" s="13"/>
    </row>
    <row r="349" spans="1:12">
      <c r="A349" s="12"/>
      <c r="B349" t="s">
        <v>209</v>
      </c>
      <c r="L349" s="13"/>
    </row>
    <row r="350" spans="1:12">
      <c r="A350" s="12"/>
      <c r="B350" t="s">
        <v>220</v>
      </c>
      <c r="J350" t="s">
        <v>219</v>
      </c>
      <c r="L350" s="13"/>
    </row>
    <row r="351" spans="1:12">
      <c r="A351" s="12"/>
      <c r="G351" s="2" t="s">
        <v>217</v>
      </c>
      <c r="H351" s="2"/>
      <c r="I351" s="2"/>
      <c r="J351" s="2"/>
      <c r="K351" s="2"/>
      <c r="L351" s="80"/>
    </row>
    <row r="352" spans="1:12">
      <c r="A352" s="12"/>
      <c r="B352" s="2"/>
      <c r="G352" t="s">
        <v>218</v>
      </c>
      <c r="H352" s="2"/>
      <c r="I352" s="2"/>
      <c r="J352" s="2"/>
      <c r="K352" s="2"/>
      <c r="L352" s="80"/>
    </row>
    <row r="353" spans="1:12">
      <c r="A353" s="12"/>
      <c r="B353" s="154" t="s">
        <v>221</v>
      </c>
      <c r="C353" s="150"/>
      <c r="D353" s="150"/>
      <c r="E353" s="150"/>
      <c r="F353" s="150"/>
      <c r="G353" s="150"/>
      <c r="H353" s="139"/>
      <c r="I353" s="139"/>
      <c r="J353" s="139"/>
      <c r="K353" s="139"/>
      <c r="L353" s="157"/>
    </row>
    <row r="354" spans="1:12">
      <c r="A354" s="12"/>
      <c r="B354" s="154" t="s">
        <v>222</v>
      </c>
      <c r="C354" s="150"/>
      <c r="D354" s="150"/>
      <c r="E354" s="150"/>
      <c r="F354" s="150"/>
      <c r="G354" s="150"/>
      <c r="H354" s="139"/>
      <c r="I354" s="139"/>
      <c r="J354" s="140"/>
      <c r="K354" s="139"/>
      <c r="L354" s="157"/>
    </row>
    <row r="355" spans="1:12">
      <c r="A355" s="12"/>
      <c r="B355" s="85" t="s">
        <v>5</v>
      </c>
      <c r="C355" s="1248" t="s">
        <v>223</v>
      </c>
      <c r="D355" s="1216"/>
      <c r="E355" s="1216"/>
      <c r="F355" s="1216"/>
      <c r="G355" s="1216"/>
      <c r="H355" s="1249"/>
      <c r="I355" s="146" t="s">
        <v>102</v>
      </c>
      <c r="J355" s="1250" t="s">
        <v>224</v>
      </c>
      <c r="K355" s="1251"/>
      <c r="L355" s="1252"/>
    </row>
    <row r="356" spans="1:12">
      <c r="A356" s="12"/>
      <c r="B356" s="148">
        <v>1</v>
      </c>
      <c r="C356" s="182"/>
      <c r="D356" s="89"/>
      <c r="E356" s="95">
        <v>2</v>
      </c>
      <c r="F356" s="63"/>
      <c r="G356" s="1244"/>
      <c r="H356" s="1219"/>
      <c r="I356" s="89">
        <v>3</v>
      </c>
      <c r="J356" s="169" t="s">
        <v>225</v>
      </c>
      <c r="K356" s="1253">
        <v>4</v>
      </c>
      <c r="L356" s="1254"/>
    </row>
    <row r="357" spans="1:12">
      <c r="A357" s="12"/>
      <c r="B357" s="85"/>
      <c r="C357" s="182"/>
      <c r="D357" s="89"/>
      <c r="E357" s="95"/>
      <c r="F357" s="63"/>
      <c r="G357" s="1244"/>
      <c r="H357" s="1219"/>
      <c r="I357" s="166"/>
      <c r="J357" s="168"/>
      <c r="K357" s="1244"/>
      <c r="L357" s="1220"/>
    </row>
    <row r="358" spans="1:12">
      <c r="A358" s="12"/>
      <c r="B358" s="85"/>
      <c r="C358" s="182"/>
      <c r="D358" s="89"/>
      <c r="E358" s="95"/>
      <c r="F358" s="63"/>
      <c r="G358" s="1244"/>
      <c r="H358" s="1219"/>
      <c r="I358" s="166"/>
      <c r="J358" s="168"/>
      <c r="K358" s="1244"/>
      <c r="L358" s="1220"/>
    </row>
    <row r="359" spans="1:12">
      <c r="A359" s="12"/>
      <c r="B359" s="85"/>
      <c r="C359" s="182"/>
      <c r="D359" s="89"/>
      <c r="E359" s="95"/>
      <c r="F359" s="63"/>
      <c r="G359" s="1244"/>
      <c r="H359" s="1219"/>
      <c r="I359" s="166"/>
      <c r="J359" s="168"/>
      <c r="K359" s="1244"/>
      <c r="L359" s="1220"/>
    </row>
    <row r="360" spans="1:12">
      <c r="A360" s="12"/>
      <c r="B360" s="71"/>
      <c r="C360" s="182"/>
      <c r="D360" s="89"/>
      <c r="E360" s="95"/>
      <c r="F360" s="63"/>
      <c r="G360" s="1244"/>
      <c r="H360" s="1219"/>
      <c r="I360" s="166"/>
      <c r="J360" s="168"/>
      <c r="K360" s="1244"/>
      <c r="L360" s="1220"/>
    </row>
    <row r="361" spans="1:12">
      <c r="A361" s="12"/>
      <c r="B361" t="s">
        <v>229</v>
      </c>
      <c r="L361" s="13"/>
    </row>
    <row r="362" spans="1:12">
      <c r="A362" s="12"/>
      <c r="B362" t="s">
        <v>230</v>
      </c>
      <c r="L362" s="13"/>
    </row>
    <row r="363" spans="1:12">
      <c r="A363" s="12"/>
      <c r="B363" t="s">
        <v>231</v>
      </c>
      <c r="L363" s="13"/>
    </row>
    <row r="364" spans="1:12">
      <c r="A364" s="12"/>
      <c r="B364" t="s">
        <v>232</v>
      </c>
      <c r="L364" s="13"/>
    </row>
    <row r="365" spans="1:12">
      <c r="A365" s="12"/>
      <c r="B365" s="165" t="s">
        <v>226</v>
      </c>
      <c r="C365" s="63"/>
      <c r="D365" s="63"/>
      <c r="E365" s="63"/>
      <c r="F365" s="64"/>
      <c r="G365" s="165" t="s">
        <v>202</v>
      </c>
      <c r="H365" s="64"/>
      <c r="I365" s="165" t="s">
        <v>227</v>
      </c>
      <c r="J365" s="63"/>
      <c r="K365" s="64"/>
      <c r="L365" s="13"/>
    </row>
    <row r="366" spans="1:12" ht="27.95" customHeight="1">
      <c r="A366" s="12"/>
      <c r="B366" s="1221"/>
      <c r="C366" s="1243"/>
      <c r="D366" s="1243"/>
      <c r="E366" s="1243"/>
      <c r="F366" s="1222"/>
      <c r="G366" s="1221"/>
      <c r="H366" s="1222"/>
      <c r="I366" s="1221"/>
      <c r="J366" s="1243"/>
      <c r="K366" s="1222"/>
      <c r="L366" s="13"/>
    </row>
    <row r="367" spans="1:12" ht="27.95" customHeight="1">
      <c r="A367" s="12"/>
      <c r="B367" s="1221"/>
      <c r="C367" s="1243"/>
      <c r="D367" s="1243"/>
      <c r="E367" s="1243"/>
      <c r="F367" s="1222"/>
      <c r="G367" s="1221"/>
      <c r="H367" s="1222"/>
      <c r="I367" s="1221"/>
      <c r="J367" s="1243"/>
      <c r="K367" s="1222"/>
      <c r="L367" s="13"/>
    </row>
    <row r="368" spans="1:12" ht="27.95" customHeight="1">
      <c r="A368" s="12"/>
      <c r="B368" s="1221"/>
      <c r="C368" s="1243"/>
      <c r="D368" s="1243"/>
      <c r="E368" s="1243"/>
      <c r="F368" s="1222"/>
      <c r="G368" s="1221"/>
      <c r="H368" s="1222"/>
      <c r="I368" s="1221"/>
      <c r="J368" s="1243"/>
      <c r="K368" s="1222"/>
      <c r="L368" s="13"/>
    </row>
    <row r="369" spans="1:12" ht="27.95" customHeight="1">
      <c r="A369" s="12"/>
      <c r="B369" s="1221"/>
      <c r="C369" s="1243"/>
      <c r="D369" s="1243"/>
      <c r="E369" s="1243"/>
      <c r="F369" s="1222"/>
      <c r="G369" s="1221"/>
      <c r="H369" s="1222"/>
      <c r="I369" s="1221"/>
      <c r="J369" s="1243"/>
      <c r="K369" s="1222"/>
      <c r="L369" s="13"/>
    </row>
    <row r="370" spans="1:12" ht="27.95" customHeight="1">
      <c r="A370" s="12"/>
      <c r="L370" s="13"/>
    </row>
    <row r="371" spans="1:12" ht="27.95" customHeight="1">
      <c r="A371" s="12"/>
      <c r="B371" t="s">
        <v>199</v>
      </c>
      <c r="C371" s="263" t="e">
        <f>'0422Master'!#REF!</f>
        <v>#REF!</v>
      </c>
      <c r="I371" t="s">
        <v>228</v>
      </c>
      <c r="L371" s="13"/>
    </row>
    <row r="372" spans="1:12" ht="27.95" customHeight="1">
      <c r="A372" s="12"/>
      <c r="F372" s="153" t="s">
        <v>194</v>
      </c>
      <c r="L372" s="13"/>
    </row>
    <row r="373" spans="1:12" ht="27.95" customHeight="1">
      <c r="A373" s="12" t="s">
        <v>195</v>
      </c>
      <c r="K373" s="203" t="e">
        <f>'0422Master'!#REF!</f>
        <v>#REF!</v>
      </c>
      <c r="L373" s="13"/>
    </row>
    <row r="374" spans="1:12" ht="27.95" customHeight="1">
      <c r="A374" s="12" t="s">
        <v>196</v>
      </c>
      <c r="L374" s="13"/>
    </row>
    <row r="375" spans="1:12" ht="27.95" customHeight="1">
      <c r="A375" s="12"/>
      <c r="L375" s="13"/>
    </row>
    <row r="376" spans="1:12" ht="27.95" customHeight="1">
      <c r="A376" s="12"/>
      <c r="F376" t="s">
        <v>197</v>
      </c>
      <c r="L376" s="13"/>
    </row>
    <row r="377" spans="1:12" ht="27.95" customHeight="1">
      <c r="A377" s="12" t="s">
        <v>198</v>
      </c>
      <c r="B377" t="s">
        <v>362</v>
      </c>
      <c r="F377" t="str">
        <f>'0422Master'!F5</f>
        <v>Burgeon IT Services Pvt.Ltd.</v>
      </c>
      <c r="L377" s="13"/>
    </row>
    <row r="378" spans="1:12" ht="27.95" customHeight="1" thickBot="1">
      <c r="A378" s="24" t="s">
        <v>199</v>
      </c>
      <c r="B378" s="266" t="e">
        <f>'0422Master'!#REF!</f>
        <v>#REF!</v>
      </c>
      <c r="C378" s="22"/>
      <c r="D378" s="22"/>
      <c r="E378" s="22"/>
      <c r="F378" s="22" t="str">
        <f>'0422Master'!F6</f>
        <v>Siri Mansion LIGB 436 Dr.A S Rao Nagar,Hyderabad</v>
      </c>
      <c r="G378" s="22"/>
      <c r="H378" s="22"/>
      <c r="I378" s="22"/>
      <c r="J378" s="22"/>
      <c r="K378" s="22"/>
      <c r="L378" s="23"/>
    </row>
    <row r="379" spans="1:12" ht="27.95" customHeight="1">
      <c r="A379" s="73"/>
      <c r="B379" s="74"/>
      <c r="C379" s="74"/>
      <c r="D379" s="158"/>
      <c r="E379" s="158"/>
      <c r="F379" s="158"/>
      <c r="G379" s="158"/>
      <c r="H379" s="158"/>
      <c r="I379" s="158"/>
      <c r="J379" s="74"/>
      <c r="K379" s="160" t="s">
        <v>213</v>
      </c>
      <c r="L379" s="159"/>
    </row>
    <row r="380" spans="1:12" ht="27.95" customHeight="1">
      <c r="A380" s="12"/>
      <c r="B380" s="1245" t="s">
        <v>212</v>
      </c>
      <c r="C380" s="1245"/>
      <c r="D380" s="1245"/>
      <c r="E380" s="1245"/>
      <c r="F380" s="1245"/>
      <c r="G380" s="1245"/>
      <c r="H380" s="1245"/>
      <c r="I380" s="1245"/>
      <c r="J380" s="1245"/>
      <c r="K380" s="1245"/>
      <c r="L380" s="1246"/>
    </row>
    <row r="381" spans="1:12" ht="27.95" customHeight="1">
      <c r="A381" s="12"/>
      <c r="B381" s="1240" t="s">
        <v>214</v>
      </c>
      <c r="C381" s="1240"/>
      <c r="D381" s="1240"/>
      <c r="E381" s="1240"/>
      <c r="F381" s="1240"/>
      <c r="G381" s="1240"/>
      <c r="H381" s="1240"/>
      <c r="I381" s="1240"/>
      <c r="J381" s="1240"/>
      <c r="K381" s="1240"/>
      <c r="L381" s="1247"/>
    </row>
    <row r="382" spans="1:12" ht="27.95" customHeight="1">
      <c r="A382" s="12"/>
      <c r="B382" s="161" t="s">
        <v>215</v>
      </c>
      <c r="C382" s="161"/>
      <c r="D382" s="161"/>
      <c r="E382" s="161"/>
      <c r="F382" s="161"/>
      <c r="H382" s="162"/>
      <c r="I382" s="162"/>
      <c r="J382" s="162"/>
      <c r="K382" s="162"/>
      <c r="L382" s="170"/>
    </row>
    <row r="383" spans="1:12" ht="27.95" customHeight="1">
      <c r="A383" s="12"/>
      <c r="B383" s="161"/>
      <c r="C383" s="161"/>
      <c r="D383" s="161"/>
      <c r="E383" s="161"/>
      <c r="F383" s="161"/>
      <c r="H383" s="162"/>
      <c r="I383" s="162"/>
      <c r="J383" s="162"/>
      <c r="K383" s="162"/>
      <c r="L383" s="170"/>
    </row>
    <row r="384" spans="1:12">
      <c r="A384" s="12"/>
      <c r="B384" s="1213" t="s">
        <v>185</v>
      </c>
      <c r="C384" s="1213"/>
      <c r="D384" s="1213"/>
      <c r="E384" s="1213"/>
      <c r="F384" s="1213"/>
      <c r="G384" s="1213"/>
      <c r="H384" s="1233" t="e">
        <f>'0422Master'!#REF!</f>
        <v>#REF!</v>
      </c>
      <c r="I384" s="1228"/>
      <c r="J384" s="1228"/>
      <c r="K384" s="1228"/>
      <c r="L384" s="1071"/>
    </row>
    <row r="385" spans="1:12">
      <c r="A385" s="12"/>
      <c r="B385" s="1234" t="s">
        <v>186</v>
      </c>
      <c r="C385" s="1234"/>
      <c r="D385" s="1234"/>
      <c r="E385" s="1234"/>
      <c r="F385" s="1234"/>
      <c r="G385" s="1234"/>
      <c r="H385" s="1233" t="e">
        <f>'0422Master'!#REF!</f>
        <v>#REF!</v>
      </c>
      <c r="I385" s="1228"/>
      <c r="J385" s="1228"/>
      <c r="K385" s="1228"/>
      <c r="L385" s="1071"/>
    </row>
    <row r="386" spans="1:12">
      <c r="A386" s="12"/>
      <c r="B386" s="1213" t="s">
        <v>187</v>
      </c>
      <c r="C386" s="1213"/>
      <c r="D386" s="1213"/>
      <c r="E386" s="1213"/>
      <c r="F386" s="1213"/>
      <c r="G386" s="1213"/>
      <c r="H386" s="1233" t="e">
        <f>'0422Master'!#REF!</f>
        <v>#REF!</v>
      </c>
      <c r="I386" s="1228"/>
      <c r="J386" s="1228"/>
      <c r="K386" s="1228"/>
      <c r="L386" s="1071"/>
    </row>
    <row r="387" spans="1:12">
      <c r="A387" s="12"/>
      <c r="B387" s="1213" t="s">
        <v>188</v>
      </c>
      <c r="C387" s="1213"/>
      <c r="D387" s="1213"/>
      <c r="E387" s="1213"/>
      <c r="F387" s="1213"/>
      <c r="G387" s="1213"/>
      <c r="H387" s="1227" t="e">
        <f>'0422Master'!#REF!</f>
        <v>#REF!</v>
      </c>
      <c r="I387" s="1228"/>
      <c r="J387" s="1228"/>
      <c r="K387" s="1228"/>
      <c r="L387" s="1071"/>
    </row>
    <row r="388" spans="1:12">
      <c r="A388" s="12"/>
      <c r="B388" s="85" t="s">
        <v>189</v>
      </c>
      <c r="C388" s="86"/>
      <c r="D388" s="86"/>
      <c r="E388" s="86"/>
      <c r="F388" s="86"/>
      <c r="G388" s="86"/>
      <c r="H388" s="1229" t="s">
        <v>190</v>
      </c>
      <c r="I388" s="1230"/>
      <c r="J388" s="1230"/>
      <c r="K388" s="1230"/>
      <c r="L388" s="1231"/>
    </row>
    <row r="389" spans="1:12">
      <c r="A389" s="12"/>
      <c r="B389" s="85" t="s">
        <v>191</v>
      </c>
      <c r="C389" s="86"/>
      <c r="D389" s="86"/>
      <c r="E389" s="86"/>
      <c r="F389" s="86"/>
      <c r="G389" s="86"/>
      <c r="H389" s="87"/>
      <c r="I389" s="89"/>
      <c r="J389" s="152"/>
      <c r="K389" s="89"/>
      <c r="L389" s="94"/>
    </row>
    <row r="390" spans="1:12" ht="15" customHeight="1">
      <c r="A390" s="12"/>
      <c r="B390" s="1082" t="s">
        <v>192</v>
      </c>
      <c r="C390" s="1082"/>
      <c r="D390" s="1082"/>
      <c r="E390" s="1082"/>
      <c r="F390" s="1082"/>
      <c r="G390" s="1082"/>
      <c r="H390" s="1074" t="e">
        <f>'0422Master'!#REF!</f>
        <v>#REF!</v>
      </c>
      <c r="I390" s="1075"/>
      <c r="J390" s="1075"/>
      <c r="K390" s="1075"/>
      <c r="L390" s="1076"/>
    </row>
    <row r="391" spans="1:12">
      <c r="A391" s="12"/>
      <c r="B391" s="1213"/>
      <c r="C391" s="1213"/>
      <c r="D391" s="1213"/>
      <c r="E391" s="1213"/>
      <c r="F391" s="1213"/>
      <c r="G391" s="1213"/>
      <c r="H391" s="1232" t="e">
        <f>'0422Master'!#REF!</f>
        <v>#REF!</v>
      </c>
      <c r="I391" s="1228"/>
      <c r="J391" s="1228"/>
      <c r="K391" s="1228"/>
      <c r="L391" s="1071"/>
    </row>
    <row r="392" spans="1:12">
      <c r="A392" s="12"/>
      <c r="B392" s="1213"/>
      <c r="C392" s="1213"/>
      <c r="D392" s="1213"/>
      <c r="E392" s="1213"/>
      <c r="F392" s="1213"/>
      <c r="G392" s="1213"/>
      <c r="H392" s="1233" t="e">
        <f>'0422Master'!#REF!</f>
        <v>#REF!</v>
      </c>
      <c r="I392" s="1228"/>
      <c r="J392" s="1228"/>
      <c r="K392" s="1228"/>
      <c r="L392" s="1071"/>
    </row>
    <row r="393" spans="1:12">
      <c r="A393" s="12"/>
      <c r="G393" s="2" t="s">
        <v>216</v>
      </c>
      <c r="H393" s="2"/>
      <c r="I393" s="2"/>
      <c r="J393" s="2"/>
      <c r="K393" s="2"/>
      <c r="L393" s="80"/>
    </row>
    <row r="394" spans="1:12">
      <c r="A394" s="12"/>
      <c r="B394" s="154" t="s">
        <v>200</v>
      </c>
      <c r="C394" s="150"/>
      <c r="D394" s="150"/>
      <c r="E394" s="150"/>
      <c r="F394" s="150"/>
      <c r="G394" s="150"/>
      <c r="H394" s="139"/>
      <c r="I394" s="139"/>
      <c r="J394" s="139"/>
      <c r="K394" s="139"/>
      <c r="L394" s="157"/>
    </row>
    <row r="395" spans="1:12">
      <c r="A395" s="12"/>
      <c r="B395" s="154" t="s">
        <v>201</v>
      </c>
      <c r="C395" s="150"/>
      <c r="D395" s="150"/>
      <c r="E395" s="150"/>
      <c r="F395" s="150"/>
      <c r="G395" s="150"/>
      <c r="H395" s="139"/>
      <c r="I395" s="139"/>
      <c r="J395" s="140"/>
      <c r="K395" s="139"/>
      <c r="L395" s="157"/>
    </row>
    <row r="396" spans="1:12" ht="45">
      <c r="A396" s="84"/>
      <c r="B396" s="85" t="s">
        <v>204</v>
      </c>
      <c r="C396" s="86"/>
      <c r="D396" s="167"/>
      <c r="E396" s="145" t="s">
        <v>206</v>
      </c>
      <c r="F396" s="64"/>
      <c r="G396" s="1218" t="s">
        <v>205</v>
      </c>
      <c r="H396" s="1219"/>
      <c r="I396" s="144" t="s">
        <v>202</v>
      </c>
      <c r="J396" s="147" t="s">
        <v>207</v>
      </c>
      <c r="K396" s="1218" t="s">
        <v>203</v>
      </c>
      <c r="L396" s="1220"/>
    </row>
    <row r="397" spans="1:12">
      <c r="A397" s="84"/>
      <c r="B397" s="148">
        <v>1</v>
      </c>
      <c r="C397" s="86"/>
      <c r="D397" s="86"/>
      <c r="E397" s="151">
        <v>2</v>
      </c>
      <c r="F397" s="90"/>
      <c r="G397" s="151">
        <v>3</v>
      </c>
      <c r="H397" s="167"/>
      <c r="I397" s="167">
        <v>4</v>
      </c>
      <c r="J397" s="99">
        <v>5</v>
      </c>
      <c r="K397" s="92"/>
      <c r="L397" s="93">
        <v>6</v>
      </c>
    </row>
    <row r="398" spans="1:12">
      <c r="A398" s="84"/>
      <c r="B398" s="85" t="e">
        <f>'0422Master'!#REF!</f>
        <v>#REF!</v>
      </c>
      <c r="C398" s="163"/>
      <c r="D398" s="164"/>
      <c r="E398" s="165" t="s">
        <v>366</v>
      </c>
      <c r="F398" s="164"/>
      <c r="G398" s="165" t="s">
        <v>364</v>
      </c>
      <c r="H398" s="64"/>
      <c r="I398" s="10" t="s">
        <v>367</v>
      </c>
      <c r="J398" s="264">
        <v>1</v>
      </c>
      <c r="K398" s="166" t="s">
        <v>37</v>
      </c>
      <c r="L398" s="171"/>
    </row>
    <row r="399" spans="1:12">
      <c r="A399" s="84"/>
      <c r="B399" s="85"/>
      <c r="C399" s="163"/>
      <c r="D399" s="164"/>
      <c r="E399" s="165"/>
      <c r="F399" s="164"/>
      <c r="G399" s="165"/>
      <c r="H399" s="64"/>
      <c r="I399" s="10"/>
      <c r="J399" s="10"/>
      <c r="K399" s="166"/>
      <c r="L399" s="171"/>
    </row>
    <row r="400" spans="1:12">
      <c r="A400" s="84"/>
      <c r="B400" s="85"/>
      <c r="C400" s="163"/>
      <c r="D400" s="164"/>
      <c r="E400" s="165"/>
      <c r="F400" s="164"/>
      <c r="G400" s="165"/>
      <c r="H400" s="64"/>
      <c r="I400" s="10"/>
      <c r="J400" s="10"/>
      <c r="K400" s="166"/>
      <c r="L400" s="171"/>
    </row>
    <row r="401" spans="1:12">
      <c r="A401" s="84"/>
      <c r="B401" s="71"/>
      <c r="C401" s="16"/>
      <c r="D401" s="72"/>
      <c r="E401" s="165"/>
      <c r="F401" s="164"/>
      <c r="G401" s="165"/>
      <c r="H401" s="64"/>
      <c r="I401" s="10"/>
      <c r="J401" s="10"/>
      <c r="K401" s="166"/>
      <c r="L401" s="171"/>
    </row>
    <row r="402" spans="1:12">
      <c r="A402" s="84"/>
      <c r="B402" t="s">
        <v>208</v>
      </c>
      <c r="L402" s="13"/>
    </row>
    <row r="403" spans="1:12">
      <c r="A403" s="12"/>
      <c r="B403" t="s">
        <v>209</v>
      </c>
      <c r="L403" s="13"/>
    </row>
    <row r="404" spans="1:12">
      <c r="A404" s="12"/>
      <c r="B404" t="s">
        <v>220</v>
      </c>
      <c r="J404" t="s">
        <v>219</v>
      </c>
      <c r="L404" s="13"/>
    </row>
    <row r="405" spans="1:12" ht="21" customHeight="1">
      <c r="A405" s="12"/>
      <c r="G405" s="2" t="s">
        <v>217</v>
      </c>
      <c r="H405" s="2"/>
      <c r="I405" s="2"/>
      <c r="J405" s="2"/>
      <c r="K405" s="2"/>
      <c r="L405" s="80"/>
    </row>
    <row r="406" spans="1:12" ht="15" customHeight="1">
      <c r="A406" s="12"/>
      <c r="B406" s="2"/>
      <c r="G406" t="s">
        <v>218</v>
      </c>
      <c r="H406" s="2"/>
      <c r="I406" s="2"/>
      <c r="J406" s="2"/>
      <c r="K406" s="2"/>
      <c r="L406" s="80"/>
    </row>
    <row r="407" spans="1:12" ht="20.25" customHeight="1">
      <c r="A407" s="12"/>
      <c r="B407" s="154" t="s">
        <v>221</v>
      </c>
      <c r="C407" s="150"/>
      <c r="D407" s="150"/>
      <c r="E407" s="150"/>
      <c r="F407" s="150"/>
      <c r="G407" s="150"/>
      <c r="H407" s="139"/>
      <c r="I407" s="139"/>
      <c r="J407" s="139"/>
      <c r="K407" s="139"/>
      <c r="L407" s="157"/>
    </row>
    <row r="408" spans="1:12" ht="18.75" customHeight="1">
      <c r="A408" s="12"/>
      <c r="B408" s="154" t="s">
        <v>222</v>
      </c>
      <c r="C408" s="150"/>
      <c r="D408" s="150"/>
      <c r="E408" s="150"/>
      <c r="F408" s="150"/>
      <c r="G408" s="150"/>
      <c r="H408" s="139"/>
      <c r="I408" s="139"/>
      <c r="J408" s="140"/>
      <c r="K408" s="139"/>
      <c r="L408" s="157"/>
    </row>
    <row r="409" spans="1:12" ht="27.95" customHeight="1">
      <c r="A409" s="12"/>
      <c r="B409" s="85" t="s">
        <v>5</v>
      </c>
      <c r="C409" s="1248" t="s">
        <v>223</v>
      </c>
      <c r="D409" s="1216"/>
      <c r="E409" s="1216"/>
      <c r="F409" s="1216"/>
      <c r="G409" s="1216"/>
      <c r="H409" s="1249"/>
      <c r="I409" s="146" t="s">
        <v>102</v>
      </c>
      <c r="J409" s="1250" t="s">
        <v>224</v>
      </c>
      <c r="K409" s="1251"/>
      <c r="L409" s="1252"/>
    </row>
    <row r="410" spans="1:12" ht="27.95" customHeight="1">
      <c r="A410" s="12"/>
      <c r="B410" s="148">
        <v>1</v>
      </c>
      <c r="C410" s="182"/>
      <c r="D410" s="89"/>
      <c r="E410" s="95">
        <v>2</v>
      </c>
      <c r="F410" s="63"/>
      <c r="G410" s="1244"/>
      <c r="H410" s="1219"/>
      <c r="I410" s="89">
        <v>3</v>
      </c>
      <c r="J410" s="169" t="s">
        <v>225</v>
      </c>
      <c r="K410" s="1253">
        <v>4</v>
      </c>
      <c r="L410" s="1254"/>
    </row>
    <row r="411" spans="1:12" ht="27.95" customHeight="1">
      <c r="A411" s="12"/>
      <c r="B411" s="85"/>
      <c r="C411" s="182"/>
      <c r="D411" s="89"/>
      <c r="E411" s="95"/>
      <c r="F411" s="63"/>
      <c r="G411" s="1244"/>
      <c r="H411" s="1219"/>
      <c r="I411" s="166"/>
      <c r="J411" s="168"/>
      <c r="K411" s="1244"/>
      <c r="L411" s="1220"/>
    </row>
    <row r="412" spans="1:12" ht="27.95" customHeight="1">
      <c r="A412" s="12"/>
      <c r="B412" s="85"/>
      <c r="C412" s="182"/>
      <c r="D412" s="89"/>
      <c r="E412" s="95"/>
      <c r="F412" s="63"/>
      <c r="G412" s="1244"/>
      <c r="H412" s="1219"/>
      <c r="I412" s="166"/>
      <c r="J412" s="168"/>
      <c r="K412" s="1244"/>
      <c r="L412" s="1220"/>
    </row>
    <row r="413" spans="1:12" ht="27.95" customHeight="1">
      <c r="A413" s="12"/>
      <c r="B413" s="85"/>
      <c r="C413" s="182"/>
      <c r="D413" s="89"/>
      <c r="E413" s="95"/>
      <c r="F413" s="63"/>
      <c r="G413" s="1244"/>
      <c r="H413" s="1219"/>
      <c r="I413" s="166"/>
      <c r="J413" s="168"/>
      <c r="K413" s="1244"/>
      <c r="L413" s="1220"/>
    </row>
    <row r="414" spans="1:12" ht="27.95" customHeight="1">
      <c r="A414" s="12"/>
      <c r="B414" s="71"/>
      <c r="C414" s="182"/>
      <c r="D414" s="89"/>
      <c r="E414" s="95"/>
      <c r="F414" s="63"/>
      <c r="G414" s="1244"/>
      <c r="H414" s="1219"/>
      <c r="I414" s="166"/>
      <c r="J414" s="168"/>
      <c r="K414" s="1244"/>
      <c r="L414" s="1220"/>
    </row>
    <row r="415" spans="1:12" ht="27.95" customHeight="1">
      <c r="A415" s="12"/>
      <c r="B415" t="s">
        <v>229</v>
      </c>
      <c r="L415" s="13"/>
    </row>
    <row r="416" spans="1:12" ht="21" customHeight="1">
      <c r="A416" s="12"/>
      <c r="B416" t="s">
        <v>230</v>
      </c>
      <c r="L416" s="13"/>
    </row>
    <row r="417" spans="1:12" ht="18" customHeight="1">
      <c r="A417" s="12"/>
      <c r="B417" t="s">
        <v>231</v>
      </c>
      <c r="L417" s="13"/>
    </row>
    <row r="418" spans="1:12" ht="23.25" customHeight="1">
      <c r="A418" s="12"/>
      <c r="B418" t="s">
        <v>232</v>
      </c>
      <c r="L418" s="13"/>
    </row>
    <row r="419" spans="1:12" ht="27.95" customHeight="1">
      <c r="A419" s="12"/>
      <c r="B419" s="165" t="s">
        <v>226</v>
      </c>
      <c r="C419" s="63"/>
      <c r="D419" s="63"/>
      <c r="E419" s="63"/>
      <c r="F419" s="64"/>
      <c r="G419" s="165" t="s">
        <v>202</v>
      </c>
      <c r="H419" s="64"/>
      <c r="I419" s="165" t="s">
        <v>227</v>
      </c>
      <c r="J419" s="63"/>
      <c r="K419" s="64"/>
      <c r="L419" s="13"/>
    </row>
    <row r="420" spans="1:12" ht="27.95" customHeight="1">
      <c r="A420" s="12"/>
      <c r="B420" s="1221"/>
      <c r="C420" s="1243"/>
      <c r="D420" s="1243"/>
      <c r="E420" s="1243"/>
      <c r="F420" s="1222"/>
      <c r="G420" s="1221"/>
      <c r="H420" s="1222"/>
      <c r="I420" s="1221"/>
      <c r="J420" s="1243"/>
      <c r="K420" s="1222"/>
      <c r="L420" s="13"/>
    </row>
    <row r="421" spans="1:12" ht="27.95" customHeight="1">
      <c r="A421" s="12"/>
      <c r="B421" s="1221"/>
      <c r="C421" s="1243"/>
      <c r="D421" s="1243"/>
      <c r="E421" s="1243"/>
      <c r="F421" s="1222"/>
      <c r="G421" s="1221"/>
      <c r="H421" s="1222"/>
      <c r="I421" s="1221"/>
      <c r="J421" s="1243"/>
      <c r="K421" s="1222"/>
      <c r="L421" s="13"/>
    </row>
    <row r="422" spans="1:12" ht="27.95" customHeight="1">
      <c r="A422" s="12"/>
      <c r="B422" s="1221"/>
      <c r="C422" s="1243"/>
      <c r="D422" s="1243"/>
      <c r="E422" s="1243"/>
      <c r="F422" s="1222"/>
      <c r="G422" s="1221"/>
      <c r="H422" s="1222"/>
      <c r="I422" s="1221"/>
      <c r="J422" s="1243"/>
      <c r="K422" s="1222"/>
      <c r="L422" s="13"/>
    </row>
    <row r="423" spans="1:12">
      <c r="A423" s="12"/>
      <c r="B423" s="1221"/>
      <c r="C423" s="1243"/>
      <c r="D423" s="1243"/>
      <c r="E423" s="1243"/>
      <c r="F423" s="1222"/>
      <c r="G423" s="1221"/>
      <c r="H423" s="1222"/>
      <c r="I423" s="1221"/>
      <c r="J423" s="1243"/>
      <c r="K423" s="1222"/>
      <c r="L423" s="13"/>
    </row>
    <row r="424" spans="1:12">
      <c r="A424" s="12"/>
      <c r="L424" s="13"/>
    </row>
    <row r="425" spans="1:12">
      <c r="A425" s="12"/>
      <c r="B425" t="s">
        <v>199</v>
      </c>
      <c r="C425" s="263" t="e">
        <f>'0422Master'!#REF!</f>
        <v>#REF!</v>
      </c>
      <c r="I425" t="s">
        <v>228</v>
      </c>
      <c r="L425" s="13"/>
    </row>
    <row r="426" spans="1:12" ht="18.75">
      <c r="A426" s="12"/>
      <c r="F426" s="153" t="s">
        <v>194</v>
      </c>
      <c r="L426" s="13"/>
    </row>
    <row r="427" spans="1:12">
      <c r="A427" s="12" t="s">
        <v>195</v>
      </c>
      <c r="K427" s="203" t="e">
        <f>'0422Master'!#REF!</f>
        <v>#REF!</v>
      </c>
      <c r="L427" s="13"/>
    </row>
    <row r="428" spans="1:12">
      <c r="A428" s="12" t="s">
        <v>196</v>
      </c>
      <c r="L428" s="13"/>
    </row>
    <row r="429" spans="1:12" ht="15" customHeight="1">
      <c r="A429" s="12"/>
      <c r="L429" s="13"/>
    </row>
    <row r="430" spans="1:12">
      <c r="A430" s="12"/>
      <c r="F430" t="s">
        <v>197</v>
      </c>
      <c r="L430" s="13"/>
    </row>
    <row r="431" spans="1:12">
      <c r="A431" s="12" t="s">
        <v>198</v>
      </c>
      <c r="B431" t="s">
        <v>362</v>
      </c>
      <c r="F431" t="str">
        <f>'0422Master'!F5</f>
        <v>Burgeon IT Services Pvt.Ltd.</v>
      </c>
      <c r="L431" s="13"/>
    </row>
    <row r="432" spans="1:12" ht="15.75" thickBot="1">
      <c r="A432" s="24" t="s">
        <v>199</v>
      </c>
      <c r="B432" s="266" t="e">
        <f>'0422Master'!#REF!</f>
        <v>#REF!</v>
      </c>
      <c r="C432" s="22"/>
      <c r="D432" s="22"/>
      <c r="E432" s="22"/>
      <c r="F432" s="22" t="str">
        <f>'0422Master'!F6</f>
        <v>Siri Mansion LIGB 436 Dr.A S Rao Nagar,Hyderabad</v>
      </c>
      <c r="G432" s="22"/>
      <c r="H432" s="22"/>
      <c r="I432" s="22"/>
      <c r="J432" s="22"/>
      <c r="K432" s="22"/>
      <c r="L432" s="23"/>
    </row>
    <row r="433" spans="1:12" ht="32.25">
      <c r="A433" s="73"/>
      <c r="B433" s="74"/>
      <c r="C433" s="74"/>
      <c r="D433" s="158"/>
      <c r="E433" s="158"/>
      <c r="F433" s="158"/>
      <c r="G433" s="158"/>
      <c r="H433" s="158"/>
      <c r="I433" s="158"/>
      <c r="J433" s="74"/>
      <c r="K433" s="160" t="s">
        <v>213</v>
      </c>
      <c r="L433" s="159"/>
    </row>
    <row r="434" spans="1:12" ht="21">
      <c r="A434" s="12"/>
      <c r="B434" s="1245" t="s">
        <v>212</v>
      </c>
      <c r="C434" s="1245"/>
      <c r="D434" s="1245"/>
      <c r="E434" s="1245"/>
      <c r="F434" s="1245"/>
      <c r="G434" s="1245"/>
      <c r="H434" s="1245"/>
      <c r="I434" s="1245"/>
      <c r="J434" s="1245"/>
      <c r="K434" s="1245"/>
      <c r="L434" s="1246"/>
    </row>
    <row r="435" spans="1:12" ht="15.75">
      <c r="A435" s="12"/>
      <c r="B435" s="1240" t="s">
        <v>214</v>
      </c>
      <c r="C435" s="1240"/>
      <c r="D435" s="1240"/>
      <c r="E435" s="1240"/>
      <c r="F435" s="1240"/>
      <c r="G435" s="1240"/>
      <c r="H435" s="1240"/>
      <c r="I435" s="1240"/>
      <c r="J435" s="1240"/>
      <c r="K435" s="1240"/>
      <c r="L435" s="1247"/>
    </row>
    <row r="436" spans="1:12">
      <c r="A436" s="12"/>
      <c r="B436" s="161" t="s">
        <v>215</v>
      </c>
      <c r="C436" s="161"/>
      <c r="D436" s="161"/>
      <c r="E436" s="161"/>
      <c r="F436" s="161"/>
      <c r="H436" s="162"/>
      <c r="I436" s="162"/>
      <c r="J436" s="162"/>
      <c r="K436" s="162"/>
      <c r="L436" s="170"/>
    </row>
    <row r="437" spans="1:12">
      <c r="A437" s="12"/>
      <c r="B437" s="161"/>
      <c r="C437" s="161"/>
      <c r="D437" s="161"/>
      <c r="E437" s="161"/>
      <c r="F437" s="161"/>
      <c r="H437" s="162"/>
      <c r="I437" s="162"/>
      <c r="J437" s="162"/>
      <c r="K437" s="162"/>
      <c r="L437" s="170"/>
    </row>
    <row r="438" spans="1:12">
      <c r="A438" s="12"/>
      <c r="B438" s="1213" t="s">
        <v>185</v>
      </c>
      <c r="C438" s="1213"/>
      <c r="D438" s="1213"/>
      <c r="E438" s="1213"/>
      <c r="F438" s="1213"/>
      <c r="G438" s="1213"/>
      <c r="H438" s="1233" t="e">
        <f>'0422Master'!#REF!</f>
        <v>#REF!</v>
      </c>
      <c r="I438" s="1228"/>
      <c r="J438" s="1228"/>
      <c r="K438" s="1228"/>
      <c r="L438" s="1071"/>
    </row>
    <row r="439" spans="1:12">
      <c r="A439" s="12"/>
      <c r="B439" s="1234" t="s">
        <v>186</v>
      </c>
      <c r="C439" s="1234"/>
      <c r="D439" s="1234"/>
      <c r="E439" s="1234"/>
      <c r="F439" s="1234"/>
      <c r="G439" s="1234"/>
      <c r="H439" s="1233" t="e">
        <f>'0422Master'!#REF!</f>
        <v>#REF!</v>
      </c>
      <c r="I439" s="1228"/>
      <c r="J439" s="1228"/>
      <c r="K439" s="1228"/>
      <c r="L439" s="1071"/>
    </row>
    <row r="440" spans="1:12">
      <c r="A440" s="12"/>
      <c r="B440" s="1213" t="s">
        <v>187</v>
      </c>
      <c r="C440" s="1213"/>
      <c r="D440" s="1213"/>
      <c r="E440" s="1213"/>
      <c r="F440" s="1213"/>
      <c r="G440" s="1213"/>
      <c r="H440" s="1233" t="e">
        <f>'0422Master'!#REF!</f>
        <v>#REF!</v>
      </c>
      <c r="I440" s="1228"/>
      <c r="J440" s="1228"/>
      <c r="K440" s="1228"/>
      <c r="L440" s="1071"/>
    </row>
    <row r="441" spans="1:12">
      <c r="A441" s="12"/>
      <c r="B441" s="1213" t="s">
        <v>188</v>
      </c>
      <c r="C441" s="1213"/>
      <c r="D441" s="1213"/>
      <c r="E441" s="1213"/>
      <c r="F441" s="1213"/>
      <c r="G441" s="1213"/>
      <c r="H441" s="1227" t="e">
        <f>'0422Master'!#REF!</f>
        <v>#REF!</v>
      </c>
      <c r="I441" s="1228"/>
      <c r="J441" s="1228"/>
      <c r="K441" s="1228"/>
      <c r="L441" s="1071"/>
    </row>
    <row r="442" spans="1:12">
      <c r="A442" s="12"/>
      <c r="B442" s="85" t="s">
        <v>189</v>
      </c>
      <c r="C442" s="86"/>
      <c r="D442" s="86"/>
      <c r="E442" s="86"/>
      <c r="F442" s="86"/>
      <c r="G442" s="86"/>
      <c r="H442" s="1229" t="s">
        <v>190</v>
      </c>
      <c r="I442" s="1230"/>
      <c r="J442" s="1230"/>
      <c r="K442" s="1230"/>
      <c r="L442" s="1231"/>
    </row>
    <row r="443" spans="1:12">
      <c r="A443" s="12"/>
      <c r="B443" s="85" t="s">
        <v>191</v>
      </c>
      <c r="C443" s="86"/>
      <c r="D443" s="86"/>
      <c r="E443" s="86"/>
      <c r="F443" s="86"/>
      <c r="G443" s="86"/>
      <c r="H443" s="87"/>
      <c r="I443" s="89"/>
      <c r="J443" s="152"/>
      <c r="K443" s="89"/>
      <c r="L443" s="94"/>
    </row>
    <row r="444" spans="1:12" ht="27.95" customHeight="1">
      <c r="A444" s="12"/>
      <c r="B444" s="1082" t="s">
        <v>192</v>
      </c>
      <c r="C444" s="1082"/>
      <c r="D444" s="1082"/>
      <c r="E444" s="1082"/>
      <c r="F444" s="1082"/>
      <c r="G444" s="1082"/>
      <c r="H444" s="1074" t="e">
        <f>'0422Master'!#REF!</f>
        <v>#REF!</v>
      </c>
      <c r="I444" s="1075"/>
      <c r="J444" s="1075"/>
      <c r="K444" s="1075"/>
      <c r="L444" s="1076"/>
    </row>
    <row r="445" spans="1:12" ht="27.95" customHeight="1">
      <c r="A445" s="12"/>
      <c r="B445" s="1213"/>
      <c r="C445" s="1213"/>
      <c r="D445" s="1213"/>
      <c r="E445" s="1213"/>
      <c r="F445" s="1213"/>
      <c r="G445" s="1213"/>
      <c r="H445" s="1232" t="e">
        <f>'0422Master'!#REF!</f>
        <v>#REF!</v>
      </c>
      <c r="I445" s="1228"/>
      <c r="J445" s="1228"/>
      <c r="K445" s="1228"/>
      <c r="L445" s="1071"/>
    </row>
    <row r="446" spans="1:12" ht="27.95" customHeight="1">
      <c r="A446" s="12"/>
      <c r="B446" s="1213"/>
      <c r="C446" s="1213"/>
      <c r="D446" s="1213"/>
      <c r="E446" s="1213"/>
      <c r="F446" s="1213"/>
      <c r="G446" s="1213"/>
      <c r="H446" s="1233" t="e">
        <f>'0422Master'!#REF!</f>
        <v>#REF!</v>
      </c>
      <c r="I446" s="1228"/>
      <c r="J446" s="1228"/>
      <c r="K446" s="1228"/>
      <c r="L446" s="1071"/>
    </row>
    <row r="447" spans="1:12" ht="27.95" customHeight="1">
      <c r="A447" s="12"/>
      <c r="G447" s="2" t="s">
        <v>216</v>
      </c>
      <c r="H447" s="2"/>
      <c r="I447" s="2"/>
      <c r="J447" s="2"/>
      <c r="K447" s="2"/>
      <c r="L447" s="80"/>
    </row>
    <row r="448" spans="1:12" ht="27.95" customHeight="1">
      <c r="A448" s="12"/>
      <c r="B448" s="154" t="s">
        <v>200</v>
      </c>
      <c r="C448" s="150"/>
      <c r="D448" s="150"/>
      <c r="E448" s="150"/>
      <c r="F448" s="150"/>
      <c r="G448" s="150"/>
      <c r="H448" s="139"/>
      <c r="I448" s="139"/>
      <c r="J448" s="139"/>
      <c r="K448" s="139"/>
      <c r="L448" s="157"/>
    </row>
    <row r="449" spans="1:12" ht="27.95" customHeight="1">
      <c r="A449" s="12"/>
      <c r="B449" s="154" t="s">
        <v>201</v>
      </c>
      <c r="C449" s="150"/>
      <c r="D449" s="150"/>
      <c r="E449" s="150"/>
      <c r="F449" s="150"/>
      <c r="G449" s="150"/>
      <c r="H449" s="139"/>
      <c r="I449" s="139"/>
      <c r="J449" s="140"/>
      <c r="K449" s="139"/>
      <c r="L449" s="157"/>
    </row>
    <row r="450" spans="1:12" ht="27.95" customHeight="1">
      <c r="A450" s="84"/>
      <c r="B450" s="85" t="s">
        <v>204</v>
      </c>
      <c r="C450" s="86"/>
      <c r="D450" s="167"/>
      <c r="E450" s="145" t="s">
        <v>206</v>
      </c>
      <c r="F450" s="64"/>
      <c r="G450" s="1218" t="s">
        <v>205</v>
      </c>
      <c r="H450" s="1219"/>
      <c r="I450" s="144" t="s">
        <v>202</v>
      </c>
      <c r="J450" s="147" t="s">
        <v>207</v>
      </c>
      <c r="K450" s="1218" t="s">
        <v>203</v>
      </c>
      <c r="L450" s="1220"/>
    </row>
    <row r="451" spans="1:12" ht="27.95" customHeight="1">
      <c r="A451" s="84"/>
      <c r="B451" s="148">
        <v>1</v>
      </c>
      <c r="C451" s="86"/>
      <c r="D451" s="86"/>
      <c r="E451" s="151">
        <v>2</v>
      </c>
      <c r="F451" s="90"/>
      <c r="G451" s="151">
        <v>3</v>
      </c>
      <c r="H451" s="167"/>
      <c r="I451" s="167">
        <v>4</v>
      </c>
      <c r="J451" s="99">
        <v>5</v>
      </c>
      <c r="K451" s="92"/>
      <c r="L451" s="93">
        <v>6</v>
      </c>
    </row>
    <row r="452" spans="1:12" ht="27.95" customHeight="1">
      <c r="A452" s="84"/>
      <c r="B452" s="85" t="e">
        <f>'0422Master'!#REF!</f>
        <v>#REF!</v>
      </c>
      <c r="C452" s="163"/>
      <c r="D452" s="164"/>
      <c r="E452" s="165" t="s">
        <v>366</v>
      </c>
      <c r="F452" s="164"/>
      <c r="G452" s="165" t="s">
        <v>364</v>
      </c>
      <c r="H452" s="64"/>
      <c r="I452" s="10" t="s">
        <v>367</v>
      </c>
      <c r="J452" s="264">
        <v>1</v>
      </c>
      <c r="K452" s="166" t="s">
        <v>37</v>
      </c>
      <c r="L452" s="171"/>
    </row>
    <row r="453" spans="1:12" ht="27.95" customHeight="1">
      <c r="A453" s="84"/>
      <c r="B453" s="85"/>
      <c r="C453" s="163"/>
      <c r="D453" s="164"/>
      <c r="E453" s="165"/>
      <c r="F453" s="164"/>
      <c r="G453" s="165"/>
      <c r="H453" s="64"/>
      <c r="I453" s="10"/>
      <c r="J453" s="10"/>
      <c r="K453" s="166"/>
      <c r="L453" s="171"/>
    </row>
    <row r="454" spans="1:12" ht="27.95" customHeight="1">
      <c r="A454" s="84"/>
      <c r="B454" s="85"/>
      <c r="C454" s="163"/>
      <c r="D454" s="164"/>
      <c r="E454" s="165"/>
      <c r="F454" s="164"/>
      <c r="G454" s="165"/>
      <c r="H454" s="64"/>
      <c r="I454" s="10"/>
      <c r="J454" s="10"/>
      <c r="K454" s="166"/>
      <c r="L454" s="171"/>
    </row>
    <row r="455" spans="1:12" ht="27.95" customHeight="1">
      <c r="A455" s="84"/>
      <c r="B455" s="71"/>
      <c r="C455" s="16"/>
      <c r="D455" s="72"/>
      <c r="E455" s="165"/>
      <c r="F455" s="164"/>
      <c r="G455" s="165"/>
      <c r="H455" s="64"/>
      <c r="I455" s="10"/>
      <c r="J455" s="10"/>
      <c r="K455" s="166"/>
      <c r="L455" s="171"/>
    </row>
    <row r="456" spans="1:12" ht="27.95" customHeight="1">
      <c r="A456" s="84"/>
      <c r="B456" t="s">
        <v>208</v>
      </c>
      <c r="L456" s="13"/>
    </row>
    <row r="457" spans="1:12" ht="27.95" customHeight="1">
      <c r="A457" s="12"/>
      <c r="B457" t="s">
        <v>209</v>
      </c>
      <c r="L457" s="13"/>
    </row>
    <row r="458" spans="1:12" ht="27.95" customHeight="1">
      <c r="A458" s="12"/>
      <c r="B458" t="s">
        <v>220</v>
      </c>
      <c r="J458" t="s">
        <v>219</v>
      </c>
      <c r="L458" s="13"/>
    </row>
    <row r="459" spans="1:12" ht="24" customHeight="1">
      <c r="A459" s="12"/>
      <c r="G459" s="2" t="s">
        <v>217</v>
      </c>
      <c r="H459" s="2"/>
      <c r="I459" s="2"/>
      <c r="J459" s="2"/>
      <c r="K459" s="2"/>
      <c r="L459" s="80"/>
    </row>
    <row r="460" spans="1:12" ht="18" customHeight="1">
      <c r="A460" s="12"/>
      <c r="B460" s="2"/>
      <c r="G460" t="s">
        <v>218</v>
      </c>
      <c r="H460" s="2"/>
      <c r="I460" s="2"/>
      <c r="J460" s="2"/>
      <c r="K460" s="2"/>
      <c r="L460" s="80"/>
    </row>
    <row r="461" spans="1:12" ht="18.75" customHeight="1">
      <c r="A461" s="12"/>
      <c r="B461" s="154" t="s">
        <v>221</v>
      </c>
      <c r="C461" s="150"/>
      <c r="D461" s="150"/>
      <c r="E461" s="150"/>
      <c r="F461" s="150"/>
      <c r="G461" s="150"/>
      <c r="H461" s="139"/>
      <c r="I461" s="139"/>
      <c r="J461" s="139"/>
      <c r="K461" s="139"/>
      <c r="L461" s="157"/>
    </row>
    <row r="462" spans="1:12">
      <c r="A462" s="12"/>
      <c r="B462" s="154" t="s">
        <v>222</v>
      </c>
      <c r="C462" s="150"/>
      <c r="D462" s="150"/>
      <c r="E462" s="150"/>
      <c r="F462" s="150"/>
      <c r="G462" s="150"/>
      <c r="H462" s="139"/>
      <c r="I462" s="139"/>
      <c r="J462" s="140"/>
      <c r="K462" s="139"/>
      <c r="L462" s="157"/>
    </row>
    <row r="463" spans="1:12">
      <c r="A463" s="12"/>
      <c r="B463" s="85" t="s">
        <v>5</v>
      </c>
      <c r="C463" s="1248" t="s">
        <v>223</v>
      </c>
      <c r="D463" s="1216"/>
      <c r="E463" s="1216"/>
      <c r="F463" s="1216"/>
      <c r="G463" s="1216"/>
      <c r="H463" s="1249"/>
      <c r="I463" s="146" t="s">
        <v>102</v>
      </c>
      <c r="J463" s="1250" t="s">
        <v>224</v>
      </c>
      <c r="K463" s="1251"/>
      <c r="L463" s="1252"/>
    </row>
    <row r="464" spans="1:12">
      <c r="A464" s="12"/>
      <c r="B464" s="148">
        <v>1</v>
      </c>
      <c r="C464" s="182"/>
      <c r="D464" s="89"/>
      <c r="E464" s="95">
        <v>2</v>
      </c>
      <c r="F464" s="63"/>
      <c r="G464" s="1244"/>
      <c r="H464" s="1219"/>
      <c r="I464" s="89">
        <v>3</v>
      </c>
      <c r="J464" s="169" t="s">
        <v>225</v>
      </c>
      <c r="K464" s="1253">
        <v>4</v>
      </c>
      <c r="L464" s="1254"/>
    </row>
    <row r="465" spans="1:12">
      <c r="A465" s="12"/>
      <c r="B465" s="85"/>
      <c r="C465" s="182"/>
      <c r="D465" s="89"/>
      <c r="E465" s="95"/>
      <c r="F465" s="63"/>
      <c r="G465" s="1244"/>
      <c r="H465" s="1219"/>
      <c r="I465" s="166"/>
      <c r="J465" s="168"/>
      <c r="K465" s="1244"/>
      <c r="L465" s="1220"/>
    </row>
    <row r="466" spans="1:12">
      <c r="A466" s="12"/>
      <c r="B466" s="85"/>
      <c r="C466" s="182"/>
      <c r="D466" s="89"/>
      <c r="E466" s="95"/>
      <c r="F466" s="63"/>
      <c r="G466" s="1244"/>
      <c r="H466" s="1219"/>
      <c r="I466" s="166"/>
      <c r="J466" s="168"/>
      <c r="K466" s="1244"/>
      <c r="L466" s="1220"/>
    </row>
    <row r="467" spans="1:12" ht="15" customHeight="1">
      <c r="A467" s="12"/>
      <c r="B467" s="85"/>
      <c r="C467" s="182"/>
      <c r="D467" s="89"/>
      <c r="E467" s="95"/>
      <c r="F467" s="63"/>
      <c r="G467" s="1244"/>
      <c r="H467" s="1219"/>
      <c r="I467" s="166"/>
      <c r="J467" s="168"/>
      <c r="K467" s="1244"/>
      <c r="L467" s="1220"/>
    </row>
    <row r="468" spans="1:12">
      <c r="A468" s="12"/>
      <c r="B468" s="71"/>
      <c r="C468" s="182"/>
      <c r="D468" s="89"/>
      <c r="E468" s="95"/>
      <c r="F468" s="63"/>
      <c r="G468" s="1244"/>
      <c r="H468" s="1219"/>
      <c r="I468" s="166"/>
      <c r="J468" s="168"/>
      <c r="K468" s="1244"/>
      <c r="L468" s="1220"/>
    </row>
    <row r="469" spans="1:12">
      <c r="A469" s="12"/>
      <c r="B469" t="s">
        <v>229</v>
      </c>
      <c r="L469" s="13"/>
    </row>
    <row r="470" spans="1:12">
      <c r="A470" s="12"/>
      <c r="B470" t="s">
        <v>230</v>
      </c>
      <c r="L470" s="13"/>
    </row>
    <row r="471" spans="1:12">
      <c r="A471" s="12"/>
      <c r="B471" t="s">
        <v>231</v>
      </c>
      <c r="L471" s="13"/>
    </row>
    <row r="472" spans="1:12">
      <c r="A472" s="12"/>
      <c r="B472" t="s">
        <v>232</v>
      </c>
      <c r="L472" s="13"/>
    </row>
    <row r="473" spans="1:12">
      <c r="A473" s="12"/>
      <c r="B473" s="165" t="s">
        <v>226</v>
      </c>
      <c r="C473" s="63"/>
      <c r="D473" s="63"/>
      <c r="E473" s="63"/>
      <c r="F473" s="64"/>
      <c r="G473" s="165" t="s">
        <v>202</v>
      </c>
      <c r="H473" s="64"/>
      <c r="I473" s="165" t="s">
        <v>227</v>
      </c>
      <c r="J473" s="63"/>
      <c r="K473" s="64"/>
      <c r="L473" s="13"/>
    </row>
    <row r="474" spans="1:12">
      <c r="A474" s="12"/>
      <c r="B474" s="1221"/>
      <c r="C474" s="1243"/>
      <c r="D474" s="1243"/>
      <c r="E474" s="1243"/>
      <c r="F474" s="1222"/>
      <c r="G474" s="1221"/>
      <c r="H474" s="1222"/>
      <c r="I474" s="1221"/>
      <c r="J474" s="1243"/>
      <c r="K474" s="1222"/>
      <c r="L474" s="13"/>
    </row>
    <row r="475" spans="1:12">
      <c r="A475" s="12"/>
      <c r="B475" s="1221"/>
      <c r="C475" s="1243"/>
      <c r="D475" s="1243"/>
      <c r="E475" s="1243"/>
      <c r="F475" s="1222"/>
      <c r="G475" s="1221"/>
      <c r="H475" s="1222"/>
      <c r="I475" s="1221"/>
      <c r="J475" s="1243"/>
      <c r="K475" s="1222"/>
      <c r="L475" s="13"/>
    </row>
    <row r="476" spans="1:12">
      <c r="A476" s="12"/>
      <c r="B476" s="1221"/>
      <c r="C476" s="1243"/>
      <c r="D476" s="1243"/>
      <c r="E476" s="1243"/>
      <c r="F476" s="1222"/>
      <c r="G476" s="1221"/>
      <c r="H476" s="1222"/>
      <c r="I476" s="1221"/>
      <c r="J476" s="1243"/>
      <c r="K476" s="1222"/>
      <c r="L476" s="13"/>
    </row>
    <row r="477" spans="1:12">
      <c r="A477" s="12"/>
      <c r="B477" s="1221"/>
      <c r="C477" s="1243"/>
      <c r="D477" s="1243"/>
      <c r="E477" s="1243"/>
      <c r="F477" s="1222"/>
      <c r="G477" s="1221"/>
      <c r="H477" s="1222"/>
      <c r="I477" s="1221"/>
      <c r="J477" s="1243"/>
      <c r="K477" s="1222"/>
      <c r="L477" s="13"/>
    </row>
    <row r="478" spans="1:12">
      <c r="A478" s="12"/>
      <c r="L478" s="13"/>
    </row>
    <row r="479" spans="1:12">
      <c r="A479" s="12"/>
      <c r="B479" t="s">
        <v>199</v>
      </c>
      <c r="C479" s="263" t="e">
        <f>'0422Master'!#REF!</f>
        <v>#REF!</v>
      </c>
      <c r="I479" t="s">
        <v>228</v>
      </c>
      <c r="L479" s="13"/>
    </row>
    <row r="480" spans="1:12" ht="18.75">
      <c r="A480" s="12"/>
      <c r="F480" s="153" t="s">
        <v>194</v>
      </c>
      <c r="L480" s="13"/>
    </row>
    <row r="481" spans="1:12">
      <c r="A481" s="12" t="s">
        <v>195</v>
      </c>
      <c r="K481" s="203" t="e">
        <f>'0422Master'!#REF!</f>
        <v>#REF!</v>
      </c>
      <c r="L481" s="13"/>
    </row>
    <row r="482" spans="1:12" ht="27.95" customHeight="1">
      <c r="A482" s="12" t="s">
        <v>196</v>
      </c>
      <c r="L482" s="13"/>
    </row>
    <row r="483" spans="1:12" ht="27.95" customHeight="1">
      <c r="A483" s="12"/>
      <c r="F483" t="s">
        <v>197</v>
      </c>
      <c r="L483" s="13"/>
    </row>
    <row r="484" spans="1:12" ht="27.95" customHeight="1">
      <c r="A484" s="12" t="s">
        <v>198</v>
      </c>
      <c r="B484" t="s">
        <v>362</v>
      </c>
      <c r="F484" t="str">
        <f>'0422Master'!F5</f>
        <v>Burgeon IT Services Pvt.Ltd.</v>
      </c>
      <c r="L484" s="13"/>
    </row>
    <row r="485" spans="1:12" ht="27.95" customHeight="1" thickBot="1">
      <c r="A485" s="24" t="s">
        <v>199</v>
      </c>
      <c r="B485" s="266" t="e">
        <f>'0422Master'!#REF!</f>
        <v>#REF!</v>
      </c>
      <c r="C485" s="22"/>
      <c r="D485" s="22"/>
      <c r="E485" s="22"/>
      <c r="F485" s="22" t="str">
        <f>'0422Master'!F6</f>
        <v>Siri Mansion LIGB 436 Dr.A S Rao Nagar,Hyderabad</v>
      </c>
      <c r="G485" s="22"/>
      <c r="H485" s="22"/>
      <c r="I485" s="22"/>
      <c r="J485" s="22"/>
      <c r="K485" s="22"/>
      <c r="L485" s="23"/>
    </row>
    <row r="486" spans="1:12" ht="27.95" customHeight="1">
      <c r="A486" s="73"/>
      <c r="B486" s="74"/>
      <c r="C486" s="74"/>
      <c r="D486" s="158"/>
      <c r="E486" s="158"/>
      <c r="F486" s="158"/>
      <c r="G486" s="158"/>
      <c r="H486" s="158"/>
      <c r="I486" s="158"/>
      <c r="J486" s="74"/>
      <c r="K486" s="160" t="s">
        <v>213</v>
      </c>
      <c r="L486" s="159"/>
    </row>
    <row r="487" spans="1:12" ht="27.95" customHeight="1">
      <c r="A487" s="12"/>
      <c r="B487" s="1245" t="s">
        <v>212</v>
      </c>
      <c r="C487" s="1245"/>
      <c r="D487" s="1245"/>
      <c r="E487" s="1245"/>
      <c r="F487" s="1245"/>
      <c r="G487" s="1245"/>
      <c r="H487" s="1245"/>
      <c r="I487" s="1245"/>
      <c r="J487" s="1245"/>
      <c r="K487" s="1245"/>
      <c r="L487" s="1246"/>
    </row>
    <row r="488" spans="1:12" ht="21.75" customHeight="1">
      <c r="A488" s="12"/>
      <c r="B488" s="1240" t="s">
        <v>214</v>
      </c>
      <c r="C488" s="1240"/>
      <c r="D488" s="1240"/>
      <c r="E488" s="1240"/>
      <c r="F488" s="1240"/>
      <c r="G488" s="1240"/>
      <c r="H488" s="1240"/>
      <c r="I488" s="1240"/>
      <c r="J488" s="1240"/>
      <c r="K488" s="1240"/>
      <c r="L488" s="1247"/>
    </row>
    <row r="489" spans="1:12" ht="27.95" customHeight="1">
      <c r="A489" s="12"/>
      <c r="B489" s="161" t="s">
        <v>215</v>
      </c>
      <c r="C489" s="161"/>
      <c r="D489" s="161"/>
      <c r="E489" s="161"/>
      <c r="F489" s="161"/>
      <c r="H489" s="162"/>
      <c r="I489" s="162"/>
      <c r="J489" s="162"/>
      <c r="K489" s="162"/>
      <c r="L489" s="170"/>
    </row>
    <row r="490" spans="1:12" ht="27.95" customHeight="1">
      <c r="A490" s="12"/>
      <c r="B490" s="1213" t="s">
        <v>185</v>
      </c>
      <c r="C490" s="1213"/>
      <c r="D490" s="1213"/>
      <c r="E490" s="1213"/>
      <c r="F490" s="1213"/>
      <c r="G490" s="1213"/>
      <c r="H490" s="1233">
        <f>'0422Master'!B405</f>
        <v>0</v>
      </c>
      <c r="I490" s="1228"/>
      <c r="J490" s="1228"/>
      <c r="K490" s="1228"/>
      <c r="L490" s="1071"/>
    </row>
    <row r="491" spans="1:12" ht="24" customHeight="1">
      <c r="A491" s="12"/>
      <c r="B491" s="1234" t="s">
        <v>186</v>
      </c>
      <c r="C491" s="1234"/>
      <c r="D491" s="1234"/>
      <c r="E491" s="1234"/>
      <c r="F491" s="1234"/>
      <c r="G491" s="1234"/>
      <c r="H491" s="1233">
        <f>'0422Master'!E405</f>
        <v>0</v>
      </c>
      <c r="I491" s="1228"/>
      <c r="J491" s="1228"/>
      <c r="K491" s="1228"/>
      <c r="L491" s="1071"/>
    </row>
    <row r="492" spans="1:12" ht="24.75" customHeight="1">
      <c r="A492" s="12"/>
      <c r="B492" s="1213" t="s">
        <v>187</v>
      </c>
      <c r="C492" s="1213"/>
      <c r="D492" s="1213"/>
      <c r="E492" s="1213"/>
      <c r="F492" s="1213"/>
      <c r="G492" s="1213"/>
      <c r="H492" s="1233">
        <f>'0422Master'!C405</f>
        <v>0</v>
      </c>
      <c r="I492" s="1228"/>
      <c r="J492" s="1228"/>
      <c r="K492" s="1228"/>
      <c r="L492" s="1071"/>
    </row>
    <row r="493" spans="1:12" ht="26.25" customHeight="1">
      <c r="A493" s="12"/>
      <c r="B493" s="1213" t="s">
        <v>188</v>
      </c>
      <c r="C493" s="1213"/>
      <c r="D493" s="1213"/>
      <c r="E493" s="1213"/>
      <c r="F493" s="1213"/>
      <c r="G493" s="1213"/>
      <c r="H493" s="1227">
        <f>'0422Master'!D405</f>
        <v>0</v>
      </c>
      <c r="I493" s="1228"/>
      <c r="J493" s="1228"/>
      <c r="K493" s="1228"/>
      <c r="L493" s="1071"/>
    </row>
    <row r="494" spans="1:12" ht="25.5" customHeight="1">
      <c r="A494" s="12"/>
      <c r="B494" s="85" t="s">
        <v>189</v>
      </c>
      <c r="C494" s="86"/>
      <c r="D494" s="86"/>
      <c r="E494" s="86"/>
      <c r="F494" s="86"/>
      <c r="G494" s="86"/>
      <c r="H494" s="1229" t="s">
        <v>190</v>
      </c>
      <c r="I494" s="1230"/>
      <c r="J494" s="1230"/>
      <c r="K494" s="1230"/>
      <c r="L494" s="1231"/>
    </row>
    <row r="495" spans="1:12" ht="27.95" customHeight="1">
      <c r="A495" s="12"/>
      <c r="B495" s="85" t="s">
        <v>191</v>
      </c>
      <c r="C495" s="86"/>
      <c r="D495" s="86"/>
      <c r="E495" s="86"/>
      <c r="F495" s="86"/>
      <c r="G495" s="86"/>
      <c r="H495" s="87"/>
      <c r="I495" s="89"/>
      <c r="J495" s="152"/>
      <c r="K495" s="89"/>
      <c r="L495" s="94"/>
    </row>
    <row r="496" spans="1:12" ht="24" customHeight="1">
      <c r="A496" s="12"/>
      <c r="B496" s="1082" t="s">
        <v>192</v>
      </c>
      <c r="C496" s="1082"/>
      <c r="D496" s="1082"/>
      <c r="E496" s="1082"/>
      <c r="F496" s="1082"/>
      <c r="G496" s="1082"/>
      <c r="H496" s="1074">
        <f>'0422Master'!G405</f>
        <v>0</v>
      </c>
      <c r="I496" s="1075"/>
      <c r="J496" s="1075"/>
      <c r="K496" s="1075"/>
      <c r="L496" s="1076"/>
    </row>
    <row r="497" spans="1:12" ht="22.5" customHeight="1">
      <c r="A497" s="12"/>
      <c r="B497" s="1213"/>
      <c r="C497" s="1213"/>
      <c r="D497" s="1213"/>
      <c r="E497" s="1213"/>
      <c r="F497" s="1213"/>
      <c r="G497" s="1213"/>
      <c r="H497" s="1232">
        <f>'0422Master'!H405</f>
        <v>0</v>
      </c>
      <c r="I497" s="1228"/>
      <c r="J497" s="1228"/>
      <c r="K497" s="1228"/>
      <c r="L497" s="1071"/>
    </row>
    <row r="498" spans="1:12" ht="18.75" customHeight="1">
      <c r="A498" s="12"/>
      <c r="B498" s="1213"/>
      <c r="C498" s="1213"/>
      <c r="D498" s="1213"/>
      <c r="E498" s="1213"/>
      <c r="F498" s="1213"/>
      <c r="G498" s="1213"/>
      <c r="H498" s="1233">
        <f>'0422Master'!I405</f>
        <v>0</v>
      </c>
      <c r="I498" s="1228"/>
      <c r="J498" s="1228"/>
      <c r="K498" s="1228"/>
      <c r="L498" s="1071"/>
    </row>
    <row r="499" spans="1:12">
      <c r="A499" s="12"/>
      <c r="G499" s="2" t="s">
        <v>216</v>
      </c>
      <c r="H499" s="2"/>
      <c r="I499" s="2"/>
      <c r="J499" s="2"/>
      <c r="K499" s="2"/>
      <c r="L499" s="80"/>
    </row>
    <row r="500" spans="1:12">
      <c r="A500" s="12"/>
      <c r="B500" s="154" t="s">
        <v>200</v>
      </c>
      <c r="C500" s="150"/>
      <c r="D500" s="150"/>
      <c r="E500" s="150"/>
      <c r="F500" s="150"/>
      <c r="G500" s="150"/>
      <c r="H500" s="139"/>
      <c r="I500" s="139"/>
      <c r="J500" s="139"/>
      <c r="K500" s="139"/>
      <c r="L500" s="157"/>
    </row>
    <row r="501" spans="1:12">
      <c r="A501" s="12"/>
      <c r="B501" s="154" t="s">
        <v>201</v>
      </c>
      <c r="C501" s="150"/>
      <c r="D501" s="150"/>
      <c r="E501" s="150"/>
      <c r="F501" s="150"/>
      <c r="G501" s="150"/>
      <c r="H501" s="139"/>
      <c r="I501" s="139"/>
      <c r="J501" s="140"/>
      <c r="K501" s="139"/>
      <c r="L501" s="157"/>
    </row>
    <row r="502" spans="1:12" ht="45">
      <c r="A502" s="84"/>
      <c r="B502" s="85" t="s">
        <v>204</v>
      </c>
      <c r="C502" s="86"/>
      <c r="D502" s="167"/>
      <c r="E502" s="145" t="s">
        <v>206</v>
      </c>
      <c r="F502" s="64"/>
      <c r="G502" s="1218" t="s">
        <v>205</v>
      </c>
      <c r="H502" s="1219"/>
      <c r="I502" s="144" t="s">
        <v>202</v>
      </c>
      <c r="J502" s="147" t="s">
        <v>207</v>
      </c>
      <c r="K502" s="1218" t="s">
        <v>203</v>
      </c>
      <c r="L502" s="1220"/>
    </row>
    <row r="503" spans="1:12" ht="15" customHeight="1">
      <c r="A503" s="84"/>
      <c r="B503" s="148">
        <v>1</v>
      </c>
      <c r="C503" s="86"/>
      <c r="D503" s="86"/>
      <c r="E503" s="151">
        <v>2</v>
      </c>
      <c r="F503" s="90"/>
      <c r="G503" s="151">
        <v>3</v>
      </c>
      <c r="H503" s="167"/>
      <c r="I503" s="167">
        <v>4</v>
      </c>
      <c r="J503" s="99">
        <v>5</v>
      </c>
      <c r="K503" s="92"/>
      <c r="L503" s="93">
        <v>6</v>
      </c>
    </row>
    <row r="504" spans="1:12">
      <c r="A504" s="84"/>
      <c r="B504" s="85"/>
      <c r="C504" s="163"/>
      <c r="D504" s="164"/>
      <c r="E504" s="165" t="s">
        <v>366</v>
      </c>
      <c r="F504" s="164"/>
      <c r="G504" s="165" t="s">
        <v>364</v>
      </c>
      <c r="H504" s="64"/>
      <c r="I504" s="10" t="s">
        <v>367</v>
      </c>
      <c r="J504" s="264">
        <v>1</v>
      </c>
      <c r="K504" s="166" t="s">
        <v>37</v>
      </c>
      <c r="L504" s="171"/>
    </row>
    <row r="505" spans="1:12">
      <c r="A505" s="84"/>
      <c r="B505" s="85"/>
      <c r="C505" s="163"/>
      <c r="D505" s="164"/>
      <c r="E505" s="165"/>
      <c r="F505" s="164"/>
      <c r="G505" s="165"/>
      <c r="H505" s="64"/>
      <c r="I505" s="10"/>
      <c r="J505" s="10"/>
      <c r="K505" s="166"/>
      <c r="L505" s="171"/>
    </row>
    <row r="506" spans="1:12">
      <c r="A506" s="84"/>
      <c r="B506" s="85"/>
      <c r="C506" s="163"/>
      <c r="D506" s="164"/>
      <c r="E506" s="165"/>
      <c r="F506" s="164"/>
      <c r="G506" s="165"/>
      <c r="H506" s="64"/>
      <c r="I506" s="10"/>
      <c r="J506" s="10"/>
      <c r="K506" s="166"/>
      <c r="L506" s="171"/>
    </row>
    <row r="507" spans="1:12">
      <c r="A507" s="84"/>
      <c r="B507" s="71"/>
      <c r="C507" s="16"/>
      <c r="D507" s="72"/>
      <c r="E507" s="165"/>
      <c r="F507" s="164"/>
      <c r="G507" s="165"/>
      <c r="H507" s="64"/>
      <c r="I507" s="10"/>
      <c r="J507" s="10"/>
      <c r="K507" s="166"/>
      <c r="L507" s="171"/>
    </row>
    <row r="508" spans="1:12">
      <c r="A508" s="84"/>
      <c r="B508" t="s">
        <v>208</v>
      </c>
      <c r="L508" s="13"/>
    </row>
    <row r="509" spans="1:12">
      <c r="A509" s="12"/>
      <c r="B509" t="s">
        <v>209</v>
      </c>
      <c r="L509" s="13"/>
    </row>
    <row r="510" spans="1:12">
      <c r="A510" s="12"/>
      <c r="B510" t="s">
        <v>220</v>
      </c>
      <c r="J510" t="s">
        <v>219</v>
      </c>
      <c r="L510" s="13"/>
    </row>
    <row r="511" spans="1:12">
      <c r="A511" s="12"/>
      <c r="G511" s="2" t="s">
        <v>217</v>
      </c>
      <c r="H511" s="2"/>
      <c r="I511" s="2"/>
      <c r="J511" s="2"/>
      <c r="K511" s="2"/>
      <c r="L511" s="80"/>
    </row>
    <row r="512" spans="1:12">
      <c r="A512" s="12"/>
      <c r="B512" s="2"/>
      <c r="G512" t="s">
        <v>218</v>
      </c>
      <c r="H512" s="2"/>
      <c r="I512" s="2"/>
      <c r="J512" s="2"/>
      <c r="K512" s="2"/>
      <c r="L512" s="80"/>
    </row>
    <row r="513" spans="1:12">
      <c r="A513" s="12"/>
      <c r="B513" s="154" t="s">
        <v>221</v>
      </c>
      <c r="C513" s="150"/>
      <c r="D513" s="150"/>
      <c r="E513" s="150"/>
      <c r="F513" s="150"/>
      <c r="G513" s="150"/>
      <c r="H513" s="139"/>
      <c r="I513" s="139"/>
      <c r="J513" s="139"/>
      <c r="K513" s="139"/>
      <c r="L513" s="157"/>
    </row>
    <row r="514" spans="1:12">
      <c r="A514" s="12"/>
      <c r="B514" s="154" t="s">
        <v>222</v>
      </c>
      <c r="C514" s="150"/>
      <c r="D514" s="150"/>
      <c r="E514" s="150"/>
      <c r="F514" s="150"/>
      <c r="G514" s="150"/>
      <c r="H514" s="139"/>
      <c r="I514" s="139"/>
      <c r="J514" s="140"/>
      <c r="K514" s="139"/>
      <c r="L514" s="157"/>
    </row>
    <row r="515" spans="1:12">
      <c r="A515" s="12"/>
      <c r="B515" s="85" t="s">
        <v>5</v>
      </c>
      <c r="C515" s="1248" t="s">
        <v>223</v>
      </c>
      <c r="D515" s="1216"/>
      <c r="E515" s="1216"/>
      <c r="F515" s="1216"/>
      <c r="G515" s="1216"/>
      <c r="H515" s="1249"/>
      <c r="I515" s="146" t="s">
        <v>102</v>
      </c>
      <c r="J515" s="1250" t="s">
        <v>224</v>
      </c>
      <c r="K515" s="1251"/>
      <c r="L515" s="1252"/>
    </row>
    <row r="516" spans="1:12">
      <c r="A516" s="12"/>
      <c r="B516" s="148">
        <v>1</v>
      </c>
      <c r="C516" s="182"/>
      <c r="D516" s="89"/>
      <c r="E516" s="95">
        <v>2</v>
      </c>
      <c r="F516" s="63"/>
      <c r="G516" s="1244"/>
      <c r="H516" s="1219"/>
      <c r="I516" s="89">
        <v>3</v>
      </c>
      <c r="J516" s="169" t="s">
        <v>225</v>
      </c>
      <c r="K516" s="1253">
        <v>4</v>
      </c>
      <c r="L516" s="1254"/>
    </row>
    <row r="517" spans="1:12">
      <c r="A517" s="12"/>
      <c r="B517" s="85"/>
      <c r="C517" s="182"/>
      <c r="D517" s="89"/>
      <c r="E517" s="95"/>
      <c r="F517" s="63"/>
      <c r="G517" s="1244"/>
      <c r="H517" s="1219"/>
      <c r="I517" s="166"/>
      <c r="J517" s="168"/>
      <c r="K517" s="1244"/>
      <c r="L517" s="1220"/>
    </row>
    <row r="518" spans="1:12" ht="27.95" customHeight="1">
      <c r="A518" s="12"/>
      <c r="B518" s="85"/>
      <c r="C518" s="182"/>
      <c r="D518" s="89"/>
      <c r="E518" s="95"/>
      <c r="F518" s="63"/>
      <c r="G518" s="1244"/>
      <c r="H518" s="1219"/>
      <c r="I518" s="166"/>
      <c r="J518" s="168"/>
      <c r="K518" s="1244"/>
      <c r="L518" s="1220"/>
    </row>
    <row r="519" spans="1:12" ht="27.95" customHeight="1">
      <c r="A519" s="12"/>
      <c r="B519" s="85"/>
      <c r="C519" s="182"/>
      <c r="D519" s="89"/>
      <c r="E519" s="95"/>
      <c r="F519" s="63"/>
      <c r="G519" s="1244"/>
      <c r="H519" s="1219"/>
      <c r="I519" s="166"/>
      <c r="J519" s="168"/>
      <c r="K519" s="1244"/>
      <c r="L519" s="1220"/>
    </row>
    <row r="520" spans="1:12" ht="27.95" customHeight="1">
      <c r="A520" s="12"/>
      <c r="B520" s="71"/>
      <c r="C520" s="182"/>
      <c r="D520" s="89"/>
      <c r="E520" s="95"/>
      <c r="F520" s="63"/>
      <c r="G520" s="1244"/>
      <c r="H520" s="1219"/>
      <c r="I520" s="166"/>
      <c r="J520" s="168"/>
      <c r="K520" s="1244"/>
      <c r="L520" s="1220"/>
    </row>
    <row r="521" spans="1:12" ht="25.5" customHeight="1">
      <c r="A521" s="12"/>
      <c r="B521" t="s">
        <v>229</v>
      </c>
      <c r="L521" s="13"/>
    </row>
    <row r="522" spans="1:12" ht="18" customHeight="1">
      <c r="A522" s="12"/>
      <c r="B522" t="s">
        <v>230</v>
      </c>
      <c r="L522" s="13"/>
    </row>
    <row r="523" spans="1:12" ht="16.5" customHeight="1">
      <c r="A523" s="12"/>
      <c r="B523" t="s">
        <v>231</v>
      </c>
      <c r="L523" s="13"/>
    </row>
    <row r="524" spans="1:12" ht="16.5" customHeight="1">
      <c r="A524" s="12"/>
      <c r="B524" t="s">
        <v>232</v>
      </c>
      <c r="L524" s="13"/>
    </row>
    <row r="525" spans="1:12" ht="27.95" customHeight="1">
      <c r="A525" s="12"/>
      <c r="B525" s="165" t="s">
        <v>226</v>
      </c>
      <c r="C525" s="63"/>
      <c r="D525" s="63"/>
      <c r="E525" s="63"/>
      <c r="F525" s="64"/>
      <c r="G525" s="165" t="s">
        <v>202</v>
      </c>
      <c r="H525" s="64"/>
      <c r="I525" s="165" t="s">
        <v>227</v>
      </c>
      <c r="J525" s="63"/>
      <c r="K525" s="64"/>
      <c r="L525" s="13"/>
    </row>
    <row r="526" spans="1:12" ht="24.75" customHeight="1">
      <c r="A526" s="12"/>
      <c r="B526" s="1221"/>
      <c r="C526" s="1243"/>
      <c r="D526" s="1243"/>
      <c r="E526" s="1243"/>
      <c r="F526" s="1222"/>
      <c r="G526" s="1221"/>
      <c r="H526" s="1222"/>
      <c r="I526" s="1221"/>
      <c r="J526" s="1243"/>
      <c r="K526" s="1222"/>
      <c r="L526" s="13"/>
    </row>
    <row r="527" spans="1:12" ht="23.25" customHeight="1">
      <c r="A527" s="12"/>
      <c r="B527" s="1221"/>
      <c r="C527" s="1243"/>
      <c r="D527" s="1243"/>
      <c r="E527" s="1243"/>
      <c r="F527" s="1222"/>
      <c r="G527" s="1221"/>
      <c r="H527" s="1222"/>
      <c r="I527" s="1221"/>
      <c r="J527" s="1243"/>
      <c r="K527" s="1222"/>
      <c r="L527" s="13"/>
    </row>
    <row r="528" spans="1:12" ht="21.75" customHeight="1">
      <c r="A528" s="12"/>
      <c r="B528" s="1221"/>
      <c r="C528" s="1243"/>
      <c r="D528" s="1243"/>
      <c r="E528" s="1243"/>
      <c r="F528" s="1222"/>
      <c r="G528" s="1221"/>
      <c r="H528" s="1222"/>
      <c r="I528" s="1221"/>
      <c r="J528" s="1243"/>
      <c r="K528" s="1222"/>
      <c r="L528" s="13"/>
    </row>
    <row r="529" spans="1:12" ht="19.5" customHeight="1">
      <c r="A529" s="12"/>
      <c r="B529" s="1221"/>
      <c r="C529" s="1243"/>
      <c r="D529" s="1243"/>
      <c r="E529" s="1243"/>
      <c r="F529" s="1222"/>
      <c r="G529" s="1221"/>
      <c r="H529" s="1222"/>
      <c r="I529" s="1221"/>
      <c r="J529" s="1243"/>
      <c r="K529" s="1222"/>
      <c r="L529" s="13"/>
    </row>
    <row r="530" spans="1:12" ht="27.95" customHeight="1">
      <c r="A530" s="12"/>
      <c r="B530" t="s">
        <v>199</v>
      </c>
      <c r="I530" t="s">
        <v>228</v>
      </c>
      <c r="L530" s="13"/>
    </row>
    <row r="531" spans="1:12" ht="24" customHeight="1">
      <c r="A531" s="12"/>
      <c r="F531" s="153" t="s">
        <v>194</v>
      </c>
      <c r="L531" s="13"/>
    </row>
    <row r="532" spans="1:12" ht="27.95" customHeight="1">
      <c r="A532" s="12" t="s">
        <v>195</v>
      </c>
      <c r="L532" s="13"/>
    </row>
    <row r="533" spans="1:12" ht="27.95" customHeight="1">
      <c r="A533" s="12" t="s">
        <v>196</v>
      </c>
      <c r="L533" s="13"/>
    </row>
    <row r="534" spans="1:12" ht="27.95" customHeight="1">
      <c r="A534" s="12"/>
      <c r="F534" t="s">
        <v>197</v>
      </c>
      <c r="L534" s="13"/>
    </row>
    <row r="535" spans="1:12">
      <c r="A535" s="12" t="s">
        <v>198</v>
      </c>
      <c r="F535">
        <f>'0422Master'!F395</f>
        <v>0</v>
      </c>
      <c r="L535" s="13"/>
    </row>
    <row r="536" spans="1:12" ht="15.75" thickBot="1">
      <c r="A536" s="24" t="s">
        <v>199</v>
      </c>
      <c r="B536" s="22"/>
      <c r="C536" s="22"/>
      <c r="D536" s="22"/>
      <c r="E536" s="22"/>
      <c r="F536" s="22">
        <f>'0422Master'!F396</f>
        <v>0</v>
      </c>
      <c r="G536" s="22"/>
      <c r="H536" s="22"/>
      <c r="I536" s="22"/>
      <c r="J536" s="22"/>
      <c r="K536" s="22"/>
      <c r="L536" s="23"/>
    </row>
    <row r="537" spans="1:12" ht="32.25">
      <c r="A537" s="73"/>
      <c r="B537" s="74"/>
      <c r="C537" s="74"/>
      <c r="D537" s="158"/>
      <c r="E537" s="158"/>
      <c r="F537" s="158"/>
      <c r="G537" s="158"/>
      <c r="H537" s="158"/>
      <c r="I537" s="158"/>
      <c r="J537" s="74"/>
      <c r="K537" s="160" t="s">
        <v>213</v>
      </c>
      <c r="L537" s="159"/>
    </row>
    <row r="538" spans="1:12" ht="21">
      <c r="A538" s="12"/>
      <c r="B538" s="1245" t="s">
        <v>212</v>
      </c>
      <c r="C538" s="1245"/>
      <c r="D538" s="1245"/>
      <c r="E538" s="1245"/>
      <c r="F538" s="1245"/>
      <c r="G538" s="1245"/>
      <c r="H538" s="1245"/>
      <c r="I538" s="1245"/>
      <c r="J538" s="1245"/>
      <c r="K538" s="1245"/>
      <c r="L538" s="1246"/>
    </row>
    <row r="539" spans="1:12" ht="15.75">
      <c r="A539" s="12"/>
      <c r="B539" s="1240" t="s">
        <v>214</v>
      </c>
      <c r="C539" s="1240"/>
      <c r="D539" s="1240"/>
      <c r="E539" s="1240"/>
      <c r="F539" s="1240"/>
      <c r="G539" s="1240"/>
      <c r="H539" s="1240"/>
      <c r="I539" s="1240"/>
      <c r="J539" s="1240"/>
      <c r="K539" s="1240"/>
      <c r="L539" s="1247"/>
    </row>
    <row r="540" spans="1:12" ht="15" customHeight="1">
      <c r="A540" s="12"/>
      <c r="B540" s="161" t="s">
        <v>215</v>
      </c>
      <c r="C540" s="161"/>
      <c r="D540" s="161"/>
      <c r="E540" s="161"/>
      <c r="F540" s="161"/>
      <c r="H540" s="162"/>
      <c r="I540" s="162"/>
      <c r="J540" s="162"/>
      <c r="K540" s="162"/>
      <c r="L540" s="170"/>
    </row>
    <row r="541" spans="1:12">
      <c r="A541" s="12"/>
      <c r="B541" s="1213" t="s">
        <v>185</v>
      </c>
      <c r="C541" s="1213"/>
      <c r="D541" s="1213"/>
      <c r="E541" s="1213"/>
      <c r="F541" s="1213"/>
      <c r="G541" s="1213"/>
      <c r="H541" s="1233">
        <f>'0422Master'!B456</f>
        <v>0</v>
      </c>
      <c r="I541" s="1228"/>
      <c r="J541" s="1228"/>
      <c r="K541" s="1228"/>
      <c r="L541" s="1071"/>
    </row>
    <row r="542" spans="1:12">
      <c r="A542" s="12"/>
      <c r="B542" s="1234" t="s">
        <v>186</v>
      </c>
      <c r="C542" s="1234"/>
      <c r="D542" s="1234"/>
      <c r="E542" s="1234"/>
      <c r="F542" s="1234"/>
      <c r="G542" s="1234"/>
      <c r="H542" s="1233">
        <f>'0422Master'!E456</f>
        <v>0</v>
      </c>
      <c r="I542" s="1228"/>
      <c r="J542" s="1228"/>
      <c r="K542" s="1228"/>
      <c r="L542" s="1071"/>
    </row>
    <row r="543" spans="1:12">
      <c r="A543" s="12"/>
      <c r="B543" s="1213" t="s">
        <v>187</v>
      </c>
      <c r="C543" s="1213"/>
      <c r="D543" s="1213"/>
      <c r="E543" s="1213"/>
      <c r="F543" s="1213"/>
      <c r="G543" s="1213"/>
      <c r="H543" s="1233">
        <f>'0422Master'!C456</f>
        <v>0</v>
      </c>
      <c r="I543" s="1228"/>
      <c r="J543" s="1228"/>
      <c r="K543" s="1228"/>
      <c r="L543" s="1071"/>
    </row>
    <row r="544" spans="1:12">
      <c r="A544" s="12"/>
      <c r="B544" s="1213" t="s">
        <v>188</v>
      </c>
      <c r="C544" s="1213"/>
      <c r="D544" s="1213"/>
      <c r="E544" s="1213"/>
      <c r="F544" s="1213"/>
      <c r="G544" s="1213"/>
      <c r="H544" s="1227">
        <f>'0422Master'!D456</f>
        <v>0</v>
      </c>
      <c r="I544" s="1228"/>
      <c r="J544" s="1228"/>
      <c r="K544" s="1228"/>
      <c r="L544" s="1071"/>
    </row>
    <row r="545" spans="1:12">
      <c r="A545" s="12"/>
      <c r="B545" s="85" t="s">
        <v>189</v>
      </c>
      <c r="C545" s="86"/>
      <c r="D545" s="86"/>
      <c r="E545" s="86"/>
      <c r="F545" s="86"/>
      <c r="G545" s="86"/>
      <c r="H545" s="1229" t="s">
        <v>190</v>
      </c>
      <c r="I545" s="1230"/>
      <c r="J545" s="1230"/>
      <c r="K545" s="1230"/>
      <c r="L545" s="1231"/>
    </row>
    <row r="546" spans="1:12">
      <c r="A546" s="12"/>
      <c r="B546" s="85" t="s">
        <v>191</v>
      </c>
      <c r="C546" s="86"/>
      <c r="D546" s="86"/>
      <c r="E546" s="86"/>
      <c r="F546" s="86"/>
      <c r="G546" s="86"/>
      <c r="H546" s="87"/>
      <c r="I546" s="89"/>
      <c r="J546" s="152"/>
      <c r="K546" s="89"/>
      <c r="L546" s="94"/>
    </row>
    <row r="547" spans="1:12">
      <c r="A547" s="12"/>
      <c r="B547" s="1082" t="s">
        <v>192</v>
      </c>
      <c r="C547" s="1082"/>
      <c r="D547" s="1082"/>
      <c r="E547" s="1082"/>
      <c r="F547" s="1082"/>
      <c r="G547" s="1082"/>
      <c r="H547" s="1074">
        <f>'0422Master'!G456</f>
        <v>0</v>
      </c>
      <c r="I547" s="1075"/>
      <c r="J547" s="1075"/>
      <c r="K547" s="1075"/>
      <c r="L547" s="1076"/>
    </row>
    <row r="548" spans="1:12">
      <c r="A548" s="12"/>
      <c r="B548" s="1213"/>
      <c r="C548" s="1213"/>
      <c r="D548" s="1213"/>
      <c r="E548" s="1213"/>
      <c r="F548" s="1213"/>
      <c r="G548" s="1213"/>
      <c r="H548" s="1232">
        <f>'0422Master'!H456</f>
        <v>0</v>
      </c>
      <c r="I548" s="1228"/>
      <c r="J548" s="1228"/>
      <c r="K548" s="1228"/>
      <c r="L548" s="1071"/>
    </row>
    <row r="549" spans="1:12">
      <c r="A549" s="12"/>
      <c r="B549" s="1213"/>
      <c r="C549" s="1213"/>
      <c r="D549" s="1213"/>
      <c r="E549" s="1213"/>
      <c r="F549" s="1213"/>
      <c r="G549" s="1213"/>
      <c r="H549" s="1233">
        <f>'0422Master'!I456</f>
        <v>0</v>
      </c>
      <c r="I549" s="1228"/>
      <c r="J549" s="1228"/>
      <c r="K549" s="1228"/>
      <c r="L549" s="1071"/>
    </row>
    <row r="550" spans="1:12">
      <c r="A550" s="12"/>
      <c r="G550" s="2" t="s">
        <v>216</v>
      </c>
      <c r="H550" s="2"/>
      <c r="I550" s="2"/>
      <c r="J550" s="2"/>
      <c r="K550" s="2"/>
      <c r="L550" s="80"/>
    </row>
    <row r="551" spans="1:12">
      <c r="A551" s="12"/>
      <c r="B551" s="154" t="s">
        <v>200</v>
      </c>
      <c r="C551" s="150"/>
      <c r="D551" s="150"/>
      <c r="E551" s="150"/>
      <c r="F551" s="150"/>
      <c r="G551" s="150"/>
      <c r="H551" s="139"/>
      <c r="I551" s="139"/>
      <c r="J551" s="139"/>
      <c r="K551" s="139"/>
      <c r="L551" s="157"/>
    </row>
    <row r="552" spans="1:12">
      <c r="A552" s="12"/>
      <c r="B552" s="154" t="s">
        <v>201</v>
      </c>
      <c r="C552" s="150"/>
      <c r="D552" s="150"/>
      <c r="E552" s="150"/>
      <c r="F552" s="150"/>
      <c r="G552" s="150"/>
      <c r="H552" s="139"/>
      <c r="I552" s="139"/>
      <c r="J552" s="140"/>
      <c r="K552" s="139"/>
      <c r="L552" s="157"/>
    </row>
    <row r="553" spans="1:12" ht="45">
      <c r="A553" s="84"/>
      <c r="B553" s="85" t="s">
        <v>204</v>
      </c>
      <c r="C553" s="86"/>
      <c r="D553" s="167"/>
      <c r="E553" s="145" t="s">
        <v>206</v>
      </c>
      <c r="F553" s="64"/>
      <c r="G553" s="1218" t="s">
        <v>205</v>
      </c>
      <c r="H553" s="1219"/>
      <c r="I553" s="144" t="s">
        <v>202</v>
      </c>
      <c r="J553" s="147" t="s">
        <v>207</v>
      </c>
      <c r="K553" s="1218" t="s">
        <v>203</v>
      </c>
      <c r="L553" s="1220"/>
    </row>
    <row r="554" spans="1:12">
      <c r="A554" s="84"/>
      <c r="B554" s="148">
        <v>1</v>
      </c>
      <c r="C554" s="86"/>
      <c r="D554" s="86"/>
      <c r="E554" s="151">
        <v>2</v>
      </c>
      <c r="F554" s="90"/>
      <c r="G554" s="151">
        <v>3</v>
      </c>
      <c r="H554" s="167"/>
      <c r="I554" s="167">
        <v>4</v>
      </c>
      <c r="J554" s="99">
        <v>5</v>
      </c>
      <c r="K554" s="92"/>
      <c r="L554" s="93">
        <v>6</v>
      </c>
    </row>
    <row r="555" spans="1:12" ht="27.95" customHeight="1">
      <c r="A555" s="84"/>
      <c r="B555" s="85"/>
      <c r="C555" s="163"/>
      <c r="D555" s="164"/>
      <c r="E555" s="165" t="s">
        <v>366</v>
      </c>
      <c r="F555" s="164"/>
      <c r="G555" s="165" t="s">
        <v>364</v>
      </c>
      <c r="H555" s="64"/>
      <c r="I555" s="10" t="s">
        <v>367</v>
      </c>
      <c r="J555" s="264">
        <v>1</v>
      </c>
      <c r="K555" s="166" t="s">
        <v>37</v>
      </c>
      <c r="L555" s="171"/>
    </row>
    <row r="556" spans="1:12" ht="27.95" customHeight="1">
      <c r="A556" s="84"/>
      <c r="B556" s="85"/>
      <c r="C556" s="163"/>
      <c r="D556" s="164"/>
      <c r="E556" s="165"/>
      <c r="F556" s="164"/>
      <c r="G556" s="165"/>
      <c r="H556" s="64"/>
      <c r="I556" s="10"/>
      <c r="J556" s="10"/>
      <c r="K556" s="166"/>
      <c r="L556" s="171"/>
    </row>
    <row r="557" spans="1:12" ht="27.95" customHeight="1">
      <c r="A557" s="84"/>
      <c r="B557" s="85"/>
      <c r="C557" s="163"/>
      <c r="D557" s="164"/>
      <c r="E557" s="165"/>
      <c r="F557" s="164"/>
      <c r="G557" s="165"/>
      <c r="H557" s="64"/>
      <c r="I557" s="10"/>
      <c r="J557" s="10"/>
      <c r="K557" s="166"/>
      <c r="L557" s="171"/>
    </row>
    <row r="558" spans="1:12" ht="27.95" customHeight="1">
      <c r="A558" s="84"/>
      <c r="B558" s="71"/>
      <c r="C558" s="16"/>
      <c r="D558" s="72"/>
      <c r="E558" s="165"/>
      <c r="F558" s="164"/>
      <c r="G558" s="165"/>
      <c r="H558" s="64"/>
      <c r="I558" s="10"/>
      <c r="J558" s="10"/>
      <c r="K558" s="166"/>
      <c r="L558" s="171"/>
    </row>
    <row r="559" spans="1:12" ht="27.95" customHeight="1">
      <c r="A559" s="84"/>
      <c r="B559" t="s">
        <v>208</v>
      </c>
      <c r="L559" s="13"/>
    </row>
    <row r="560" spans="1:12" ht="27.95" customHeight="1">
      <c r="A560" s="12"/>
      <c r="B560" t="s">
        <v>209</v>
      </c>
      <c r="L560" s="13"/>
    </row>
    <row r="561" spans="1:12" ht="27.95" customHeight="1">
      <c r="A561" s="12"/>
      <c r="B561" t="s">
        <v>220</v>
      </c>
      <c r="J561" t="s">
        <v>219</v>
      </c>
      <c r="L561" s="13"/>
    </row>
    <row r="562" spans="1:12" ht="27.95" customHeight="1">
      <c r="A562" s="12"/>
      <c r="G562" s="2" t="s">
        <v>217</v>
      </c>
      <c r="H562" s="2"/>
      <c r="I562" s="2"/>
      <c r="J562" s="2"/>
      <c r="K562" s="2"/>
      <c r="L562" s="80"/>
    </row>
    <row r="563" spans="1:12" ht="27.95" customHeight="1">
      <c r="A563" s="12"/>
      <c r="B563" s="2"/>
      <c r="G563" t="s">
        <v>218</v>
      </c>
      <c r="H563" s="2"/>
      <c r="I563" s="2"/>
      <c r="J563" s="2"/>
      <c r="K563" s="2"/>
      <c r="L563" s="80"/>
    </row>
    <row r="564" spans="1:12" ht="27.95" customHeight="1">
      <c r="A564" s="12"/>
      <c r="B564" s="154" t="s">
        <v>221</v>
      </c>
      <c r="C564" s="150"/>
      <c r="D564" s="150"/>
      <c r="E564" s="150"/>
      <c r="F564" s="150"/>
      <c r="G564" s="150"/>
      <c r="H564" s="139"/>
      <c r="I564" s="139"/>
      <c r="J564" s="139"/>
      <c r="K564" s="139"/>
      <c r="L564" s="157"/>
    </row>
    <row r="565" spans="1:12" ht="27.95" customHeight="1">
      <c r="A565" s="12"/>
      <c r="B565" s="154" t="s">
        <v>222</v>
      </c>
      <c r="C565" s="150"/>
      <c r="D565" s="150"/>
      <c r="E565" s="150"/>
      <c r="F565" s="150"/>
      <c r="G565" s="150"/>
      <c r="H565" s="139"/>
      <c r="I565" s="139"/>
      <c r="J565" s="140"/>
      <c r="K565" s="139"/>
      <c r="L565" s="157"/>
    </row>
    <row r="566" spans="1:12" ht="27.95" customHeight="1">
      <c r="A566" s="12"/>
      <c r="B566" s="85" t="s">
        <v>5</v>
      </c>
      <c r="C566" s="1248" t="s">
        <v>223</v>
      </c>
      <c r="D566" s="1216"/>
      <c r="E566" s="1216"/>
      <c r="F566" s="1216"/>
      <c r="G566" s="1216"/>
      <c r="H566" s="1249"/>
      <c r="I566" s="146" t="s">
        <v>102</v>
      </c>
      <c r="J566" s="1250" t="s">
        <v>224</v>
      </c>
      <c r="K566" s="1251"/>
      <c r="L566" s="1252"/>
    </row>
    <row r="567" spans="1:12" ht="27.95" customHeight="1">
      <c r="A567" s="12"/>
      <c r="B567" s="148">
        <v>1</v>
      </c>
      <c r="C567" s="182"/>
      <c r="D567" s="89"/>
      <c r="E567" s="95">
        <v>2</v>
      </c>
      <c r="F567" s="63"/>
      <c r="G567" s="1244"/>
      <c r="H567" s="1219"/>
      <c r="I567" s="89">
        <v>3</v>
      </c>
      <c r="J567" s="169" t="s">
        <v>225</v>
      </c>
      <c r="K567" s="1253">
        <v>4</v>
      </c>
      <c r="L567" s="1254"/>
    </row>
    <row r="568" spans="1:12" ht="27.95" customHeight="1">
      <c r="A568" s="12"/>
      <c r="B568" s="85"/>
      <c r="C568" s="182"/>
      <c r="D568" s="89"/>
      <c r="E568" s="95"/>
      <c r="F568" s="63"/>
      <c r="G568" s="1244"/>
      <c r="H568" s="1219"/>
      <c r="I568" s="166"/>
      <c r="J568" s="168"/>
      <c r="K568" s="1244"/>
      <c r="L568" s="1220"/>
    </row>
    <row r="569" spans="1:12" ht="27.95" customHeight="1">
      <c r="A569" s="12"/>
      <c r="B569" s="85"/>
      <c r="C569" s="182"/>
      <c r="D569" s="89"/>
      <c r="E569" s="95"/>
      <c r="F569" s="63"/>
      <c r="G569" s="1244"/>
      <c r="H569" s="1219"/>
      <c r="I569" s="166"/>
      <c r="J569" s="168"/>
      <c r="K569" s="1244"/>
      <c r="L569" s="1220"/>
    </row>
    <row r="570" spans="1:12" ht="27.95" customHeight="1">
      <c r="A570" s="12"/>
      <c r="B570" s="85"/>
      <c r="C570" s="182"/>
      <c r="D570" s="89"/>
      <c r="E570" s="95"/>
      <c r="F570" s="63"/>
      <c r="G570" s="1244"/>
      <c r="H570" s="1219"/>
      <c r="I570" s="166"/>
      <c r="J570" s="168"/>
      <c r="K570" s="1244"/>
      <c r="L570" s="1220"/>
    </row>
    <row r="571" spans="1:12" ht="27.95" customHeight="1">
      <c r="A571" s="12"/>
      <c r="B571" s="71"/>
      <c r="C571" s="182"/>
      <c r="D571" s="89"/>
      <c r="E571" s="95"/>
      <c r="F571" s="63"/>
      <c r="G571" s="1244"/>
      <c r="H571" s="1219"/>
      <c r="I571" s="166"/>
      <c r="J571" s="168"/>
      <c r="K571" s="1244"/>
      <c r="L571" s="1220"/>
    </row>
    <row r="572" spans="1:12" ht="27.95" customHeight="1">
      <c r="A572" s="12"/>
      <c r="B572" t="s">
        <v>229</v>
      </c>
      <c r="L572" s="13"/>
    </row>
    <row r="573" spans="1:12">
      <c r="A573" s="12"/>
      <c r="B573" t="s">
        <v>230</v>
      </c>
      <c r="L573" s="13"/>
    </row>
    <row r="574" spans="1:12">
      <c r="A574" s="12"/>
      <c r="B574" t="s">
        <v>231</v>
      </c>
      <c r="L574" s="13"/>
    </row>
    <row r="575" spans="1:12">
      <c r="A575" s="12"/>
      <c r="B575" t="s">
        <v>232</v>
      </c>
      <c r="L575" s="13"/>
    </row>
    <row r="576" spans="1:12">
      <c r="A576" s="12"/>
      <c r="B576" s="165" t="s">
        <v>226</v>
      </c>
      <c r="C576" s="63"/>
      <c r="D576" s="63"/>
      <c r="E576" s="63"/>
      <c r="F576" s="64"/>
      <c r="G576" s="165" t="s">
        <v>202</v>
      </c>
      <c r="H576" s="64"/>
      <c r="I576" s="165" t="s">
        <v>227</v>
      </c>
      <c r="J576" s="63"/>
      <c r="K576" s="64"/>
      <c r="L576" s="13"/>
    </row>
    <row r="577" spans="1:12">
      <c r="A577" s="12"/>
      <c r="B577" s="1221"/>
      <c r="C577" s="1243"/>
      <c r="D577" s="1243"/>
      <c r="E577" s="1243"/>
      <c r="F577" s="1222"/>
      <c r="G577" s="1221"/>
      <c r="H577" s="1222"/>
      <c r="I577" s="1221"/>
      <c r="J577" s="1243"/>
      <c r="K577" s="1222"/>
      <c r="L577" s="13"/>
    </row>
    <row r="578" spans="1:12">
      <c r="A578" s="12"/>
      <c r="B578" s="1221"/>
      <c r="C578" s="1243"/>
      <c r="D578" s="1243"/>
      <c r="E578" s="1243"/>
      <c r="F578" s="1222"/>
      <c r="G578" s="1221"/>
      <c r="H578" s="1222"/>
      <c r="I578" s="1221"/>
      <c r="J578" s="1243"/>
      <c r="K578" s="1222"/>
      <c r="L578" s="13"/>
    </row>
    <row r="579" spans="1:12" ht="15" customHeight="1">
      <c r="A579" s="12"/>
      <c r="B579" s="1221"/>
      <c r="C579" s="1243"/>
      <c r="D579" s="1243"/>
      <c r="E579" s="1243"/>
      <c r="F579" s="1222"/>
      <c r="G579" s="1221"/>
      <c r="H579" s="1222"/>
      <c r="I579" s="1221"/>
      <c r="J579" s="1243"/>
      <c r="K579" s="1222"/>
      <c r="L579" s="13"/>
    </row>
    <row r="580" spans="1:12">
      <c r="A580" s="12"/>
      <c r="B580" s="1221"/>
      <c r="C580" s="1243"/>
      <c r="D580" s="1243"/>
      <c r="E580" s="1243"/>
      <c r="F580" s="1222"/>
      <c r="G580" s="1221"/>
      <c r="H580" s="1222"/>
      <c r="I580" s="1221"/>
      <c r="J580" s="1243"/>
      <c r="K580" s="1222"/>
      <c r="L580" s="13"/>
    </row>
    <row r="581" spans="1:12">
      <c r="A581" s="12"/>
      <c r="B581" t="s">
        <v>199</v>
      </c>
      <c r="I581" t="s">
        <v>228</v>
      </c>
      <c r="L581" s="13"/>
    </row>
    <row r="582" spans="1:12" ht="18.75">
      <c r="A582" s="12"/>
      <c r="F582" s="153" t="s">
        <v>194</v>
      </c>
      <c r="L582" s="13"/>
    </row>
    <row r="583" spans="1:12">
      <c r="A583" s="12" t="s">
        <v>195</v>
      </c>
      <c r="L583" s="13"/>
    </row>
    <row r="584" spans="1:12">
      <c r="A584" s="12" t="s">
        <v>196</v>
      </c>
      <c r="L584" s="13"/>
    </row>
    <row r="585" spans="1:12">
      <c r="A585" s="12"/>
      <c r="F585" t="s">
        <v>197</v>
      </c>
      <c r="L585" s="13"/>
    </row>
    <row r="586" spans="1:12">
      <c r="A586" s="12" t="s">
        <v>198</v>
      </c>
      <c r="F586">
        <f>'0422Master'!F446</f>
        <v>0</v>
      </c>
      <c r="L586" s="13"/>
    </row>
    <row r="587" spans="1:12" ht="15.75" thickBot="1">
      <c r="A587" s="24" t="s">
        <v>199</v>
      </c>
      <c r="B587" s="22"/>
      <c r="C587" s="22"/>
      <c r="D587" s="22"/>
      <c r="E587" s="22"/>
      <c r="F587" s="22">
        <f>'0422Master'!F447</f>
        <v>0</v>
      </c>
      <c r="G587" s="22"/>
      <c r="H587" s="22"/>
      <c r="I587" s="22"/>
      <c r="J587" s="22"/>
      <c r="K587" s="22"/>
      <c r="L587" s="23"/>
    </row>
    <row r="589" spans="1:12">
      <c r="H589" s="2"/>
      <c r="I589" s="2"/>
      <c r="J589" s="2"/>
      <c r="K589" s="2"/>
      <c r="L589" s="2"/>
    </row>
    <row r="590" spans="1:12">
      <c r="H590" s="2"/>
      <c r="I590" s="2"/>
      <c r="J590" s="2"/>
      <c r="K590" s="2"/>
      <c r="L590" s="2"/>
    </row>
    <row r="591" spans="1:12">
      <c r="B591" s="2"/>
      <c r="H591" s="2"/>
      <c r="I591" s="2"/>
      <c r="J591" s="2"/>
      <c r="K591" s="2"/>
      <c r="L591" s="2"/>
    </row>
    <row r="592" spans="1:12">
      <c r="H592" s="2"/>
      <c r="I592" s="2"/>
      <c r="J592" s="2"/>
      <c r="K592" s="2"/>
      <c r="L592" s="2"/>
    </row>
    <row r="593" spans="1:12">
      <c r="H593" s="2"/>
      <c r="I593" s="2"/>
      <c r="J593" s="2"/>
      <c r="K593" s="2"/>
      <c r="L593" s="2"/>
    </row>
    <row r="594" spans="1:12" ht="27.95" customHeight="1">
      <c r="A594" s="9"/>
      <c r="B594" s="1238"/>
      <c r="C594" s="1238"/>
      <c r="D594" s="1238"/>
      <c r="E594" s="1238"/>
      <c r="F594" s="1238"/>
      <c r="G594" s="1238"/>
      <c r="H594" s="1235"/>
      <c r="I594" s="1236"/>
      <c r="J594" s="1236"/>
      <c r="K594" s="1236"/>
      <c r="L594" s="1236"/>
    </row>
    <row r="595" spans="1:12" ht="27.95" customHeight="1">
      <c r="A595" s="9"/>
      <c r="B595" s="1225"/>
      <c r="C595" s="1225"/>
      <c r="D595" s="1225"/>
      <c r="E595" s="1225"/>
      <c r="F595" s="1225"/>
      <c r="G595" s="1225"/>
      <c r="H595" s="1235"/>
      <c r="I595" s="1236"/>
      <c r="J595" s="1236"/>
      <c r="K595" s="1236"/>
      <c r="L595" s="1236"/>
    </row>
    <row r="596" spans="1:12" ht="27.95" customHeight="1">
      <c r="A596" s="9"/>
      <c r="B596" s="1238"/>
      <c r="C596" s="1238"/>
      <c r="D596" s="1238"/>
      <c r="E596" s="1238"/>
      <c r="F596" s="1238"/>
      <c r="G596" s="1238"/>
      <c r="H596" s="1235"/>
      <c r="I596" s="1236"/>
      <c r="J596" s="1236"/>
      <c r="K596" s="1236"/>
      <c r="L596" s="1236"/>
    </row>
    <row r="597" spans="1:12" ht="27.95" customHeight="1">
      <c r="A597" s="9"/>
      <c r="B597" s="1238"/>
      <c r="C597" s="1238"/>
      <c r="D597" s="1238"/>
      <c r="E597" s="1238"/>
      <c r="F597" s="1238"/>
      <c r="G597" s="1238"/>
      <c r="H597" s="1239"/>
      <c r="I597" s="1236"/>
      <c r="J597" s="1236"/>
      <c r="K597" s="1236"/>
      <c r="L597" s="1236"/>
    </row>
    <row r="598" spans="1:12" ht="27.95" customHeight="1">
      <c r="A598" s="9"/>
      <c r="B598" s="154"/>
      <c r="C598" s="150"/>
      <c r="D598" s="150"/>
      <c r="E598" s="150"/>
      <c r="F598" s="150"/>
      <c r="G598" s="150"/>
      <c r="H598" s="139"/>
      <c r="I598" s="9"/>
      <c r="J598" s="223"/>
      <c r="K598" s="139"/>
      <c r="L598" s="139"/>
    </row>
    <row r="599" spans="1:12" ht="27.95" customHeight="1">
      <c r="A599" s="9"/>
      <c r="B599" s="154"/>
      <c r="C599" s="150"/>
      <c r="D599" s="150"/>
      <c r="E599" s="150"/>
      <c r="F599" s="150"/>
      <c r="G599" s="150"/>
      <c r="H599" s="139"/>
      <c r="I599" s="139"/>
      <c r="J599" s="223"/>
      <c r="K599" s="139"/>
      <c r="L599" s="139"/>
    </row>
    <row r="600" spans="1:12" ht="27.95" customHeight="1">
      <c r="A600" s="9"/>
      <c r="B600" s="1225"/>
      <c r="C600" s="1225"/>
      <c r="D600" s="1225"/>
      <c r="E600" s="1225"/>
      <c r="F600" s="1225"/>
      <c r="G600" s="1225"/>
      <c r="H600" s="1235"/>
      <c r="I600" s="1236"/>
      <c r="J600" s="1236"/>
      <c r="K600" s="1236"/>
      <c r="L600" s="1236"/>
    </row>
    <row r="601" spans="1:12" ht="27.95" customHeight="1">
      <c r="A601" s="9"/>
      <c r="B601" s="1238"/>
      <c r="C601" s="1238"/>
      <c r="D601" s="1238"/>
      <c r="E601" s="1238"/>
      <c r="F601" s="1238"/>
      <c r="G601" s="1238"/>
      <c r="H601" s="1241"/>
      <c r="I601" s="1236"/>
      <c r="J601" s="1236"/>
      <c r="K601" s="1236"/>
      <c r="L601" s="1236"/>
    </row>
    <row r="602" spans="1:12" ht="27.95" customHeight="1">
      <c r="B602" s="1238"/>
      <c r="C602" s="1238"/>
      <c r="D602" s="1238"/>
      <c r="E602" s="1238"/>
      <c r="F602" s="1238"/>
      <c r="G602" s="1238"/>
      <c r="H602" s="1236"/>
      <c r="I602" s="1236"/>
      <c r="J602" s="1236"/>
      <c r="K602" s="1236"/>
      <c r="L602" s="1236"/>
    </row>
    <row r="603" spans="1:12" ht="27.95" customHeight="1">
      <c r="B603" s="154"/>
      <c r="C603" s="150"/>
      <c r="D603" s="150"/>
      <c r="E603" s="150"/>
      <c r="F603" s="150"/>
      <c r="G603" s="150"/>
      <c r="H603" s="139"/>
      <c r="I603" s="139"/>
      <c r="J603" s="139"/>
      <c r="K603" s="139"/>
      <c r="L603" s="139"/>
    </row>
    <row r="604" spans="1:12" ht="27.95" customHeight="1">
      <c r="B604" s="154"/>
      <c r="C604" s="150"/>
      <c r="D604" s="150"/>
      <c r="E604" s="150"/>
      <c r="F604" s="150"/>
      <c r="G604" s="150"/>
      <c r="H604" s="139"/>
      <c r="I604" s="139"/>
      <c r="J604" s="139"/>
      <c r="K604" s="139"/>
      <c r="L604" s="139"/>
    </row>
    <row r="605" spans="1:12" ht="27.95" customHeight="1">
      <c r="B605" s="154"/>
      <c r="C605" s="150"/>
      <c r="D605" s="150"/>
      <c r="E605" s="150"/>
      <c r="F605" s="150"/>
      <c r="G605" s="150"/>
      <c r="H605" s="139"/>
      <c r="I605" s="139"/>
      <c r="J605" s="140"/>
      <c r="K605" s="139"/>
      <c r="L605" s="139"/>
    </row>
    <row r="606" spans="1:12" ht="27.95" customHeight="1">
      <c r="B606" s="154"/>
      <c r="C606" s="150"/>
      <c r="D606" s="150"/>
      <c r="E606" s="150"/>
      <c r="F606" s="150"/>
      <c r="G606" s="150"/>
      <c r="H606" s="139"/>
      <c r="I606" s="139"/>
      <c r="J606" s="139"/>
      <c r="K606" s="139"/>
      <c r="L606" s="139"/>
    </row>
    <row r="607" spans="1:12" ht="27.95" customHeight="1">
      <c r="B607" s="154"/>
      <c r="C607" s="150"/>
      <c r="D607" s="150"/>
      <c r="E607" s="150"/>
      <c r="F607" s="150"/>
      <c r="G607" s="150"/>
      <c r="H607" s="139"/>
      <c r="I607" s="139"/>
      <c r="J607" s="140"/>
      <c r="K607" s="139"/>
      <c r="L607" s="139"/>
    </row>
    <row r="608" spans="1:12" ht="27.95" customHeight="1">
      <c r="B608" s="154"/>
      <c r="C608" s="150"/>
      <c r="D608" s="139"/>
      <c r="E608" s="140"/>
      <c r="F608" s="139"/>
      <c r="G608" s="140"/>
      <c r="H608" s="139"/>
      <c r="I608" s="140"/>
      <c r="J608" s="139"/>
      <c r="K608" s="140"/>
      <c r="L608" s="140"/>
    </row>
    <row r="609" spans="2:12" ht="27.95" customHeight="1">
      <c r="B609" s="154"/>
      <c r="C609" s="150"/>
      <c r="D609" s="150"/>
      <c r="E609" s="150"/>
      <c r="F609" s="150"/>
      <c r="G609" s="150"/>
      <c r="H609" s="139"/>
      <c r="I609" s="139"/>
      <c r="J609" s="224"/>
      <c r="K609" s="139"/>
      <c r="L609" s="139"/>
    </row>
    <row r="610" spans="2:12" ht="27.95" customHeight="1">
      <c r="B610" s="154"/>
      <c r="C610" s="2"/>
      <c r="D610" s="2"/>
      <c r="E610" s="2"/>
      <c r="F610" s="2"/>
      <c r="G610" s="2"/>
    </row>
    <row r="611" spans="2:12" ht="27.95" customHeight="1">
      <c r="B611" s="154"/>
      <c r="C611" s="2"/>
      <c r="D611" s="2"/>
      <c r="E611" s="2"/>
      <c r="F611" s="2"/>
      <c r="G611" s="2"/>
    </row>
    <row r="614" spans="2:12" ht="32.25">
      <c r="B614" s="1242"/>
      <c r="C614" s="1152"/>
      <c r="D614" s="1152"/>
      <c r="E614" s="1152"/>
      <c r="F614" s="1152"/>
      <c r="G614" s="1152"/>
      <c r="H614" s="1152"/>
      <c r="I614" s="1152"/>
      <c r="J614" s="1152"/>
      <c r="K614" s="1152"/>
      <c r="L614" s="1152"/>
    </row>
    <row r="615" spans="2:12" ht="23.25">
      <c r="B615" s="1223"/>
      <c r="C615" s="1223"/>
      <c r="D615" s="1223"/>
      <c r="E615" s="1223"/>
      <c r="F615" s="1223"/>
      <c r="G615" s="1223"/>
      <c r="H615" s="1223"/>
      <c r="I615" s="1223"/>
      <c r="J615" s="1223"/>
      <c r="K615" s="1223"/>
      <c r="L615" s="1223"/>
    </row>
    <row r="616" spans="2:12" ht="15.75">
      <c r="B616" s="1240"/>
      <c r="C616" s="1240"/>
      <c r="D616" s="1240"/>
      <c r="E616" s="1240"/>
      <c r="F616" s="1240"/>
      <c r="G616" s="1240"/>
      <c r="H616" s="1240"/>
      <c r="I616" s="1240"/>
      <c r="J616" s="1240"/>
      <c r="K616" s="1240"/>
      <c r="L616" s="1240"/>
    </row>
    <row r="617" spans="2:12" ht="15" customHeight="1">
      <c r="B617" s="1224"/>
      <c r="C617" s="1224"/>
      <c r="D617" s="1224"/>
      <c r="E617" s="1224"/>
      <c r="F617" s="1224"/>
      <c r="H617" s="1225"/>
      <c r="I617" s="1225"/>
      <c r="J617" s="1225"/>
      <c r="K617" s="1225"/>
      <c r="L617" s="1225"/>
    </row>
    <row r="618" spans="2:12">
      <c r="B618" s="1224"/>
      <c r="C618" s="1224"/>
      <c r="D618" s="1224"/>
      <c r="E618" s="1224"/>
      <c r="F618" s="1224"/>
      <c r="H618" s="1225"/>
      <c r="I618" s="1225"/>
      <c r="J618" s="1225"/>
      <c r="K618" s="1225"/>
      <c r="L618" s="1225"/>
    </row>
    <row r="620" spans="2:12">
      <c r="B620" s="2"/>
      <c r="H620" s="2"/>
    </row>
    <row r="622" spans="2:12">
      <c r="B622" s="2"/>
      <c r="H622" s="2"/>
    </row>
    <row r="625" spans="1:12">
      <c r="B625" s="1226"/>
      <c r="C625" s="1226"/>
      <c r="D625" s="1226"/>
      <c r="E625" s="1226"/>
      <c r="F625" s="1226"/>
      <c r="H625" s="1226"/>
      <c r="I625" s="1226"/>
      <c r="J625" s="1226"/>
      <c r="K625" s="1226"/>
      <c r="L625" s="1226"/>
    </row>
    <row r="627" spans="1:12">
      <c r="H627" s="2"/>
      <c r="I627" s="2"/>
      <c r="J627" s="2"/>
      <c r="K627" s="2"/>
      <c r="L627" s="2"/>
    </row>
    <row r="628" spans="1:12">
      <c r="H628" s="2"/>
      <c r="I628" s="2"/>
      <c r="J628" s="2"/>
      <c r="K628" s="2"/>
      <c r="L628" s="2"/>
    </row>
    <row r="629" spans="1:12">
      <c r="B629" s="2"/>
      <c r="H629" s="2"/>
      <c r="I629" s="2"/>
      <c r="J629" s="2"/>
      <c r="K629" s="2"/>
      <c r="L629" s="2"/>
    </row>
    <row r="630" spans="1:12">
      <c r="H630" s="2"/>
      <c r="I630" s="2"/>
      <c r="J630" s="2"/>
      <c r="K630" s="2"/>
      <c r="L630" s="2"/>
    </row>
    <row r="631" spans="1:12">
      <c r="H631" s="2"/>
      <c r="I631" s="2"/>
      <c r="J631" s="2"/>
      <c r="K631" s="2"/>
      <c r="L631" s="2"/>
    </row>
    <row r="632" spans="1:12" ht="27.95" customHeight="1">
      <c r="A632" s="9"/>
      <c r="B632" s="1238"/>
      <c r="C632" s="1238"/>
      <c r="D632" s="1238"/>
      <c r="E632" s="1238"/>
      <c r="F632" s="1238"/>
      <c r="G632" s="1238"/>
      <c r="H632" s="1235"/>
      <c r="I632" s="1236"/>
      <c r="J632" s="1236"/>
      <c r="K632" s="1236"/>
      <c r="L632" s="1236"/>
    </row>
    <row r="633" spans="1:12" ht="27.95" customHeight="1">
      <c r="A633" s="9"/>
      <c r="B633" s="1225"/>
      <c r="C633" s="1225"/>
      <c r="D633" s="1225"/>
      <c r="E633" s="1225"/>
      <c r="F633" s="1225"/>
      <c r="G633" s="1225"/>
      <c r="H633" s="1235"/>
      <c r="I633" s="1236"/>
      <c r="J633" s="1236"/>
      <c r="K633" s="1236"/>
      <c r="L633" s="1236"/>
    </row>
    <row r="634" spans="1:12" ht="27.95" customHeight="1">
      <c r="A634" s="9"/>
      <c r="B634" s="1238"/>
      <c r="C634" s="1238"/>
      <c r="D634" s="1238"/>
      <c r="E634" s="1238"/>
      <c r="F634" s="1238"/>
      <c r="G634" s="1238"/>
      <c r="H634" s="1235"/>
      <c r="I634" s="1236"/>
      <c r="J634" s="1236"/>
      <c r="K634" s="1236"/>
      <c r="L634" s="1236"/>
    </row>
    <row r="635" spans="1:12" ht="27.95" customHeight="1">
      <c r="A635" s="9"/>
      <c r="B635" s="1238"/>
      <c r="C635" s="1238"/>
      <c r="D635" s="1238"/>
      <c r="E635" s="1238"/>
      <c r="F635" s="1238"/>
      <c r="G635" s="1238"/>
      <c r="H635" s="1239"/>
      <c r="I635" s="1236"/>
      <c r="J635" s="1236"/>
      <c r="K635" s="1236"/>
      <c r="L635" s="1236"/>
    </row>
    <row r="636" spans="1:12" ht="27.95" customHeight="1">
      <c r="A636" s="9"/>
      <c r="B636" s="154"/>
      <c r="C636" s="150"/>
      <c r="D636" s="150"/>
      <c r="E636" s="150"/>
      <c r="F636" s="150"/>
      <c r="G636" s="150"/>
      <c r="H636" s="139"/>
      <c r="I636" s="9"/>
      <c r="J636" s="223"/>
      <c r="K636" s="139"/>
      <c r="L636" s="139"/>
    </row>
    <row r="637" spans="1:12" ht="27.95" customHeight="1">
      <c r="A637" s="9"/>
      <c r="B637" s="154"/>
      <c r="C637" s="150"/>
      <c r="D637" s="150"/>
      <c r="E637" s="150"/>
      <c r="F637" s="150"/>
      <c r="G637" s="150"/>
      <c r="H637" s="139"/>
      <c r="I637" s="139"/>
      <c r="J637" s="223"/>
      <c r="K637" s="139"/>
      <c r="L637" s="139"/>
    </row>
    <row r="638" spans="1:12" ht="27.95" customHeight="1">
      <c r="A638" s="9"/>
      <c r="B638" s="1225"/>
      <c r="C638" s="1225"/>
      <c r="D638" s="1225"/>
      <c r="E638" s="1225"/>
      <c r="F638" s="1225"/>
      <c r="G638" s="1225"/>
      <c r="H638" s="1235"/>
      <c r="I638" s="1236"/>
      <c r="J638" s="1236"/>
      <c r="K638" s="1236"/>
      <c r="L638" s="1236"/>
    </row>
    <row r="639" spans="1:12" ht="27.95" customHeight="1">
      <c r="A639" s="9"/>
      <c r="B639" s="1238"/>
      <c r="C639" s="1238"/>
      <c r="D639" s="1238"/>
      <c r="E639" s="1238"/>
      <c r="F639" s="1238"/>
      <c r="G639" s="1238"/>
      <c r="H639" s="1241"/>
      <c r="I639" s="1236"/>
      <c r="J639" s="1236"/>
      <c r="K639" s="1236"/>
      <c r="L639" s="1236"/>
    </row>
    <row r="640" spans="1:12" ht="27.95" customHeight="1">
      <c r="B640" s="1238"/>
      <c r="C640" s="1238"/>
      <c r="D640" s="1238"/>
      <c r="E640" s="1238"/>
      <c r="F640" s="1238"/>
      <c r="G640" s="1238"/>
      <c r="H640" s="1236"/>
      <c r="I640" s="1236"/>
      <c r="J640" s="1236"/>
      <c r="K640" s="1236"/>
      <c r="L640" s="1236"/>
    </row>
    <row r="641" spans="2:12" ht="27.95" customHeight="1">
      <c r="B641" s="154"/>
      <c r="C641" s="150"/>
      <c r="D641" s="150"/>
      <c r="E641" s="150"/>
      <c r="F641" s="150"/>
      <c r="G641" s="150"/>
      <c r="H641" s="139"/>
      <c r="I641" s="139"/>
      <c r="J641" s="139"/>
      <c r="K641" s="139"/>
      <c r="L641" s="139"/>
    </row>
    <row r="642" spans="2:12" ht="27.95" customHeight="1">
      <c r="B642" s="154"/>
      <c r="C642" s="150"/>
      <c r="D642" s="150"/>
      <c r="E642" s="150"/>
      <c r="F642" s="150"/>
      <c r="G642" s="150"/>
      <c r="H642" s="139"/>
      <c r="I642" s="139"/>
      <c r="J642" s="139"/>
      <c r="K642" s="139"/>
      <c r="L642" s="139"/>
    </row>
    <row r="643" spans="2:12" ht="27.95" customHeight="1">
      <c r="B643" s="154"/>
      <c r="C643" s="150"/>
      <c r="D643" s="150"/>
      <c r="E643" s="150"/>
      <c r="F643" s="150"/>
      <c r="G643" s="150"/>
      <c r="H643" s="139"/>
      <c r="I643" s="139"/>
      <c r="J643" s="140"/>
      <c r="K643" s="139"/>
      <c r="L643" s="139"/>
    </row>
    <row r="644" spans="2:12" ht="27.95" customHeight="1">
      <c r="B644" s="154"/>
      <c r="C644" s="150"/>
      <c r="D644" s="150"/>
      <c r="E644" s="150"/>
      <c r="F644" s="150"/>
      <c r="G644" s="150"/>
      <c r="H644" s="139"/>
      <c r="I644" s="139"/>
      <c r="J644" s="139"/>
      <c r="K644" s="139"/>
      <c r="L644" s="139"/>
    </row>
    <row r="645" spans="2:12" ht="27.95" customHeight="1">
      <c r="B645" s="154"/>
      <c r="C645" s="150"/>
      <c r="D645" s="150"/>
      <c r="E645" s="150"/>
      <c r="F645" s="150"/>
      <c r="G645" s="150"/>
      <c r="H645" s="139"/>
      <c r="I645" s="139"/>
      <c r="J645" s="140"/>
      <c r="K645" s="139"/>
      <c r="L645" s="139"/>
    </row>
    <row r="646" spans="2:12" ht="27.95" customHeight="1">
      <c r="B646" s="154"/>
      <c r="C646" s="150"/>
      <c r="D646" s="139"/>
      <c r="E646" s="140"/>
      <c r="F646" s="139"/>
      <c r="G646" s="140"/>
      <c r="H646" s="139"/>
      <c r="I646" s="140"/>
      <c r="J646" s="139"/>
      <c r="K646" s="140"/>
      <c r="L646" s="140"/>
    </row>
    <row r="647" spans="2:12" ht="27.95" customHeight="1">
      <c r="B647" s="154"/>
      <c r="C647" s="150"/>
      <c r="D647" s="150"/>
      <c r="E647" s="150"/>
      <c r="F647" s="150"/>
      <c r="G647" s="150"/>
      <c r="H647" s="139"/>
      <c r="I647" s="139"/>
      <c r="J647" s="224"/>
      <c r="K647" s="139"/>
      <c r="L647" s="139"/>
    </row>
    <row r="648" spans="2:12" ht="27.95" customHeight="1">
      <c r="B648" s="154"/>
      <c r="C648" s="2"/>
      <c r="D648" s="2"/>
      <c r="E648" s="2"/>
      <c r="F648" s="2"/>
      <c r="G648" s="2"/>
    </row>
    <row r="649" spans="2:12" ht="27.95" customHeight="1">
      <c r="B649" s="154"/>
      <c r="C649" s="2"/>
      <c r="D649" s="2"/>
      <c r="E649" s="2"/>
      <c r="F649" s="2"/>
      <c r="G649" s="2"/>
    </row>
    <row r="653" spans="2:12" ht="32.25">
      <c r="B653" s="1242"/>
      <c r="C653" s="1152"/>
      <c r="D653" s="1152"/>
      <c r="E653" s="1152"/>
      <c r="F653" s="1152"/>
      <c r="G653" s="1152"/>
      <c r="H653" s="1152"/>
      <c r="I653" s="1152"/>
      <c r="J653" s="1152"/>
      <c r="K653" s="1152"/>
      <c r="L653" s="1152"/>
    </row>
    <row r="654" spans="2:12" ht="23.25">
      <c r="B654" s="1223"/>
      <c r="C654" s="1223"/>
      <c r="D654" s="1223"/>
      <c r="E654" s="1223"/>
      <c r="F654" s="1223"/>
      <c r="G654" s="1223"/>
      <c r="H654" s="1223"/>
      <c r="I654" s="1223"/>
      <c r="J654" s="1223"/>
      <c r="K654" s="1223"/>
      <c r="L654" s="1223"/>
    </row>
    <row r="655" spans="2:12" ht="15.75">
      <c r="B655" s="1240"/>
      <c r="C655" s="1240"/>
      <c r="D655" s="1240"/>
      <c r="E655" s="1240"/>
      <c r="F655" s="1240"/>
      <c r="G655" s="1240"/>
      <c r="H655" s="1240"/>
      <c r="I655" s="1240"/>
      <c r="J655" s="1240"/>
      <c r="K655" s="1240"/>
      <c r="L655" s="1240"/>
    </row>
    <row r="656" spans="2:12" ht="15" customHeight="1">
      <c r="B656" s="1224"/>
      <c r="C656" s="1224"/>
      <c r="D656" s="1224"/>
      <c r="E656" s="1224"/>
      <c r="F656" s="1224"/>
      <c r="H656" s="1225"/>
      <c r="I656" s="1225"/>
      <c r="J656" s="1225"/>
      <c r="K656" s="1225"/>
      <c r="L656" s="1225"/>
    </row>
    <row r="657" spans="1:12">
      <c r="B657" s="1224"/>
      <c r="C657" s="1224"/>
      <c r="D657" s="1224"/>
      <c r="E657" s="1224"/>
      <c r="F657" s="1224"/>
      <c r="H657" s="1225"/>
      <c r="I657" s="1225"/>
      <c r="J657" s="1225"/>
      <c r="K657" s="1225"/>
      <c r="L657" s="1225"/>
    </row>
    <row r="659" spans="1:12">
      <c r="B659" s="2"/>
      <c r="H659" s="2"/>
    </row>
    <row r="661" spans="1:12">
      <c r="B661" s="2"/>
      <c r="H661" s="2"/>
    </row>
    <row r="664" spans="1:12">
      <c r="B664" s="1226"/>
      <c r="C664" s="1226"/>
      <c r="D664" s="1226"/>
      <c r="E664" s="1226"/>
      <c r="F664" s="1226"/>
      <c r="H664" s="1226"/>
      <c r="I664" s="1226"/>
      <c r="J664" s="1226"/>
      <c r="K664" s="1226"/>
      <c r="L664" s="1226"/>
    </row>
    <row r="666" spans="1:12">
      <c r="H666" s="2"/>
      <c r="I666" s="2"/>
      <c r="J666" s="2"/>
      <c r="K666" s="2"/>
      <c r="L666" s="2"/>
    </row>
    <row r="667" spans="1:12">
      <c r="H667" s="2"/>
      <c r="I667" s="2"/>
      <c r="J667" s="2"/>
      <c r="K667" s="2"/>
      <c r="L667" s="2"/>
    </row>
    <row r="668" spans="1:12">
      <c r="B668" s="2"/>
      <c r="H668" s="2"/>
      <c r="I668" s="2"/>
      <c r="J668" s="2"/>
      <c r="K668" s="2"/>
      <c r="L668" s="2"/>
    </row>
    <row r="669" spans="1:12">
      <c r="H669" s="2"/>
      <c r="I669" s="2"/>
      <c r="J669" s="2"/>
      <c r="K669" s="2"/>
      <c r="L669" s="2"/>
    </row>
    <row r="670" spans="1:12">
      <c r="H670" s="2"/>
      <c r="I670" s="2"/>
      <c r="J670" s="2"/>
      <c r="K670" s="2"/>
      <c r="L670" s="2"/>
    </row>
    <row r="671" spans="1:12" ht="27.95" customHeight="1">
      <c r="A671" s="9"/>
      <c r="B671" s="1238"/>
      <c r="C671" s="1238"/>
      <c r="D671" s="1238"/>
      <c r="E671" s="1238"/>
      <c r="F671" s="1238"/>
      <c r="G671" s="1238"/>
      <c r="H671" s="1235"/>
      <c r="I671" s="1236"/>
      <c r="J671" s="1236"/>
      <c r="K671" s="1236"/>
      <c r="L671" s="1236"/>
    </row>
    <row r="672" spans="1:12" ht="27.95" customHeight="1">
      <c r="A672" s="9"/>
      <c r="B672" s="1225"/>
      <c r="C672" s="1225"/>
      <c r="D672" s="1225"/>
      <c r="E672" s="1225"/>
      <c r="F672" s="1225"/>
      <c r="G672" s="1225"/>
      <c r="H672" s="1235"/>
      <c r="I672" s="1236"/>
      <c r="J672" s="1236"/>
      <c r="K672" s="1236"/>
      <c r="L672" s="1236"/>
    </row>
    <row r="673" spans="1:12" ht="27.95" customHeight="1">
      <c r="A673" s="9"/>
      <c r="B673" s="1238"/>
      <c r="C673" s="1238"/>
      <c r="D673" s="1238"/>
      <c r="E673" s="1238"/>
      <c r="F673" s="1238"/>
      <c r="G673" s="1238"/>
      <c r="H673" s="1235"/>
      <c r="I673" s="1236"/>
      <c r="J673" s="1236"/>
      <c r="K673" s="1236"/>
      <c r="L673" s="1236"/>
    </row>
    <row r="674" spans="1:12" ht="27.95" customHeight="1">
      <c r="A674" s="9"/>
      <c r="B674" s="1238"/>
      <c r="C674" s="1238"/>
      <c r="D674" s="1238"/>
      <c r="E674" s="1238"/>
      <c r="F674" s="1238"/>
      <c r="G674" s="1238"/>
      <c r="H674" s="1239"/>
      <c r="I674" s="1236"/>
      <c r="J674" s="1236"/>
      <c r="K674" s="1236"/>
      <c r="L674" s="1236"/>
    </row>
    <row r="675" spans="1:12" ht="27.95" customHeight="1">
      <c r="A675" s="9"/>
      <c r="B675" s="154"/>
      <c r="C675" s="150"/>
      <c r="D675" s="150"/>
      <c r="E675" s="150"/>
      <c r="F675" s="150"/>
      <c r="G675" s="150"/>
      <c r="H675" s="139"/>
      <c r="I675" s="9"/>
      <c r="J675" s="223"/>
      <c r="K675" s="139"/>
      <c r="L675" s="139"/>
    </row>
    <row r="676" spans="1:12" ht="27.95" customHeight="1">
      <c r="A676" s="9"/>
      <c r="B676" s="154"/>
      <c r="C676" s="150"/>
      <c r="D676" s="150"/>
      <c r="E676" s="150"/>
      <c r="F676" s="150"/>
      <c r="G676" s="150"/>
      <c r="H676" s="139"/>
      <c r="I676" s="139"/>
      <c r="J676" s="223"/>
      <c r="K676" s="139"/>
      <c r="L676" s="139"/>
    </row>
    <row r="677" spans="1:12" ht="27.95" customHeight="1">
      <c r="A677" s="9"/>
      <c r="B677" s="1225"/>
      <c r="C677" s="1225"/>
      <c r="D677" s="1225"/>
      <c r="E677" s="1225"/>
      <c r="F677" s="1225"/>
      <c r="G677" s="1225"/>
      <c r="H677" s="1235"/>
      <c r="I677" s="1236"/>
      <c r="J677" s="1236"/>
      <c r="K677" s="1236"/>
      <c r="L677" s="1236"/>
    </row>
    <row r="678" spans="1:12" ht="27.95" customHeight="1">
      <c r="A678" s="9"/>
      <c r="B678" s="1238"/>
      <c r="C678" s="1238"/>
      <c r="D678" s="1238"/>
      <c r="E678" s="1238"/>
      <c r="F678" s="1238"/>
      <c r="G678" s="1238"/>
      <c r="H678" s="1241"/>
      <c r="I678" s="1236"/>
      <c r="J678" s="1236"/>
      <c r="K678" s="1236"/>
      <c r="L678" s="1236"/>
    </row>
    <row r="679" spans="1:12" ht="27.95" customHeight="1">
      <c r="B679" s="1238"/>
      <c r="C679" s="1238"/>
      <c r="D679" s="1238"/>
      <c r="E679" s="1238"/>
      <c r="F679" s="1238"/>
      <c r="G679" s="1238"/>
      <c r="H679" s="1236"/>
      <c r="I679" s="1236"/>
      <c r="J679" s="1236"/>
      <c r="K679" s="1236"/>
      <c r="L679" s="1236"/>
    </row>
    <row r="680" spans="1:12" ht="27.95" customHeight="1">
      <c r="B680" s="154"/>
      <c r="C680" s="150"/>
      <c r="D680" s="150"/>
      <c r="E680" s="150"/>
      <c r="F680" s="150"/>
      <c r="G680" s="150"/>
      <c r="H680" s="139"/>
      <c r="I680" s="139"/>
      <c r="J680" s="139"/>
      <c r="K680" s="139"/>
      <c r="L680" s="139"/>
    </row>
    <row r="681" spans="1:12" ht="27.95" customHeight="1">
      <c r="B681" s="154"/>
      <c r="C681" s="150"/>
      <c r="D681" s="150"/>
      <c r="E681" s="150"/>
      <c r="F681" s="150"/>
      <c r="G681" s="150"/>
      <c r="H681" s="139"/>
      <c r="I681" s="139"/>
      <c r="J681" s="139"/>
      <c r="K681" s="139"/>
      <c r="L681" s="139"/>
    </row>
    <row r="682" spans="1:12" ht="27.95" customHeight="1">
      <c r="B682" s="154"/>
      <c r="C682" s="150"/>
      <c r="D682" s="150"/>
      <c r="E682" s="150"/>
      <c r="F682" s="150"/>
      <c r="G682" s="150"/>
      <c r="H682" s="139"/>
      <c r="I682" s="139"/>
      <c r="J682" s="140"/>
      <c r="K682" s="139"/>
      <c r="L682" s="139"/>
    </row>
    <row r="683" spans="1:12" ht="27.95" customHeight="1">
      <c r="B683" s="154"/>
      <c r="C683" s="150"/>
      <c r="D683" s="150"/>
      <c r="E683" s="150"/>
      <c r="F683" s="150"/>
      <c r="G683" s="150"/>
      <c r="H683" s="139"/>
      <c r="I683" s="139"/>
      <c r="J683" s="139"/>
      <c r="K683" s="139"/>
      <c r="L683" s="139"/>
    </row>
    <row r="684" spans="1:12" ht="27.95" customHeight="1">
      <c r="B684" s="154"/>
      <c r="C684" s="150"/>
      <c r="D684" s="150"/>
      <c r="E684" s="150"/>
      <c r="F684" s="150"/>
      <c r="G684" s="150"/>
      <c r="H684" s="139"/>
      <c r="I684" s="139"/>
      <c r="J684" s="140"/>
      <c r="K684" s="139"/>
      <c r="L684" s="139"/>
    </row>
    <row r="685" spans="1:12" ht="27.95" customHeight="1">
      <c r="B685" s="154"/>
      <c r="C685" s="150"/>
      <c r="D685" s="139"/>
      <c r="E685" s="140"/>
      <c r="F685" s="139"/>
      <c r="G685" s="140"/>
      <c r="H685" s="139"/>
      <c r="I685" s="140"/>
      <c r="J685" s="139"/>
      <c r="K685" s="140"/>
      <c r="L685" s="140"/>
    </row>
    <row r="686" spans="1:12" ht="27.95" customHeight="1">
      <c r="B686" s="154"/>
      <c r="C686" s="150"/>
      <c r="D686" s="150"/>
      <c r="E686" s="150"/>
      <c r="F686" s="150"/>
      <c r="G686" s="150"/>
      <c r="H686" s="139"/>
      <c r="I686" s="139"/>
      <c r="J686" s="224"/>
      <c r="K686" s="139"/>
      <c r="L686" s="139"/>
    </row>
    <row r="687" spans="1:12" ht="27.95" customHeight="1">
      <c r="B687" s="154"/>
      <c r="C687" s="2"/>
      <c r="D687" s="2"/>
      <c r="E687" s="2"/>
      <c r="F687" s="2"/>
      <c r="G687" s="2"/>
    </row>
    <row r="688" spans="1:12" ht="27.95" customHeight="1">
      <c r="B688" s="154"/>
      <c r="C688" s="2"/>
      <c r="D688" s="2"/>
      <c r="E688" s="2"/>
      <c r="F688" s="2"/>
      <c r="G688" s="2"/>
    </row>
    <row r="692" spans="2:12" ht="32.25">
      <c r="B692" s="1242"/>
      <c r="C692" s="1152"/>
      <c r="D692" s="1152"/>
      <c r="E692" s="1152"/>
      <c r="F692" s="1152"/>
      <c r="G692" s="1152"/>
      <c r="H692" s="1152"/>
      <c r="I692" s="1152"/>
      <c r="J692" s="1152"/>
      <c r="K692" s="1152"/>
      <c r="L692" s="1152"/>
    </row>
    <row r="693" spans="2:12" ht="23.25">
      <c r="B693" s="1223"/>
      <c r="C693" s="1223"/>
      <c r="D693" s="1223"/>
      <c r="E693" s="1223"/>
      <c r="F693" s="1223"/>
      <c r="G693" s="1223"/>
      <c r="H693" s="1223"/>
      <c r="I693" s="1223"/>
      <c r="J693" s="1223"/>
      <c r="K693" s="1223"/>
      <c r="L693" s="1223"/>
    </row>
    <row r="694" spans="2:12" ht="15.75">
      <c r="B694" s="1240"/>
      <c r="C694" s="1240"/>
      <c r="D694" s="1240"/>
      <c r="E694" s="1240"/>
      <c r="F694" s="1240"/>
      <c r="G694" s="1240"/>
      <c r="H694" s="1240"/>
      <c r="I694" s="1240"/>
      <c r="J694" s="1240"/>
      <c r="K694" s="1240"/>
      <c r="L694" s="1240"/>
    </row>
    <row r="695" spans="2:12" ht="15" customHeight="1">
      <c r="B695" s="1224"/>
      <c r="C695" s="1224"/>
      <c r="D695" s="1224"/>
      <c r="E695" s="1224"/>
      <c r="F695" s="1224"/>
      <c r="H695" s="1225"/>
      <c r="I695" s="1225"/>
      <c r="J695" s="1225"/>
      <c r="K695" s="1225"/>
      <c r="L695" s="1225"/>
    </row>
    <row r="696" spans="2:12">
      <c r="B696" s="1224"/>
      <c r="C696" s="1224"/>
      <c r="D696" s="1224"/>
      <c r="E696" s="1224"/>
      <c r="F696" s="1224"/>
      <c r="H696" s="1225"/>
      <c r="I696" s="1225"/>
      <c r="J696" s="1225"/>
      <c r="K696" s="1225"/>
      <c r="L696" s="1225"/>
    </row>
    <row r="698" spans="2:12">
      <c r="B698" s="2"/>
      <c r="H698" s="2"/>
    </row>
    <row r="700" spans="2:12">
      <c r="B700" s="2"/>
      <c r="H700" s="2"/>
    </row>
    <row r="703" spans="2:12">
      <c r="B703" s="1226"/>
      <c r="C703" s="1226"/>
      <c r="D703" s="1226"/>
      <c r="E703" s="1226"/>
      <c r="F703" s="1226"/>
      <c r="H703" s="1226"/>
      <c r="I703" s="1226"/>
      <c r="J703" s="1226"/>
      <c r="K703" s="1226"/>
      <c r="L703" s="1226"/>
    </row>
    <row r="705" spans="1:12">
      <c r="H705" s="2"/>
      <c r="I705" s="2"/>
      <c r="J705" s="2"/>
      <c r="K705" s="2"/>
      <c r="L705" s="2"/>
    </row>
    <row r="706" spans="1:12">
      <c r="H706" s="2"/>
      <c r="I706" s="2"/>
      <c r="J706" s="2"/>
      <c r="K706" s="2"/>
      <c r="L706" s="2"/>
    </row>
    <row r="707" spans="1:12">
      <c r="B707" s="2"/>
      <c r="H707" s="2"/>
      <c r="I707" s="2"/>
      <c r="J707" s="2"/>
      <c r="K707" s="2"/>
      <c r="L707" s="2"/>
    </row>
    <row r="708" spans="1:12">
      <c r="H708" s="2"/>
      <c r="I708" s="2"/>
      <c r="J708" s="2"/>
      <c r="K708" s="2"/>
      <c r="L708" s="2"/>
    </row>
    <row r="709" spans="1:12">
      <c r="H709" s="2"/>
      <c r="I709" s="2"/>
      <c r="J709" s="2"/>
      <c r="K709" s="2"/>
      <c r="L709" s="2"/>
    </row>
    <row r="710" spans="1:12" ht="27.95" customHeight="1">
      <c r="A710" s="9"/>
      <c r="B710" s="1238"/>
      <c r="C710" s="1238"/>
      <c r="D710" s="1238"/>
      <c r="E710" s="1238"/>
      <c r="F710" s="1238"/>
      <c r="G710" s="1238"/>
      <c r="H710" s="1235"/>
      <c r="I710" s="1236"/>
      <c r="J710" s="1236"/>
      <c r="K710" s="1236"/>
      <c r="L710" s="1236"/>
    </row>
    <row r="711" spans="1:12" ht="27.95" customHeight="1">
      <c r="A711" s="9"/>
      <c r="B711" s="1225"/>
      <c r="C711" s="1225"/>
      <c r="D711" s="1225"/>
      <c r="E711" s="1225"/>
      <c r="F711" s="1225"/>
      <c r="G711" s="1225"/>
      <c r="H711" s="1235"/>
      <c r="I711" s="1236"/>
      <c r="J711" s="1236"/>
      <c r="K711" s="1236"/>
      <c r="L711" s="1236"/>
    </row>
    <row r="712" spans="1:12" ht="27.95" customHeight="1">
      <c r="A712" s="9"/>
      <c r="B712" s="1238"/>
      <c r="C712" s="1238"/>
      <c r="D712" s="1238"/>
      <c r="E712" s="1238"/>
      <c r="F712" s="1238"/>
      <c r="G712" s="1238"/>
      <c r="H712" s="1235"/>
      <c r="I712" s="1236"/>
      <c r="J712" s="1236"/>
      <c r="K712" s="1236"/>
      <c r="L712" s="1236"/>
    </row>
    <row r="713" spans="1:12" ht="27.95" customHeight="1">
      <c r="A713" s="9"/>
      <c r="B713" s="1238"/>
      <c r="C713" s="1238"/>
      <c r="D713" s="1238"/>
      <c r="E713" s="1238"/>
      <c r="F713" s="1238"/>
      <c r="G713" s="1238"/>
      <c r="H713" s="1239"/>
      <c r="I713" s="1236"/>
      <c r="J713" s="1236"/>
      <c r="K713" s="1236"/>
      <c r="L713" s="1236"/>
    </row>
    <row r="714" spans="1:12" ht="27.95" customHeight="1">
      <c r="A714" s="9"/>
      <c r="B714" s="154"/>
      <c r="C714" s="150"/>
      <c r="D714" s="150"/>
      <c r="E714" s="150"/>
      <c r="F714" s="150"/>
      <c r="G714" s="150"/>
      <c r="H714" s="139"/>
      <c r="I714" s="9"/>
      <c r="J714" s="223"/>
      <c r="K714" s="139"/>
      <c r="L714" s="139"/>
    </row>
    <row r="715" spans="1:12" ht="27.95" customHeight="1">
      <c r="A715" s="9"/>
      <c r="B715" s="154"/>
      <c r="C715" s="150"/>
      <c r="D715" s="150"/>
      <c r="E715" s="150"/>
      <c r="F715" s="150"/>
      <c r="G715" s="150"/>
      <c r="H715" s="139"/>
      <c r="I715" s="139"/>
      <c r="J715" s="223"/>
      <c r="K715" s="139"/>
      <c r="L715" s="139"/>
    </row>
    <row r="716" spans="1:12" ht="27.95" customHeight="1">
      <c r="A716" s="9"/>
      <c r="B716" s="1225"/>
      <c r="C716" s="1225"/>
      <c r="D716" s="1225"/>
      <c r="E716" s="1225"/>
      <c r="F716" s="1225"/>
      <c r="G716" s="1225"/>
      <c r="H716" s="1235"/>
      <c r="I716" s="1236"/>
      <c r="J716" s="1236"/>
      <c r="K716" s="1236"/>
      <c r="L716" s="1236"/>
    </row>
    <row r="717" spans="1:12" ht="27.95" customHeight="1">
      <c r="A717" s="9"/>
      <c r="B717" s="1238"/>
      <c r="C717" s="1238"/>
      <c r="D717" s="1238"/>
      <c r="E717" s="1238"/>
      <c r="F717" s="1238"/>
      <c r="G717" s="1238"/>
      <c r="H717" s="1241"/>
      <c r="I717" s="1236"/>
      <c r="J717" s="1236"/>
      <c r="K717" s="1236"/>
      <c r="L717" s="1236"/>
    </row>
    <row r="718" spans="1:12" ht="27.95" customHeight="1">
      <c r="B718" s="1238"/>
      <c r="C718" s="1238"/>
      <c r="D718" s="1238"/>
      <c r="E718" s="1238"/>
      <c r="F718" s="1238"/>
      <c r="G718" s="1238"/>
      <c r="H718" s="1236"/>
      <c r="I718" s="1236"/>
      <c r="J718" s="1236"/>
      <c r="K718" s="1236"/>
      <c r="L718" s="1236"/>
    </row>
    <row r="719" spans="1:12" ht="27.95" customHeight="1">
      <c r="B719" s="154"/>
      <c r="C719" s="150"/>
      <c r="D719" s="150"/>
      <c r="E719" s="150"/>
      <c r="F719" s="150"/>
      <c r="G719" s="150"/>
      <c r="H719" s="139"/>
      <c r="I719" s="139"/>
      <c r="J719" s="139"/>
      <c r="K719" s="139"/>
      <c r="L719" s="139"/>
    </row>
    <row r="720" spans="1:12" ht="27.95" customHeight="1">
      <c r="B720" s="154"/>
      <c r="C720" s="150"/>
      <c r="D720" s="150"/>
      <c r="E720" s="150"/>
      <c r="F720" s="150"/>
      <c r="G720" s="150"/>
      <c r="H720" s="139"/>
      <c r="I720" s="139"/>
      <c r="J720" s="139"/>
      <c r="K720" s="139"/>
      <c r="L720" s="139"/>
    </row>
    <row r="721" spans="2:12" ht="27.95" customHeight="1">
      <c r="B721" s="154"/>
      <c r="C721" s="150"/>
      <c r="D721" s="150"/>
      <c r="E721" s="150"/>
      <c r="F721" s="150"/>
      <c r="G721" s="150"/>
      <c r="H721" s="139"/>
      <c r="I721" s="139"/>
      <c r="J721" s="140"/>
      <c r="K721" s="139"/>
      <c r="L721" s="139"/>
    </row>
    <row r="722" spans="2:12" ht="27.95" customHeight="1">
      <c r="B722" s="154"/>
      <c r="C722" s="150"/>
      <c r="D722" s="150"/>
      <c r="E722" s="150"/>
      <c r="F722" s="150"/>
      <c r="G722" s="150"/>
      <c r="H722" s="139"/>
      <c r="I722" s="139"/>
      <c r="J722" s="139"/>
      <c r="K722" s="139"/>
      <c r="L722" s="139"/>
    </row>
    <row r="723" spans="2:12" ht="27.95" customHeight="1">
      <c r="B723" s="154"/>
      <c r="C723" s="150"/>
      <c r="D723" s="150"/>
      <c r="E723" s="150"/>
      <c r="F723" s="150"/>
      <c r="G723" s="150"/>
      <c r="H723" s="139"/>
      <c r="I723" s="139"/>
      <c r="J723" s="140"/>
      <c r="K723" s="139"/>
      <c r="L723" s="139"/>
    </row>
    <row r="724" spans="2:12" ht="27.95" customHeight="1">
      <c r="B724" s="154"/>
      <c r="C724" s="150"/>
      <c r="D724" s="139"/>
      <c r="E724" s="140"/>
      <c r="F724" s="139"/>
      <c r="G724" s="140"/>
      <c r="H724" s="139"/>
      <c r="I724" s="140"/>
      <c r="J724" s="139"/>
      <c r="K724" s="140"/>
      <c r="L724" s="140"/>
    </row>
    <row r="725" spans="2:12" ht="27.95" customHeight="1">
      <c r="B725" s="154"/>
      <c r="C725" s="150"/>
      <c r="D725" s="150"/>
      <c r="E725" s="150"/>
      <c r="F725" s="150"/>
      <c r="G725" s="150"/>
      <c r="H725" s="139"/>
      <c r="I725" s="139"/>
      <c r="J725" s="224"/>
      <c r="K725" s="139"/>
      <c r="L725" s="139"/>
    </row>
    <row r="726" spans="2:12" ht="27.95" customHeight="1">
      <c r="B726" s="154"/>
      <c r="C726" s="2"/>
      <c r="D726" s="2"/>
      <c r="E726" s="2"/>
      <c r="F726" s="2"/>
      <c r="G726" s="2"/>
    </row>
    <row r="727" spans="2:12" ht="27.95" customHeight="1">
      <c r="B727" s="154"/>
      <c r="C727" s="2"/>
      <c r="D727" s="2"/>
      <c r="E727" s="2"/>
      <c r="F727" s="2"/>
      <c r="G727" s="2"/>
    </row>
    <row r="731" spans="2:12" ht="32.25">
      <c r="B731" s="1242"/>
      <c r="C731" s="1152"/>
      <c r="D731" s="1152"/>
      <c r="E731" s="1152"/>
      <c r="F731" s="1152"/>
      <c r="G731" s="1152"/>
      <c r="H731" s="1152"/>
      <c r="I731" s="1152"/>
      <c r="J731" s="1152"/>
      <c r="K731" s="1152"/>
      <c r="L731" s="1152"/>
    </row>
    <row r="732" spans="2:12" ht="23.25">
      <c r="B732" s="1223"/>
      <c r="C732" s="1223"/>
      <c r="D732" s="1223"/>
      <c r="E732" s="1223"/>
      <c r="F732" s="1223"/>
      <c r="G732" s="1223"/>
      <c r="H732" s="1223"/>
      <c r="I732" s="1223"/>
      <c r="J732" s="1223"/>
      <c r="K732" s="1223"/>
      <c r="L732" s="1223"/>
    </row>
    <row r="733" spans="2:12" ht="15.75">
      <c r="B733" s="1240"/>
      <c r="C733" s="1240"/>
      <c r="D733" s="1240"/>
      <c r="E733" s="1240"/>
      <c r="F733" s="1240"/>
      <c r="G733" s="1240"/>
      <c r="H733" s="1240"/>
      <c r="I733" s="1240"/>
      <c r="J733" s="1240"/>
      <c r="K733" s="1240"/>
      <c r="L733" s="1240"/>
    </row>
    <row r="734" spans="2:12" ht="15" customHeight="1">
      <c r="B734" s="1224"/>
      <c r="C734" s="1224"/>
      <c r="D734" s="1224"/>
      <c r="E734" s="1224"/>
      <c r="F734" s="1224"/>
      <c r="H734" s="1225"/>
      <c r="I734" s="1225"/>
      <c r="J734" s="1225"/>
      <c r="K734" s="1225"/>
      <c r="L734" s="1225"/>
    </row>
    <row r="735" spans="2:12">
      <c r="B735" s="1224"/>
      <c r="C735" s="1224"/>
      <c r="D735" s="1224"/>
      <c r="E735" s="1224"/>
      <c r="F735" s="1224"/>
      <c r="H735" s="1225"/>
      <c r="I735" s="1225"/>
      <c r="J735" s="1225"/>
      <c r="K735" s="1225"/>
      <c r="L735" s="1225"/>
    </row>
    <row r="737" spans="1:12">
      <c r="B737" s="2"/>
      <c r="H737" s="2"/>
    </row>
    <row r="739" spans="1:12">
      <c r="B739" s="2"/>
      <c r="H739" s="2"/>
    </row>
    <row r="740" spans="1:12" ht="15" customHeight="1"/>
    <row r="742" spans="1:12">
      <c r="B742" s="1226"/>
      <c r="C742" s="1226"/>
      <c r="D742" s="1226"/>
      <c r="E742" s="1226"/>
      <c r="F742" s="1226"/>
      <c r="H742" s="1226"/>
      <c r="I742" s="1226"/>
      <c r="J742" s="1226"/>
      <c r="K742" s="1226"/>
      <c r="L742" s="1226"/>
    </row>
    <row r="744" spans="1:12">
      <c r="H744" s="2"/>
      <c r="I744" s="2"/>
      <c r="J744" s="2"/>
      <c r="K744" s="2"/>
      <c r="L744" s="2"/>
    </row>
    <row r="745" spans="1:12">
      <c r="H745" s="2"/>
      <c r="I745" s="2"/>
      <c r="J745" s="2"/>
      <c r="K745" s="2"/>
      <c r="L745" s="2"/>
    </row>
    <row r="746" spans="1:12">
      <c r="B746" s="2"/>
      <c r="H746" s="2"/>
      <c r="I746" s="2"/>
      <c r="J746" s="2"/>
      <c r="K746" s="2"/>
      <c r="L746" s="2"/>
    </row>
    <row r="747" spans="1:12">
      <c r="H747" s="2"/>
      <c r="I747" s="2"/>
      <c r="J747" s="2"/>
      <c r="K747" s="2"/>
      <c r="L747" s="2"/>
    </row>
    <row r="748" spans="1:12">
      <c r="H748" s="2"/>
      <c r="I748" s="2"/>
      <c r="J748" s="2"/>
      <c r="K748" s="2"/>
      <c r="L748" s="2"/>
    </row>
    <row r="749" spans="1:12" ht="27.95" customHeight="1">
      <c r="A749" s="9"/>
      <c r="B749" s="1238"/>
      <c r="C749" s="1238"/>
      <c r="D749" s="1238"/>
      <c r="E749" s="1238"/>
      <c r="F749" s="1238"/>
      <c r="G749" s="1238"/>
      <c r="H749" s="1235"/>
      <c r="I749" s="1236"/>
      <c r="J749" s="1236"/>
      <c r="K749" s="1236"/>
      <c r="L749" s="1236"/>
    </row>
    <row r="750" spans="1:12" ht="27.95" customHeight="1">
      <c r="A750" s="9"/>
      <c r="B750" s="1225"/>
      <c r="C750" s="1225"/>
      <c r="D750" s="1225"/>
      <c r="E750" s="1225"/>
      <c r="F750" s="1225"/>
      <c r="G750" s="1225"/>
      <c r="H750" s="1235"/>
      <c r="I750" s="1236"/>
      <c r="J750" s="1236"/>
      <c r="K750" s="1236"/>
      <c r="L750" s="1236"/>
    </row>
    <row r="751" spans="1:12" ht="27.95" customHeight="1">
      <c r="A751" s="9"/>
      <c r="B751" s="1238"/>
      <c r="C751" s="1238"/>
      <c r="D751" s="1238"/>
      <c r="E751" s="1238"/>
      <c r="F751" s="1238"/>
      <c r="G751" s="1238"/>
      <c r="H751" s="1235"/>
      <c r="I751" s="1236"/>
      <c r="J751" s="1236"/>
      <c r="K751" s="1236"/>
      <c r="L751" s="1236"/>
    </row>
    <row r="752" spans="1:12" ht="27.95" customHeight="1">
      <c r="A752" s="9"/>
      <c r="B752" s="1238"/>
      <c r="C752" s="1238"/>
      <c r="D752" s="1238"/>
      <c r="E752" s="1238"/>
      <c r="F752" s="1238"/>
      <c r="G752" s="1238"/>
      <c r="H752" s="1239"/>
      <c r="I752" s="1236"/>
      <c r="J752" s="1236"/>
      <c r="K752" s="1236"/>
      <c r="L752" s="1236"/>
    </row>
    <row r="753" spans="1:12" ht="27.95" customHeight="1">
      <c r="A753" s="9"/>
      <c r="B753" s="154"/>
      <c r="C753" s="150"/>
      <c r="D753" s="150"/>
      <c r="E753" s="150"/>
      <c r="F753" s="150"/>
      <c r="G753" s="150"/>
      <c r="H753" s="139"/>
      <c r="I753" s="9"/>
      <c r="J753" s="223"/>
      <c r="K753" s="139"/>
      <c r="L753" s="139"/>
    </row>
    <row r="754" spans="1:12" ht="27.95" customHeight="1">
      <c r="A754" s="9"/>
      <c r="B754" s="154"/>
      <c r="C754" s="150"/>
      <c r="D754" s="150"/>
      <c r="E754" s="150"/>
      <c r="F754" s="150"/>
      <c r="G754" s="150"/>
      <c r="H754" s="139"/>
      <c r="I754" s="139"/>
      <c r="J754" s="223"/>
      <c r="K754" s="139"/>
      <c r="L754" s="139"/>
    </row>
    <row r="755" spans="1:12" ht="27.95" customHeight="1">
      <c r="A755" s="9"/>
      <c r="B755" s="1225"/>
      <c r="C755" s="1225"/>
      <c r="D755" s="1225"/>
      <c r="E755" s="1225"/>
      <c r="F755" s="1225"/>
      <c r="G755" s="1225"/>
      <c r="H755" s="1235"/>
      <c r="I755" s="1236"/>
      <c r="J755" s="1236"/>
      <c r="K755" s="1236"/>
      <c r="L755" s="1236"/>
    </row>
    <row r="756" spans="1:12" ht="27.95" customHeight="1">
      <c r="A756" s="9"/>
      <c r="B756" s="1238"/>
      <c r="C756" s="1238"/>
      <c r="D756" s="1238"/>
      <c r="E756" s="1238"/>
      <c r="F756" s="1238"/>
      <c r="G756" s="1238"/>
      <c r="H756" s="1241"/>
      <c r="I756" s="1236"/>
      <c r="J756" s="1236"/>
      <c r="K756" s="1236"/>
      <c r="L756" s="1236"/>
    </row>
    <row r="757" spans="1:12" ht="27.95" customHeight="1">
      <c r="B757" s="1238"/>
      <c r="C757" s="1238"/>
      <c r="D757" s="1238"/>
      <c r="E757" s="1238"/>
      <c r="F757" s="1238"/>
      <c r="G757" s="1238"/>
      <c r="H757" s="1236"/>
      <c r="I757" s="1236"/>
      <c r="J757" s="1236"/>
      <c r="K757" s="1236"/>
      <c r="L757" s="1236"/>
    </row>
    <row r="758" spans="1:12" ht="27.95" customHeight="1">
      <c r="B758" s="154"/>
      <c r="C758" s="150"/>
      <c r="D758" s="150"/>
      <c r="E758" s="150"/>
      <c r="F758" s="150"/>
      <c r="G758" s="150"/>
      <c r="H758" s="139"/>
      <c r="I758" s="139"/>
      <c r="J758" s="139"/>
      <c r="K758" s="139"/>
      <c r="L758" s="139"/>
    </row>
    <row r="759" spans="1:12" ht="27.95" customHeight="1">
      <c r="B759" s="154"/>
      <c r="C759" s="150"/>
      <c r="D759" s="150"/>
      <c r="E759" s="150"/>
      <c r="F759" s="150"/>
      <c r="G759" s="150"/>
      <c r="H759" s="139"/>
      <c r="I759" s="139"/>
      <c r="J759" s="139"/>
      <c r="K759" s="139"/>
      <c r="L759" s="139"/>
    </row>
    <row r="760" spans="1:12" ht="27.95" customHeight="1">
      <c r="B760" s="154"/>
      <c r="C760" s="150"/>
      <c r="D760" s="150"/>
      <c r="E760" s="150"/>
      <c r="F760" s="150"/>
      <c r="G760" s="150"/>
      <c r="H760" s="139"/>
      <c r="I760" s="139"/>
      <c r="J760" s="140"/>
      <c r="K760" s="139"/>
      <c r="L760" s="139"/>
    </row>
    <row r="761" spans="1:12" ht="27.95" customHeight="1">
      <c r="B761" s="154"/>
      <c r="C761" s="150"/>
      <c r="D761" s="150"/>
      <c r="E761" s="150"/>
      <c r="F761" s="150"/>
      <c r="G761" s="150"/>
      <c r="H761" s="139"/>
      <c r="I761" s="139"/>
      <c r="J761" s="139"/>
      <c r="K761" s="139"/>
      <c r="L761" s="139"/>
    </row>
    <row r="762" spans="1:12" ht="27.95" customHeight="1">
      <c r="B762" s="154"/>
      <c r="C762" s="150"/>
      <c r="D762" s="150"/>
      <c r="E762" s="150"/>
      <c r="F762" s="150"/>
      <c r="G762" s="150"/>
      <c r="H762" s="139"/>
      <c r="I762" s="139"/>
      <c r="J762" s="140"/>
      <c r="K762" s="139"/>
      <c r="L762" s="139"/>
    </row>
    <row r="763" spans="1:12" ht="27.95" customHeight="1">
      <c r="B763" s="154"/>
      <c r="C763" s="150"/>
      <c r="D763" s="139"/>
      <c r="E763" s="140"/>
      <c r="F763" s="139"/>
      <c r="G763" s="140"/>
      <c r="H763" s="139"/>
      <c r="I763" s="140"/>
      <c r="J763" s="139"/>
      <c r="K763" s="140"/>
      <c r="L763" s="140"/>
    </row>
    <row r="764" spans="1:12" ht="27.95" customHeight="1">
      <c r="B764" s="154"/>
      <c r="C764" s="150"/>
      <c r="D764" s="150"/>
      <c r="E764" s="150"/>
      <c r="F764" s="150"/>
      <c r="G764" s="150"/>
      <c r="H764" s="139"/>
      <c r="I764" s="139"/>
      <c r="J764" s="224"/>
      <c r="K764" s="139"/>
      <c r="L764" s="139"/>
    </row>
    <row r="765" spans="1:12" ht="27.95" customHeight="1">
      <c r="B765" s="154"/>
      <c r="C765" s="2"/>
      <c r="D765" s="2"/>
      <c r="E765" s="2"/>
      <c r="F765" s="2"/>
      <c r="G765" s="2"/>
    </row>
    <row r="766" spans="1:12" ht="27.95" customHeight="1">
      <c r="B766" s="154"/>
      <c r="C766" s="2"/>
      <c r="D766" s="2"/>
      <c r="E766" s="2"/>
      <c r="F766" s="2"/>
      <c r="G766" s="2"/>
    </row>
  </sheetData>
  <mergeCells count="571">
    <mergeCell ref="B755:G755"/>
    <mergeCell ref="H755:L755"/>
    <mergeCell ref="B756:G756"/>
    <mergeCell ref="H756:L756"/>
    <mergeCell ref="B757:G757"/>
    <mergeCell ref="H757:L757"/>
    <mergeCell ref="B750:G750"/>
    <mergeCell ref="H750:L750"/>
    <mergeCell ref="B751:G751"/>
    <mergeCell ref="H751:L751"/>
    <mergeCell ref="B752:G752"/>
    <mergeCell ref="H752:L752"/>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12:G712"/>
    <mergeCell ref="H712:L712"/>
    <mergeCell ref="B713:G713"/>
    <mergeCell ref="H713:L713"/>
    <mergeCell ref="B716:G716"/>
    <mergeCell ref="H716:L716"/>
    <mergeCell ref="B703:F703"/>
    <mergeCell ref="H703:L703"/>
    <mergeCell ref="B710:G710"/>
    <mergeCell ref="H710:L710"/>
    <mergeCell ref="B711:G711"/>
    <mergeCell ref="H711:L711"/>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B477:F477"/>
    <mergeCell ref="G477:H477"/>
    <mergeCell ref="I477:K477"/>
    <mergeCell ref="B487:L487"/>
    <mergeCell ref="B488:L488"/>
    <mergeCell ref="B490:G490"/>
    <mergeCell ref="H490:L490"/>
    <mergeCell ref="B491:G491"/>
    <mergeCell ref="H491:L4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386:G386"/>
    <mergeCell ref="H386:L386"/>
    <mergeCell ref="B387:G387"/>
    <mergeCell ref="H387:L387"/>
    <mergeCell ref="H388:L388"/>
    <mergeCell ref="B390:G390"/>
    <mergeCell ref="H390:L390"/>
    <mergeCell ref="B391:G391"/>
    <mergeCell ref="H391:L391"/>
    <mergeCell ref="G360:H360"/>
    <mergeCell ref="K360:L360"/>
    <mergeCell ref="B366:F366"/>
    <mergeCell ref="G366:H366"/>
    <mergeCell ref="I366:K366"/>
    <mergeCell ref="B367:F367"/>
    <mergeCell ref="G367:H367"/>
    <mergeCell ref="I367:K367"/>
    <mergeCell ref="B368:F368"/>
    <mergeCell ref="G368:H368"/>
    <mergeCell ref="I368:K368"/>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218:L218"/>
    <mergeCell ref="B219:L219"/>
    <mergeCell ref="B222:G222"/>
    <mergeCell ref="H222:L222"/>
    <mergeCell ref="B223:G223"/>
    <mergeCell ref="H223:L223"/>
    <mergeCell ref="B224:G224"/>
    <mergeCell ref="H224:L224"/>
    <mergeCell ref="B225:G225"/>
    <mergeCell ref="H225:L225"/>
    <mergeCell ref="B205:F205"/>
    <mergeCell ref="G205:H205"/>
    <mergeCell ref="I205:K205"/>
    <mergeCell ref="B206:F206"/>
    <mergeCell ref="G206:H206"/>
    <mergeCell ref="I206:K206"/>
    <mergeCell ref="B207:F207"/>
    <mergeCell ref="G207:H207"/>
    <mergeCell ref="I207:K207"/>
    <mergeCell ref="B170:G170"/>
    <mergeCell ref="H170:L170"/>
    <mergeCell ref="B171:G171"/>
    <mergeCell ref="H171:L171"/>
    <mergeCell ref="H172:L172"/>
    <mergeCell ref="B174:G174"/>
    <mergeCell ref="H174:L174"/>
    <mergeCell ref="B175:G175"/>
    <mergeCell ref="H175:L175"/>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61:G61"/>
    <mergeCell ref="H61:L61"/>
    <mergeCell ref="B62:G62"/>
    <mergeCell ref="H62:L62"/>
    <mergeCell ref="B63:G63"/>
    <mergeCell ref="H63:L63"/>
    <mergeCell ref="H64:L64"/>
    <mergeCell ref="B66:G66"/>
    <mergeCell ref="H66:L66"/>
    <mergeCell ref="B44:F44"/>
    <mergeCell ref="G44:H44"/>
    <mergeCell ref="I44:K44"/>
    <mergeCell ref="B45:F45"/>
    <mergeCell ref="G45:H45"/>
    <mergeCell ref="I45:K45"/>
    <mergeCell ref="B42:F42"/>
    <mergeCell ref="G42:H42"/>
    <mergeCell ref="I42:K42"/>
    <mergeCell ref="B43:F43"/>
    <mergeCell ref="G43:H43"/>
    <mergeCell ref="I43:K43"/>
    <mergeCell ref="K34:L34"/>
    <mergeCell ref="G35:H35"/>
    <mergeCell ref="K35:L35"/>
    <mergeCell ref="G36:H36"/>
    <mergeCell ref="K36:L36"/>
    <mergeCell ref="C31:H31"/>
    <mergeCell ref="J31:L31"/>
    <mergeCell ref="G32:H32"/>
    <mergeCell ref="K32:L32"/>
    <mergeCell ref="G33:H33"/>
    <mergeCell ref="K33:L33"/>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B176:G176"/>
    <mergeCell ref="H176:L176"/>
    <mergeCell ref="G180:H180"/>
    <mergeCell ref="K180:L180"/>
    <mergeCell ref="C193:H193"/>
    <mergeCell ref="J193:L193"/>
    <mergeCell ref="G194:H194"/>
    <mergeCell ref="K194:L194"/>
    <mergeCell ref="G195:H195"/>
    <mergeCell ref="K195:L195"/>
    <mergeCell ref="G196:H196"/>
    <mergeCell ref="K196:L196"/>
    <mergeCell ref="G197:H197"/>
    <mergeCell ref="K197:L197"/>
    <mergeCell ref="G198:H198"/>
    <mergeCell ref="K198:L198"/>
    <mergeCell ref="B204:F204"/>
    <mergeCell ref="G204:H204"/>
    <mergeCell ref="I204:K204"/>
    <mergeCell ref="G250:H250"/>
    <mergeCell ref="K250:L250"/>
    <mergeCell ref="G251:H251"/>
    <mergeCell ref="K251:L251"/>
    <mergeCell ref="G252:H252"/>
    <mergeCell ref="K252:L252"/>
    <mergeCell ref="B258:F258"/>
    <mergeCell ref="G258:H258"/>
    <mergeCell ref="I258:K258"/>
    <mergeCell ref="B259:F259"/>
    <mergeCell ref="G259:H259"/>
    <mergeCell ref="I259:K259"/>
    <mergeCell ref="B260:F260"/>
    <mergeCell ref="G260:H260"/>
    <mergeCell ref="I260:K260"/>
    <mergeCell ref="B272:L272"/>
    <mergeCell ref="B273:L273"/>
    <mergeCell ref="B275:G275"/>
    <mergeCell ref="H275:L275"/>
    <mergeCell ref="B276:G276"/>
    <mergeCell ref="H276:L276"/>
    <mergeCell ref="B277:G277"/>
    <mergeCell ref="H277:L277"/>
    <mergeCell ref="B278:G278"/>
    <mergeCell ref="H278:L278"/>
    <mergeCell ref="H279:L279"/>
    <mergeCell ref="B281:G281"/>
    <mergeCell ref="H281:L281"/>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369:F369"/>
    <mergeCell ref="G369:H369"/>
    <mergeCell ref="I369:K369"/>
    <mergeCell ref="B380:L380"/>
    <mergeCell ref="B381:L381"/>
    <mergeCell ref="B384:G384"/>
    <mergeCell ref="H384:L384"/>
    <mergeCell ref="B385:G385"/>
    <mergeCell ref="H385:L385"/>
    <mergeCell ref="K412:L412"/>
    <mergeCell ref="G414:H414"/>
    <mergeCell ref="K414:L414"/>
    <mergeCell ref="B420:F420"/>
    <mergeCell ref="G420:H420"/>
    <mergeCell ref="I420:K420"/>
    <mergeCell ref="B421:F421"/>
    <mergeCell ref="G421:H421"/>
    <mergeCell ref="I421:K421"/>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775"/>
  <sheetViews>
    <sheetView topLeftCell="A49" zoomScale="110" zoomScaleNormal="110" workbookViewId="0">
      <selection activeCell="H11" sqref="H11:L11"/>
    </sheetView>
  </sheetViews>
  <sheetFormatPr defaultRowHeight="15"/>
  <cols>
    <col min="6" max="6" width="16.85546875" customWidth="1"/>
    <col min="10" max="10" width="14.5703125" customWidth="1"/>
    <col min="12" max="12" width="22.7109375" customWidth="1"/>
  </cols>
  <sheetData>
    <row r="1" spans="1:14" ht="15" customHeight="1">
      <c r="A1" s="73"/>
      <c r="B1" s="74"/>
      <c r="C1" s="74"/>
      <c r="D1" s="74"/>
      <c r="E1" s="74"/>
      <c r="F1" s="74"/>
      <c r="G1" s="74"/>
      <c r="H1" s="74"/>
      <c r="I1" s="78" t="s">
        <v>233</v>
      </c>
      <c r="J1" s="74"/>
      <c r="K1" s="74"/>
      <c r="L1" s="75"/>
    </row>
    <row r="2" spans="1:14" ht="16.5" customHeight="1">
      <c r="A2" s="12"/>
      <c r="B2" s="1273" t="s">
        <v>288</v>
      </c>
      <c r="C2" s="1273"/>
      <c r="D2" s="1273"/>
      <c r="E2" s="1273"/>
      <c r="F2" s="1273"/>
      <c r="G2" s="1273"/>
      <c r="H2" s="1273"/>
      <c r="I2" s="1273"/>
      <c r="J2" s="1273"/>
      <c r="K2" s="1273"/>
      <c r="L2" s="1274"/>
    </row>
    <row r="3" spans="1:14" ht="23.25">
      <c r="A3" s="12"/>
      <c r="B3" s="183"/>
      <c r="C3" s="183"/>
      <c r="D3" s="191" t="s">
        <v>235</v>
      </c>
      <c r="E3" s="183"/>
      <c r="F3" s="183"/>
      <c r="G3" s="183"/>
      <c r="H3" s="183"/>
      <c r="I3" s="185" t="s">
        <v>289</v>
      </c>
      <c r="J3" s="186"/>
      <c r="K3" s="267" t="e">
        <f>'0422Master'!#REF!</f>
        <v>#REF!</v>
      </c>
      <c r="L3" s="216"/>
    </row>
    <row r="4" spans="1:14" ht="15.75">
      <c r="A4" s="12"/>
      <c r="B4" s="1"/>
      <c r="C4" s="1" t="s">
        <v>236</v>
      </c>
      <c r="E4" s="1"/>
      <c r="F4" s="1"/>
      <c r="G4" s="1"/>
      <c r="H4" s="1"/>
      <c r="I4" s="184" t="s">
        <v>290</v>
      </c>
      <c r="J4" s="205" t="str">
        <f>'0422Master'!F5</f>
        <v>Burgeon IT Services Pvt.Ltd.</v>
      </c>
      <c r="K4" s="187"/>
      <c r="L4" s="217"/>
    </row>
    <row r="5" spans="1:14" ht="15" customHeight="1">
      <c r="A5" s="12"/>
      <c r="B5" s="192"/>
      <c r="C5" s="161" t="s">
        <v>237</v>
      </c>
      <c r="E5" s="192"/>
      <c r="F5" s="192"/>
      <c r="H5" s="162"/>
      <c r="I5" s="208" t="str">
        <f>'0422Master'!F6</f>
        <v>Siri Mansion LIGB 436 Dr.A S Rao Nagar,Hyderabad</v>
      </c>
      <c r="J5" s="206"/>
      <c r="K5" s="207"/>
      <c r="L5" s="171"/>
    </row>
    <row r="6" spans="1:14" ht="15" customHeight="1">
      <c r="A6" s="12"/>
      <c r="B6" s="192"/>
      <c r="C6" s="161"/>
      <c r="E6" s="192"/>
      <c r="F6" s="192"/>
      <c r="H6" s="162"/>
      <c r="I6" s="209"/>
      <c r="J6" s="215"/>
      <c r="K6" s="215"/>
      <c r="L6" s="13"/>
    </row>
    <row r="7" spans="1:14">
      <c r="A7" s="12"/>
      <c r="L7" s="13"/>
    </row>
    <row r="8" spans="1:14" ht="26.25" customHeight="1">
      <c r="A8" s="12">
        <v>1</v>
      </c>
      <c r="B8" s="188" t="s">
        <v>238</v>
      </c>
      <c r="C8" s="63"/>
      <c r="D8" s="63"/>
      <c r="E8" s="63"/>
      <c r="F8" s="63"/>
      <c r="G8" s="64"/>
      <c r="H8" s="1229" t="e">
        <f>'0422Master'!#REF!</f>
        <v>#REF!</v>
      </c>
      <c r="I8" s="1251"/>
      <c r="J8" s="1251"/>
      <c r="K8" s="1251"/>
      <c r="L8" s="1252"/>
    </row>
    <row r="9" spans="1:14">
      <c r="A9" s="12">
        <v>2</v>
      </c>
      <c r="B9" s="1275" t="s">
        <v>239</v>
      </c>
      <c r="C9" s="1276"/>
      <c r="D9" s="1276"/>
      <c r="E9" s="1276"/>
      <c r="F9" s="189" t="s">
        <v>240</v>
      </c>
      <c r="G9" s="173"/>
      <c r="H9" s="1277" t="e">
        <f>'0422Master'!#REF!</f>
        <v>#REF!</v>
      </c>
      <c r="I9" s="1278"/>
      <c r="J9" s="1278"/>
      <c r="K9" s="1278"/>
      <c r="L9" s="1279"/>
      <c r="M9" s="178" t="s">
        <v>234</v>
      </c>
      <c r="N9" s="178" t="s">
        <v>234</v>
      </c>
    </row>
    <row r="10" spans="1:14" ht="10.5" customHeight="1">
      <c r="A10" s="12"/>
      <c r="B10" s="174" t="s">
        <v>241</v>
      </c>
      <c r="C10" s="175"/>
      <c r="D10" s="175"/>
      <c r="E10" s="175"/>
      <c r="F10" s="175" t="s">
        <v>234</v>
      </c>
      <c r="G10" s="176"/>
      <c r="H10" s="1280"/>
      <c r="I10" s="1281"/>
      <c r="J10" s="1281"/>
      <c r="K10" s="1281"/>
      <c r="L10" s="1282"/>
      <c r="M10" s="177"/>
      <c r="N10" s="177"/>
    </row>
    <row r="11" spans="1:14">
      <c r="A11" s="12">
        <v>3</v>
      </c>
      <c r="B11" s="190" t="s">
        <v>242</v>
      </c>
      <c r="C11" s="180"/>
      <c r="D11" s="180"/>
      <c r="E11" s="180"/>
      <c r="F11" s="180"/>
      <c r="G11" s="181"/>
      <c r="H11" s="1255" t="e">
        <f>'0422Master'!#REF!</f>
        <v>#REF!</v>
      </c>
      <c r="I11" s="1256"/>
      <c r="J11" s="1256"/>
      <c r="K11" s="1256"/>
      <c r="L11" s="1257"/>
      <c r="M11" s="177"/>
      <c r="N11" s="177"/>
    </row>
    <row r="12" spans="1:14">
      <c r="A12" s="12">
        <v>4</v>
      </c>
      <c r="B12" s="166" t="s">
        <v>243</v>
      </c>
      <c r="C12" s="63"/>
      <c r="D12" s="63"/>
      <c r="E12" s="63"/>
      <c r="F12" s="63"/>
      <c r="G12" s="64"/>
      <c r="H12" s="1221" t="e">
        <f>'0422Master'!#REF!</f>
        <v>#REF!</v>
      </c>
      <c r="I12" s="1243"/>
      <c r="J12" s="1243"/>
      <c r="K12" s="1243"/>
      <c r="L12" s="1237"/>
    </row>
    <row r="13" spans="1:14">
      <c r="A13" s="12">
        <v>5</v>
      </c>
      <c r="B13" s="1258" t="s">
        <v>291</v>
      </c>
      <c r="C13" s="1259"/>
      <c r="D13" s="1259"/>
      <c r="E13" s="1259"/>
      <c r="F13" s="1259"/>
      <c r="G13" s="64"/>
      <c r="H13" s="1250" t="s">
        <v>368</v>
      </c>
      <c r="I13" s="1251"/>
      <c r="J13" s="1251"/>
      <c r="K13" s="1251"/>
      <c r="L13" s="1252"/>
    </row>
    <row r="14" spans="1:14" ht="15" customHeight="1">
      <c r="A14" s="12">
        <v>6</v>
      </c>
      <c r="B14" s="179" t="s">
        <v>244</v>
      </c>
      <c r="C14" s="180" t="s">
        <v>245</v>
      </c>
      <c r="D14" s="180"/>
      <c r="E14" s="180"/>
      <c r="F14" s="180"/>
      <c r="G14" s="181"/>
      <c r="H14" s="190"/>
      <c r="I14" s="180"/>
      <c r="J14" s="180"/>
      <c r="K14" s="180"/>
      <c r="L14" s="218"/>
      <c r="M14" s="177"/>
      <c r="N14" s="177"/>
    </row>
    <row r="15" spans="1:14">
      <c r="A15" s="12"/>
      <c r="B15" s="179" t="s">
        <v>246</v>
      </c>
      <c r="C15" s="180" t="s">
        <v>247</v>
      </c>
      <c r="D15" s="180"/>
      <c r="E15" s="180"/>
      <c r="F15" s="180"/>
      <c r="G15" s="181"/>
      <c r="H15" s="190"/>
      <c r="I15" s="172"/>
      <c r="J15" s="172"/>
      <c r="K15" s="180"/>
      <c r="L15" s="218"/>
      <c r="M15" s="177"/>
      <c r="N15" s="177"/>
    </row>
    <row r="16" spans="1:14" ht="15" customHeight="1">
      <c r="A16" s="12">
        <v>7</v>
      </c>
      <c r="B16" s="1255" t="s">
        <v>248</v>
      </c>
      <c r="C16" s="1256"/>
      <c r="D16" s="1256"/>
      <c r="E16" s="1256"/>
      <c r="F16" s="1256"/>
      <c r="G16" s="1263"/>
      <c r="H16" s="194" t="s">
        <v>249</v>
      </c>
      <c r="I16" s="195"/>
      <c r="J16" s="196"/>
      <c r="K16" s="194" t="s">
        <v>250</v>
      </c>
      <c r="L16" s="219"/>
      <c r="M16" s="193"/>
      <c r="N16" s="193"/>
    </row>
    <row r="17" spans="1:14">
      <c r="A17" s="12">
        <v>8</v>
      </c>
      <c r="B17" s="1255" t="s">
        <v>292</v>
      </c>
      <c r="C17" s="1256"/>
      <c r="D17" s="1256"/>
      <c r="E17" s="1256"/>
      <c r="F17" s="1256"/>
      <c r="G17" s="1263"/>
      <c r="H17" s="194" t="s">
        <v>249</v>
      </c>
      <c r="I17" s="195"/>
      <c r="J17" s="196"/>
      <c r="K17" s="194" t="s">
        <v>250</v>
      </c>
      <c r="L17" s="219"/>
      <c r="M17" s="193"/>
      <c r="N17" s="193"/>
    </row>
    <row r="18" spans="1:14">
      <c r="A18" s="12"/>
      <c r="B18" s="166"/>
      <c r="C18" s="198"/>
      <c r="D18" s="198"/>
      <c r="E18" s="198"/>
      <c r="F18" s="198" t="s">
        <v>251</v>
      </c>
      <c r="G18" s="198"/>
      <c r="H18" s="198"/>
      <c r="I18" s="198"/>
      <c r="J18" s="198"/>
      <c r="K18" s="198"/>
      <c r="L18" s="220"/>
      <c r="M18" s="197"/>
      <c r="N18" s="197"/>
    </row>
    <row r="19" spans="1:14">
      <c r="A19" s="12">
        <v>9</v>
      </c>
      <c r="B19" s="179" t="s">
        <v>252</v>
      </c>
      <c r="C19" s="180" t="s">
        <v>253</v>
      </c>
      <c r="D19" s="180"/>
      <c r="E19" s="180"/>
      <c r="F19" s="180"/>
      <c r="G19" s="181"/>
      <c r="H19" s="190"/>
      <c r="I19" s="180"/>
      <c r="J19" s="180"/>
      <c r="K19" s="180"/>
      <c r="L19" s="218"/>
      <c r="M19" s="177"/>
      <c r="N19" s="177"/>
    </row>
    <row r="20" spans="1:14" ht="21.75" customHeight="1">
      <c r="A20" s="84"/>
      <c r="B20" s="179" t="s">
        <v>254</v>
      </c>
      <c r="C20" s="180" t="s">
        <v>255</v>
      </c>
      <c r="D20" s="180"/>
      <c r="E20" s="180"/>
      <c r="F20" s="180"/>
      <c r="G20" s="181"/>
      <c r="H20" s="190"/>
      <c r="I20" s="180"/>
      <c r="J20" s="180"/>
      <c r="K20" s="180"/>
      <c r="L20" s="218"/>
      <c r="M20" s="177"/>
      <c r="N20" s="177"/>
    </row>
    <row r="21" spans="1:14" ht="27.95" customHeight="1">
      <c r="A21" s="84"/>
      <c r="B21" s="179" t="s">
        <v>293</v>
      </c>
      <c r="C21" s="180" t="s">
        <v>294</v>
      </c>
      <c r="D21" s="180"/>
      <c r="E21" s="180"/>
      <c r="F21" s="180"/>
      <c r="G21" s="181"/>
      <c r="H21" s="190"/>
      <c r="I21" s="180"/>
      <c r="J21" s="180"/>
      <c r="K21" s="180"/>
      <c r="L21" s="218"/>
    </row>
    <row r="22" spans="1:14" ht="27.95" customHeight="1">
      <c r="A22" s="84"/>
      <c r="B22" s="179" t="s">
        <v>257</v>
      </c>
      <c r="C22" s="180" t="s">
        <v>258</v>
      </c>
      <c r="D22" s="180"/>
      <c r="E22" s="180"/>
      <c r="F22" s="180"/>
      <c r="G22" s="181"/>
      <c r="H22" s="190"/>
      <c r="I22" s="180"/>
      <c r="J22" s="180"/>
      <c r="K22" s="180"/>
      <c r="L22" s="218"/>
    </row>
    <row r="23" spans="1:14" ht="27.95" customHeight="1">
      <c r="A23" s="84"/>
      <c r="B23" s="179" t="s">
        <v>259</v>
      </c>
      <c r="C23" s="180" t="s">
        <v>260</v>
      </c>
      <c r="D23" s="180"/>
      <c r="E23" s="180"/>
      <c r="F23" s="180"/>
      <c r="G23" s="181"/>
      <c r="H23" s="190"/>
      <c r="I23" s="180"/>
      <c r="J23" s="180"/>
      <c r="K23" s="180"/>
      <c r="L23" s="218"/>
    </row>
    <row r="24" spans="1:14" ht="27.95" customHeight="1">
      <c r="A24" s="84">
        <v>10</v>
      </c>
      <c r="B24" s="179" t="s">
        <v>252</v>
      </c>
      <c r="C24" s="180" t="s">
        <v>295</v>
      </c>
      <c r="D24" s="180"/>
      <c r="E24" s="180"/>
      <c r="F24" s="180"/>
      <c r="G24" s="181"/>
      <c r="H24" s="194" t="s">
        <v>249</v>
      </c>
      <c r="I24" s="195"/>
      <c r="J24" s="196"/>
      <c r="K24" s="194" t="s">
        <v>250</v>
      </c>
      <c r="L24" s="219"/>
    </row>
    <row r="25" spans="1:14" ht="27.95" customHeight="1">
      <c r="A25" s="84"/>
      <c r="B25" s="179" t="s">
        <v>254</v>
      </c>
      <c r="C25" s="180" t="s">
        <v>296</v>
      </c>
      <c r="D25" s="180"/>
      <c r="E25" s="180"/>
      <c r="F25" s="180"/>
      <c r="G25" s="181"/>
      <c r="H25" s="190"/>
      <c r="I25" s="180"/>
      <c r="J25" s="180"/>
      <c r="K25" s="180"/>
      <c r="L25" s="218"/>
    </row>
    <row r="26" spans="1:14" ht="27.95" customHeight="1">
      <c r="A26" s="84"/>
      <c r="B26" s="179" t="s">
        <v>293</v>
      </c>
      <c r="C26" s="180" t="s">
        <v>261</v>
      </c>
      <c r="D26" s="180"/>
      <c r="E26" s="180"/>
      <c r="F26" s="180"/>
      <c r="G26" s="181"/>
      <c r="H26" s="190"/>
      <c r="I26" s="180"/>
      <c r="J26" s="180"/>
      <c r="K26" s="180"/>
      <c r="L26" s="218"/>
    </row>
    <row r="27" spans="1:14" ht="27.95" customHeight="1">
      <c r="A27" s="84"/>
      <c r="B27" s="179" t="s">
        <v>257</v>
      </c>
      <c r="C27" s="180" t="s">
        <v>297</v>
      </c>
      <c r="D27" s="180"/>
      <c r="E27" s="180"/>
      <c r="F27" s="180"/>
      <c r="G27" s="181"/>
      <c r="H27" s="190"/>
      <c r="I27" s="180"/>
      <c r="J27" s="180"/>
      <c r="K27" s="180"/>
      <c r="L27" s="218"/>
    </row>
    <row r="28" spans="1:14" ht="27.95" customHeight="1">
      <c r="A28" s="12"/>
      <c r="B28" s="166"/>
      <c r="C28" s="198"/>
      <c r="D28" s="198"/>
      <c r="E28" s="198" t="s">
        <v>298</v>
      </c>
      <c r="F28" s="198"/>
      <c r="G28" s="198"/>
      <c r="H28" s="198"/>
      <c r="I28" s="198"/>
      <c r="J28" s="198"/>
      <c r="K28" s="198"/>
      <c r="L28" s="220"/>
    </row>
    <row r="29" spans="1:14" ht="27.95" customHeight="1">
      <c r="A29" s="12">
        <v>11</v>
      </c>
      <c r="B29" s="179" t="s">
        <v>252</v>
      </c>
      <c r="C29" s="180" t="s">
        <v>262</v>
      </c>
      <c r="D29" s="180"/>
      <c r="E29" s="180"/>
      <c r="F29" s="180"/>
      <c r="G29" s="181"/>
      <c r="H29" s="190"/>
      <c r="I29" s="180"/>
      <c r="J29" s="180"/>
      <c r="K29" s="180"/>
      <c r="L29" s="218"/>
    </row>
    <row r="30" spans="1:14" ht="27.95" customHeight="1">
      <c r="A30" s="12"/>
      <c r="B30" s="179" t="s">
        <v>254</v>
      </c>
      <c r="C30" s="180" t="s">
        <v>263</v>
      </c>
      <c r="D30" s="180"/>
      <c r="E30" s="180"/>
      <c r="F30" s="180"/>
      <c r="G30" s="181"/>
      <c r="H30" s="190"/>
      <c r="I30" s="180"/>
      <c r="J30" s="180"/>
      <c r="K30" s="180"/>
      <c r="L30" s="218"/>
    </row>
    <row r="31" spans="1:14" ht="27.95" customHeight="1">
      <c r="A31" s="12"/>
      <c r="B31" s="179" t="s">
        <v>256</v>
      </c>
      <c r="C31" s="180" t="s">
        <v>264</v>
      </c>
      <c r="D31" s="180"/>
      <c r="E31" s="180"/>
      <c r="F31" s="180"/>
      <c r="G31" s="181"/>
      <c r="H31" s="190"/>
      <c r="I31" s="180"/>
      <c r="J31" s="180"/>
      <c r="K31" s="180"/>
      <c r="L31" s="218"/>
    </row>
    <row r="32" spans="1:14" ht="20.25" customHeight="1">
      <c r="A32" s="12"/>
      <c r="B32" s="154"/>
      <c r="C32" s="150"/>
      <c r="D32" s="150"/>
      <c r="E32" s="150"/>
      <c r="F32" s="199" t="s">
        <v>265</v>
      </c>
      <c r="G32" s="150"/>
      <c r="H32" s="139"/>
      <c r="I32" s="139"/>
      <c r="J32" s="139"/>
      <c r="K32" s="139"/>
      <c r="L32" s="157"/>
    </row>
    <row r="33" spans="1:32" ht="27.95" customHeight="1">
      <c r="A33" s="12"/>
      <c r="B33" s="211" t="s">
        <v>266</v>
      </c>
      <c r="C33" s="210" t="s">
        <v>267</v>
      </c>
      <c r="D33" s="150"/>
      <c r="E33" s="150"/>
      <c r="F33" s="150"/>
      <c r="G33" s="150"/>
      <c r="H33" s="139"/>
      <c r="I33" s="139"/>
      <c r="J33" s="140"/>
      <c r="K33" s="139"/>
      <c r="L33" s="157"/>
    </row>
    <row r="34" spans="1:32" ht="19.5" customHeight="1">
      <c r="A34" s="12"/>
      <c r="B34" s="211" t="s">
        <v>268</v>
      </c>
      <c r="C34" s="209" t="s">
        <v>269</v>
      </c>
      <c r="D34" s="139"/>
      <c r="E34" s="140"/>
      <c r="G34" s="1264"/>
      <c r="H34" s="1264"/>
      <c r="I34" s="155"/>
      <c r="J34" s="156"/>
      <c r="K34" s="1264"/>
      <c r="L34" s="1265"/>
    </row>
    <row r="35" spans="1:32" ht="26.25" customHeight="1">
      <c r="A35" s="12"/>
      <c r="B35" s="212" t="s">
        <v>270</v>
      </c>
      <c r="C35" s="1266" t="s">
        <v>299</v>
      </c>
      <c r="D35" s="1266"/>
      <c r="E35" s="1266"/>
      <c r="F35" s="1266"/>
      <c r="G35" s="1266"/>
      <c r="H35" s="1266"/>
      <c r="I35" s="1266"/>
      <c r="J35" s="1266"/>
      <c r="K35" s="1266"/>
      <c r="L35" s="1267"/>
    </row>
    <row r="36" spans="1:32" ht="19.5" customHeight="1">
      <c r="A36" s="12"/>
      <c r="B36" s="211" t="s">
        <v>271</v>
      </c>
      <c r="C36" s="210" t="s">
        <v>272</v>
      </c>
      <c r="D36" s="202"/>
      <c r="E36" s="202"/>
      <c r="F36" s="202"/>
      <c r="G36" s="202"/>
      <c r="H36" s="202"/>
      <c r="I36" s="202"/>
      <c r="J36" s="202"/>
      <c r="K36" s="202"/>
      <c r="L36" s="221"/>
    </row>
    <row r="37" spans="1:32" ht="27.95" customHeight="1">
      <c r="A37" s="12"/>
      <c r="B37" s="154"/>
      <c r="C37" t="s">
        <v>300</v>
      </c>
      <c r="D37" s="263" t="e">
        <f>'0422Master'!#REF!</f>
        <v>#REF!</v>
      </c>
      <c r="E37" s="2"/>
      <c r="F37" s="2"/>
      <c r="G37" s="2"/>
      <c r="L37" s="13"/>
    </row>
    <row r="38" spans="1:32" ht="15" customHeight="1">
      <c r="A38" s="12"/>
      <c r="C38" t="s">
        <v>273</v>
      </c>
      <c r="D38" t="s">
        <v>362</v>
      </c>
      <c r="J38" t="s">
        <v>301</v>
      </c>
      <c r="L38" s="13"/>
    </row>
    <row r="39" spans="1:32" ht="15.75" customHeight="1">
      <c r="A39" s="12"/>
      <c r="L39" s="13"/>
    </row>
    <row r="40" spans="1:32">
      <c r="A40" s="12"/>
      <c r="F40" s="200" t="s">
        <v>274</v>
      </c>
      <c r="L40" s="13"/>
    </row>
    <row r="41" spans="1:32" ht="12.75" customHeight="1">
      <c r="A41" s="12" t="s">
        <v>302</v>
      </c>
      <c r="B41" t="s">
        <v>275</v>
      </c>
      <c r="E41" s="203" t="e">
        <f>'0422Master'!#REF!</f>
        <v>#REF!</v>
      </c>
      <c r="H41" s="1268" t="s">
        <v>276</v>
      </c>
      <c r="I41" s="1268"/>
      <c r="J41" s="204" t="e">
        <f>'0422Master'!#REF!</f>
        <v>#REF!</v>
      </c>
      <c r="K41" t="s">
        <v>277</v>
      </c>
      <c r="L41" s="13"/>
    </row>
    <row r="42" spans="1:32" ht="12.75" customHeight="1">
      <c r="A42" s="12"/>
      <c r="B42" s="1269" t="e">
        <f>'0422Master'!#REF!</f>
        <v>#REF!</v>
      </c>
      <c r="C42" s="1270"/>
      <c r="D42" s="201"/>
      <c r="E42" s="201"/>
      <c r="F42" s="201"/>
      <c r="G42" s="201"/>
      <c r="H42" s="201"/>
      <c r="I42" s="201"/>
      <c r="J42" s="201"/>
      <c r="K42" s="201"/>
      <c r="L42" s="222"/>
      <c r="M42" s="201"/>
      <c r="N42" s="201"/>
      <c r="O42" s="201"/>
      <c r="P42" s="201"/>
      <c r="Q42" s="201"/>
      <c r="R42" s="201"/>
      <c r="S42" s="201"/>
      <c r="T42" s="201"/>
      <c r="U42" s="201"/>
      <c r="V42" s="201"/>
      <c r="W42" s="201"/>
      <c r="X42" s="201"/>
      <c r="Y42" s="201"/>
      <c r="Z42" s="201"/>
      <c r="AA42" s="201"/>
      <c r="AB42" s="201"/>
      <c r="AC42" s="201"/>
      <c r="AD42" s="201"/>
      <c r="AE42" s="201"/>
      <c r="AF42" s="201"/>
    </row>
    <row r="43" spans="1:32" ht="12.75" customHeight="1">
      <c r="A43" s="12" t="s">
        <v>304</v>
      </c>
      <c r="B43" s="201" t="s">
        <v>278</v>
      </c>
      <c r="C43" s="201"/>
      <c r="D43" s="201"/>
      <c r="E43" s="201"/>
      <c r="F43" s="201"/>
      <c r="G43" s="201"/>
      <c r="H43" s="201"/>
      <c r="I43" s="201"/>
      <c r="J43" s="201"/>
      <c r="K43" s="201"/>
      <c r="L43" s="222"/>
      <c r="M43" s="201"/>
      <c r="N43" s="201"/>
      <c r="O43" s="201"/>
      <c r="P43" s="201"/>
      <c r="Q43" s="201"/>
      <c r="R43" s="201"/>
      <c r="S43" s="201"/>
      <c r="T43" s="201"/>
      <c r="U43" s="201"/>
      <c r="V43" s="201"/>
      <c r="W43" s="201"/>
      <c r="X43" s="201"/>
      <c r="Y43" s="201"/>
      <c r="Z43" s="201"/>
      <c r="AA43" s="201"/>
      <c r="AB43" s="201"/>
      <c r="AC43" s="201"/>
      <c r="AD43" s="201"/>
      <c r="AE43" s="201"/>
      <c r="AF43" s="201"/>
    </row>
    <row r="44" spans="1:32" ht="12.75" customHeight="1">
      <c r="A44" s="12"/>
      <c r="B44" s="201" t="s">
        <v>303</v>
      </c>
      <c r="C44" s="201"/>
      <c r="D44" s="201"/>
      <c r="E44" s="201"/>
      <c r="F44" s="201"/>
      <c r="G44" s="201"/>
      <c r="H44" s="201"/>
      <c r="I44" s="201"/>
      <c r="J44" s="201"/>
      <c r="K44" s="201"/>
      <c r="L44" s="222"/>
      <c r="M44" s="201"/>
      <c r="N44" s="201"/>
      <c r="O44" s="201"/>
      <c r="P44" s="201"/>
      <c r="Q44" s="201"/>
      <c r="R44" s="201"/>
      <c r="S44" s="201"/>
      <c r="T44" s="201"/>
      <c r="U44" s="201"/>
      <c r="V44" s="201"/>
      <c r="W44" s="201"/>
      <c r="X44" s="201"/>
      <c r="Y44" s="201"/>
      <c r="Z44" s="201"/>
      <c r="AA44" s="201"/>
      <c r="AB44" s="201"/>
      <c r="AC44" s="201"/>
      <c r="AD44" s="201"/>
      <c r="AE44" s="201"/>
      <c r="AF44" s="201"/>
    </row>
    <row r="45" spans="1:32" ht="12.75" customHeight="1">
      <c r="A45" s="12"/>
      <c r="B45" t="s">
        <v>279</v>
      </c>
      <c r="L45" s="13"/>
    </row>
    <row r="46" spans="1:32" ht="12.75" customHeight="1">
      <c r="A46" s="12"/>
      <c r="B46" s="2" t="s">
        <v>280</v>
      </c>
      <c r="F46" s="153"/>
      <c r="L46" s="13"/>
    </row>
    <row r="47" spans="1:32" ht="12.75" customHeight="1">
      <c r="A47" s="12"/>
      <c r="B47" s="2" t="s">
        <v>281</v>
      </c>
      <c r="L47" s="13"/>
    </row>
    <row r="48" spans="1:32" ht="12.75" customHeight="1">
      <c r="A48" s="12"/>
      <c r="B48" t="s">
        <v>282</v>
      </c>
      <c r="L48" s="13"/>
    </row>
    <row r="49" spans="1:12" ht="12.75" customHeight="1">
      <c r="A49" s="12"/>
      <c r="B49" t="s">
        <v>283</v>
      </c>
      <c r="L49" s="13"/>
    </row>
    <row r="50" spans="1:12" ht="12.75" customHeight="1">
      <c r="A50" s="12" t="s">
        <v>293</v>
      </c>
      <c r="B50" t="s">
        <v>284</v>
      </c>
      <c r="L50" s="13"/>
    </row>
    <row r="51" spans="1:12" ht="12.75" customHeight="1">
      <c r="A51" s="12"/>
      <c r="B51" s="213" t="s">
        <v>305</v>
      </c>
      <c r="L51" s="13"/>
    </row>
    <row r="52" spans="1:12" ht="12.75" customHeight="1">
      <c r="A52" s="12"/>
      <c r="B52" t="s">
        <v>279</v>
      </c>
      <c r="L52" s="13"/>
    </row>
    <row r="53" spans="1:12" ht="12.75" customHeight="1">
      <c r="A53" s="12"/>
      <c r="B53" t="s">
        <v>285</v>
      </c>
      <c r="L53" s="13"/>
    </row>
    <row r="54" spans="1:12" ht="12.75" customHeight="1">
      <c r="A54" s="12"/>
      <c r="B54" t="s">
        <v>286</v>
      </c>
      <c r="L54" s="13"/>
    </row>
    <row r="55" spans="1:12" ht="15.75" customHeight="1">
      <c r="A55" s="12"/>
      <c r="B55" s="1271" t="s">
        <v>287</v>
      </c>
      <c r="C55" s="1271"/>
      <c r="D55" s="1271"/>
      <c r="E55" s="1271"/>
      <c r="F55" s="1271"/>
      <c r="G55" s="1271"/>
      <c r="H55" s="1271"/>
      <c r="I55" s="1271"/>
      <c r="J55" s="1271"/>
      <c r="K55" s="1271"/>
      <c r="L55" s="1272"/>
    </row>
    <row r="56" spans="1:12" ht="23.25">
      <c r="A56" s="12"/>
      <c r="B56" t="s">
        <v>199</v>
      </c>
      <c r="C56" s="263" t="e">
        <f>D37</f>
        <v>#REF!</v>
      </c>
      <c r="D56" s="183"/>
      <c r="E56" s="183"/>
      <c r="F56" s="183"/>
      <c r="G56" s="183"/>
      <c r="H56" s="183"/>
      <c r="I56" t="s">
        <v>306</v>
      </c>
      <c r="J56" s="183"/>
      <c r="K56" s="183"/>
      <c r="L56" s="214"/>
    </row>
    <row r="57" spans="1:12" ht="16.5" thickBot="1">
      <c r="A57" s="24"/>
      <c r="B57" s="1088"/>
      <c r="C57" s="1088"/>
      <c r="D57" s="1088"/>
      <c r="E57" s="1088"/>
      <c r="F57" s="1088"/>
      <c r="G57" s="1088"/>
      <c r="H57" s="1088"/>
      <c r="I57" s="1088"/>
      <c r="J57" s="1088"/>
      <c r="K57" s="1088"/>
      <c r="L57" s="1089"/>
    </row>
    <row r="58" spans="1:12" ht="27.95" customHeight="1" thickBot="1">
      <c r="A58" s="9"/>
      <c r="B58" s="1238"/>
      <c r="C58" s="1238"/>
      <c r="D58" s="1238"/>
      <c r="E58" s="1238"/>
      <c r="F58" s="1238"/>
      <c r="G58" s="1238"/>
      <c r="H58" s="1235"/>
      <c r="I58" s="1235"/>
      <c r="J58" s="1235"/>
      <c r="K58" s="1235"/>
      <c r="L58" s="1235"/>
    </row>
    <row r="59" spans="1:12" ht="27.95" customHeight="1">
      <c r="A59" s="73"/>
      <c r="B59" s="74"/>
      <c r="C59" s="74"/>
      <c r="D59" s="74"/>
      <c r="E59" s="74"/>
      <c r="F59" s="74"/>
      <c r="G59" s="74"/>
      <c r="H59" s="74"/>
      <c r="I59" s="78" t="s">
        <v>233</v>
      </c>
      <c r="J59" s="74"/>
      <c r="K59" s="74"/>
      <c r="L59" s="75"/>
    </row>
    <row r="60" spans="1:12" ht="27.95" customHeight="1">
      <c r="A60" s="12"/>
      <c r="B60" s="1273" t="s">
        <v>288</v>
      </c>
      <c r="C60" s="1273"/>
      <c r="D60" s="1273"/>
      <c r="E60" s="1273"/>
      <c r="F60" s="1273"/>
      <c r="G60" s="1273"/>
      <c r="H60" s="1273"/>
      <c r="I60" s="1273"/>
      <c r="J60" s="1273"/>
      <c r="K60" s="1273"/>
      <c r="L60" s="1274"/>
    </row>
    <row r="61" spans="1:12" ht="27.95" customHeight="1">
      <c r="A61" s="12"/>
      <c r="B61" s="183"/>
      <c r="C61" s="183"/>
      <c r="D61" s="191" t="s">
        <v>235</v>
      </c>
      <c r="E61" s="183"/>
      <c r="F61" s="183"/>
      <c r="G61" s="183"/>
      <c r="H61" s="183"/>
      <c r="I61" s="185" t="s">
        <v>289</v>
      </c>
      <c r="J61" s="186"/>
      <c r="K61" s="267" t="e">
        <f>'0422Master'!#REF!</f>
        <v>#REF!</v>
      </c>
      <c r="L61" s="216"/>
    </row>
    <row r="62" spans="1:12" ht="21.75" customHeight="1">
      <c r="A62" s="12"/>
      <c r="B62" s="1"/>
      <c r="C62" s="1" t="s">
        <v>236</v>
      </c>
      <c r="E62" s="1"/>
      <c r="F62" s="1"/>
      <c r="G62" s="1"/>
      <c r="H62" s="1"/>
      <c r="I62" s="184" t="s">
        <v>290</v>
      </c>
      <c r="J62" s="205" t="str">
        <f>'0422Master'!F5</f>
        <v>Burgeon IT Services Pvt.Ltd.</v>
      </c>
      <c r="K62" s="187"/>
      <c r="L62" s="217"/>
    </row>
    <row r="63" spans="1:12" ht="20.25" customHeight="1">
      <c r="A63" s="12"/>
      <c r="B63" s="192"/>
      <c r="C63" s="161" t="s">
        <v>237</v>
      </c>
      <c r="E63" s="192"/>
      <c r="F63" s="192"/>
      <c r="H63" s="162"/>
      <c r="I63" s="208" t="str">
        <f>'0422Master'!F6</f>
        <v>Siri Mansion LIGB 436 Dr.A S Rao Nagar,Hyderabad</v>
      </c>
      <c r="J63" s="206"/>
      <c r="K63" s="207"/>
      <c r="L63" s="171"/>
    </row>
    <row r="64" spans="1:12" ht="18.75" customHeight="1">
      <c r="A64" s="12"/>
      <c r="L64" s="13"/>
    </row>
    <row r="65" spans="1:12" ht="27.95" customHeight="1">
      <c r="A65" s="12">
        <v>1</v>
      </c>
      <c r="B65" s="188" t="s">
        <v>238</v>
      </c>
      <c r="C65" s="63"/>
      <c r="D65" s="63"/>
      <c r="E65" s="63"/>
      <c r="F65" s="63"/>
      <c r="G65" s="64"/>
      <c r="H65" s="1229" t="e">
        <f>'0422Master'!#REF!</f>
        <v>#REF!</v>
      </c>
      <c r="I65" s="1251"/>
      <c r="J65" s="1251"/>
      <c r="K65" s="1251"/>
      <c r="L65" s="1252"/>
    </row>
    <row r="66" spans="1:12" ht="21.75" customHeight="1">
      <c r="A66" s="12">
        <v>2</v>
      </c>
      <c r="B66" s="1275" t="s">
        <v>239</v>
      </c>
      <c r="C66" s="1276"/>
      <c r="D66" s="1276"/>
      <c r="E66" s="1276"/>
      <c r="F66" s="189" t="s">
        <v>240</v>
      </c>
      <c r="G66" s="173"/>
      <c r="H66" s="1277" t="e">
        <f>'0422Master'!#REF!</f>
        <v>#REF!</v>
      </c>
      <c r="I66" s="1278"/>
      <c r="J66" s="1278"/>
      <c r="K66" s="1278"/>
      <c r="L66" s="1279"/>
    </row>
    <row r="67" spans="1:12" ht="12.75" customHeight="1">
      <c r="A67" s="12"/>
      <c r="B67" s="174" t="s">
        <v>241</v>
      </c>
      <c r="C67" s="175"/>
      <c r="D67" s="175"/>
      <c r="E67" s="175"/>
      <c r="F67" s="175" t="s">
        <v>234</v>
      </c>
      <c r="G67" s="176"/>
      <c r="H67" s="1280"/>
      <c r="I67" s="1281"/>
      <c r="J67" s="1281"/>
      <c r="K67" s="1281"/>
      <c r="L67" s="1282"/>
    </row>
    <row r="68" spans="1:12" ht="27.95" customHeight="1">
      <c r="A68" s="12">
        <v>3</v>
      </c>
      <c r="B68" s="190" t="s">
        <v>242</v>
      </c>
      <c r="C68" s="180"/>
      <c r="D68" s="180"/>
      <c r="E68" s="180"/>
      <c r="F68" s="180"/>
      <c r="G68" s="181"/>
      <c r="H68" s="1255" t="e">
        <f>'0422Master'!#REF!</f>
        <v>#REF!</v>
      </c>
      <c r="I68" s="1256"/>
      <c r="J68" s="1256"/>
      <c r="K68" s="1256"/>
      <c r="L68" s="1263"/>
    </row>
    <row r="69" spans="1:12" ht="27.95" customHeight="1">
      <c r="A69" s="12">
        <v>4</v>
      </c>
      <c r="B69" s="166" t="s">
        <v>243</v>
      </c>
      <c r="C69" s="63"/>
      <c r="D69" s="63"/>
      <c r="E69" s="63"/>
      <c r="F69" s="63"/>
      <c r="G69" s="64"/>
      <c r="H69" s="1221" t="e">
        <f>'0422Master'!#REF!</f>
        <v>#REF!</v>
      </c>
      <c r="I69" s="1243"/>
      <c r="J69" s="1243"/>
      <c r="K69" s="1243"/>
      <c r="L69" s="1222"/>
    </row>
    <row r="70" spans="1:12" ht="27.95" customHeight="1">
      <c r="A70" s="12">
        <v>5</v>
      </c>
      <c r="B70" s="1258" t="s">
        <v>291</v>
      </c>
      <c r="C70" s="1259"/>
      <c r="D70" s="1259"/>
      <c r="E70" s="1259"/>
      <c r="F70" s="1259"/>
      <c r="G70" s="64"/>
      <c r="H70" s="1250" t="s">
        <v>369</v>
      </c>
      <c r="I70" s="1251"/>
      <c r="J70" s="1251"/>
      <c r="K70" s="1251"/>
      <c r="L70" s="1252"/>
    </row>
    <row r="71" spans="1:12" ht="21.75" customHeight="1">
      <c r="A71" s="12">
        <v>6</v>
      </c>
      <c r="B71" s="179" t="s">
        <v>244</v>
      </c>
      <c r="C71" s="180" t="s">
        <v>245</v>
      </c>
      <c r="D71" s="180"/>
      <c r="E71" s="180"/>
      <c r="F71" s="180"/>
      <c r="G71" s="181"/>
      <c r="H71" s="190"/>
      <c r="I71" s="180"/>
      <c r="J71" s="180"/>
      <c r="K71" s="180"/>
      <c r="L71" s="218"/>
    </row>
    <row r="72" spans="1:12" ht="22.5" customHeight="1">
      <c r="A72" s="12"/>
      <c r="B72" s="179" t="s">
        <v>246</v>
      </c>
      <c r="C72" s="180" t="s">
        <v>247</v>
      </c>
      <c r="D72" s="180"/>
      <c r="E72" s="180"/>
      <c r="F72" s="180"/>
      <c r="G72" s="181"/>
      <c r="H72" s="190"/>
      <c r="I72" s="172"/>
      <c r="J72" s="172"/>
      <c r="K72" s="180"/>
      <c r="L72" s="218"/>
    </row>
    <row r="73" spans="1:12">
      <c r="A73" s="12">
        <v>7</v>
      </c>
      <c r="B73" s="1255" t="s">
        <v>248</v>
      </c>
      <c r="C73" s="1256"/>
      <c r="D73" s="1256"/>
      <c r="E73" s="1256"/>
      <c r="F73" s="1256"/>
      <c r="G73" s="1263"/>
      <c r="H73" s="194" t="s">
        <v>249</v>
      </c>
      <c r="I73" s="195"/>
      <c r="J73" s="196"/>
      <c r="K73" s="194" t="s">
        <v>250</v>
      </c>
      <c r="L73" s="219"/>
    </row>
    <row r="74" spans="1:12">
      <c r="A74" s="12">
        <v>8</v>
      </c>
      <c r="B74" s="1255" t="s">
        <v>292</v>
      </c>
      <c r="C74" s="1256"/>
      <c r="D74" s="1256"/>
      <c r="E74" s="1256"/>
      <c r="F74" s="1256"/>
      <c r="G74" s="1263"/>
      <c r="H74" s="194" t="s">
        <v>249</v>
      </c>
      <c r="I74" s="195"/>
      <c r="J74" s="196"/>
      <c r="K74" s="194" t="s">
        <v>250</v>
      </c>
      <c r="L74" s="219"/>
    </row>
    <row r="75" spans="1:12">
      <c r="A75" s="12"/>
      <c r="B75" s="166"/>
      <c r="C75" s="198"/>
      <c r="D75" s="198"/>
      <c r="E75" s="198"/>
      <c r="F75" s="198" t="s">
        <v>251</v>
      </c>
      <c r="G75" s="198"/>
      <c r="H75" s="198"/>
      <c r="I75" s="198"/>
      <c r="J75" s="198"/>
      <c r="K75" s="198"/>
      <c r="L75" s="220"/>
    </row>
    <row r="76" spans="1:12">
      <c r="A76" s="12">
        <v>9</v>
      </c>
      <c r="B76" s="179" t="s">
        <v>252</v>
      </c>
      <c r="C76" s="180" t="s">
        <v>253</v>
      </c>
      <c r="D76" s="180"/>
      <c r="E76" s="180"/>
      <c r="F76" s="180"/>
      <c r="G76" s="181"/>
      <c r="H76" s="190"/>
      <c r="I76" s="180"/>
      <c r="J76" s="180"/>
      <c r="K76" s="180"/>
      <c r="L76" s="218"/>
    </row>
    <row r="77" spans="1:12">
      <c r="A77" s="84"/>
      <c r="B77" s="179" t="s">
        <v>254</v>
      </c>
      <c r="C77" s="180" t="s">
        <v>255</v>
      </c>
      <c r="D77" s="180"/>
      <c r="E77" s="180"/>
      <c r="F77" s="180"/>
      <c r="G77" s="181"/>
      <c r="H77" s="190"/>
      <c r="I77" s="180"/>
      <c r="J77" s="180"/>
      <c r="K77" s="180"/>
      <c r="L77" s="218"/>
    </row>
    <row r="78" spans="1:12">
      <c r="A78" s="84"/>
      <c r="B78" s="179" t="s">
        <v>293</v>
      </c>
      <c r="C78" s="180" t="s">
        <v>294</v>
      </c>
      <c r="D78" s="180"/>
      <c r="E78" s="180"/>
      <c r="F78" s="180"/>
      <c r="G78" s="181"/>
      <c r="H78" s="190"/>
      <c r="I78" s="180"/>
      <c r="J78" s="180"/>
      <c r="K78" s="180"/>
      <c r="L78" s="218"/>
    </row>
    <row r="79" spans="1:12">
      <c r="A79" s="84"/>
      <c r="B79" s="179" t="s">
        <v>257</v>
      </c>
      <c r="C79" s="180" t="s">
        <v>258</v>
      </c>
      <c r="D79" s="180"/>
      <c r="E79" s="180"/>
      <c r="F79" s="180"/>
      <c r="G79" s="181"/>
      <c r="H79" s="190"/>
      <c r="I79" s="180"/>
      <c r="J79" s="180"/>
      <c r="K79" s="180"/>
      <c r="L79" s="218"/>
    </row>
    <row r="80" spans="1:12">
      <c r="A80" s="84"/>
      <c r="B80" s="179" t="s">
        <v>259</v>
      </c>
      <c r="C80" s="180" t="s">
        <v>260</v>
      </c>
      <c r="D80" s="180"/>
      <c r="E80" s="180"/>
      <c r="F80" s="180"/>
      <c r="G80" s="181"/>
      <c r="H80" s="190"/>
      <c r="I80" s="180"/>
      <c r="J80" s="180"/>
      <c r="K80" s="180"/>
      <c r="L80" s="218"/>
    </row>
    <row r="81" spans="1:12">
      <c r="A81" s="84">
        <v>10</v>
      </c>
      <c r="B81" s="179" t="s">
        <v>252</v>
      </c>
      <c r="C81" s="180" t="s">
        <v>295</v>
      </c>
      <c r="D81" s="180"/>
      <c r="E81" s="180"/>
      <c r="F81" s="180"/>
      <c r="G81" s="181"/>
      <c r="H81" s="194" t="s">
        <v>249</v>
      </c>
      <c r="I81" s="195"/>
      <c r="J81" s="196"/>
      <c r="K81" s="194" t="s">
        <v>250</v>
      </c>
      <c r="L81" s="219"/>
    </row>
    <row r="82" spans="1:12">
      <c r="A82" s="84"/>
      <c r="B82" s="179" t="s">
        <v>254</v>
      </c>
      <c r="C82" s="180" t="s">
        <v>296</v>
      </c>
      <c r="D82" s="180"/>
      <c r="E82" s="180"/>
      <c r="F82" s="180"/>
      <c r="G82" s="181"/>
      <c r="H82" s="190"/>
      <c r="I82" s="180"/>
      <c r="J82" s="180"/>
      <c r="K82" s="180"/>
      <c r="L82" s="218"/>
    </row>
    <row r="83" spans="1:12">
      <c r="A83" s="84"/>
      <c r="B83" s="179" t="s">
        <v>293</v>
      </c>
      <c r="C83" s="180" t="s">
        <v>261</v>
      </c>
      <c r="D83" s="180"/>
      <c r="E83" s="180"/>
      <c r="F83" s="180"/>
      <c r="G83" s="181"/>
      <c r="H83" s="190"/>
      <c r="I83" s="180"/>
      <c r="J83" s="180"/>
      <c r="K83" s="180"/>
      <c r="L83" s="218"/>
    </row>
    <row r="84" spans="1:12">
      <c r="A84" s="84"/>
      <c r="B84" s="179" t="s">
        <v>257</v>
      </c>
      <c r="C84" s="180" t="s">
        <v>297</v>
      </c>
      <c r="D84" s="180"/>
      <c r="E84" s="180"/>
      <c r="F84" s="180"/>
      <c r="G84" s="181"/>
      <c r="H84" s="190"/>
      <c r="I84" s="180"/>
      <c r="J84" s="180"/>
      <c r="K84" s="180"/>
      <c r="L84" s="218"/>
    </row>
    <row r="85" spans="1:12">
      <c r="A85" s="12"/>
      <c r="B85" s="166"/>
      <c r="C85" s="198"/>
      <c r="D85" s="198"/>
      <c r="E85" s="198" t="s">
        <v>298</v>
      </c>
      <c r="F85" s="198"/>
      <c r="G85" s="198"/>
      <c r="H85" s="198"/>
      <c r="I85" s="198"/>
      <c r="J85" s="198"/>
      <c r="K85" s="198"/>
      <c r="L85" s="220"/>
    </row>
    <row r="86" spans="1:12">
      <c r="A86" s="12">
        <v>11</v>
      </c>
      <c r="B86" s="179" t="s">
        <v>252</v>
      </c>
      <c r="C86" s="180" t="s">
        <v>262</v>
      </c>
      <c r="D86" s="180"/>
      <c r="E86" s="180"/>
      <c r="F86" s="180"/>
      <c r="G86" s="181"/>
      <c r="H86" s="190"/>
      <c r="I86" s="180"/>
      <c r="J86" s="180"/>
      <c r="K86" s="180"/>
      <c r="L86" s="218"/>
    </row>
    <row r="87" spans="1:12">
      <c r="A87" s="12"/>
      <c r="B87" s="179" t="s">
        <v>254</v>
      </c>
      <c r="C87" s="180" t="s">
        <v>263</v>
      </c>
      <c r="D87" s="180"/>
      <c r="E87" s="180"/>
      <c r="F87" s="180"/>
      <c r="G87" s="181"/>
      <c r="H87" s="190"/>
      <c r="I87" s="180"/>
      <c r="J87" s="180"/>
      <c r="K87" s="180"/>
      <c r="L87" s="218"/>
    </row>
    <row r="88" spans="1:12">
      <c r="A88" s="12"/>
      <c r="B88" s="179" t="s">
        <v>256</v>
      </c>
      <c r="C88" s="180" t="s">
        <v>264</v>
      </c>
      <c r="D88" s="180"/>
      <c r="E88" s="180"/>
      <c r="F88" s="180"/>
      <c r="G88" s="181"/>
      <c r="H88" s="190"/>
      <c r="I88" s="180"/>
      <c r="J88" s="180"/>
      <c r="K88" s="180"/>
      <c r="L88" s="218"/>
    </row>
    <row r="89" spans="1:12">
      <c r="A89" s="12"/>
      <c r="B89" s="154"/>
      <c r="C89" s="150"/>
      <c r="D89" s="150"/>
      <c r="E89" s="150"/>
      <c r="F89" s="199" t="s">
        <v>265</v>
      </c>
      <c r="G89" s="150"/>
      <c r="H89" s="139"/>
      <c r="I89" s="139"/>
      <c r="J89" s="139"/>
      <c r="K89" s="139"/>
      <c r="L89" s="157"/>
    </row>
    <row r="90" spans="1:12">
      <c r="A90" s="12"/>
      <c r="B90" s="211" t="s">
        <v>266</v>
      </c>
      <c r="C90" s="210" t="s">
        <v>267</v>
      </c>
      <c r="D90" s="150"/>
      <c r="E90" s="150"/>
      <c r="F90" s="150"/>
      <c r="G90" s="150"/>
      <c r="H90" s="139"/>
      <c r="I90" s="139"/>
      <c r="J90" s="140"/>
      <c r="K90" s="139"/>
      <c r="L90" s="157"/>
    </row>
    <row r="91" spans="1:12">
      <c r="A91" s="12"/>
      <c r="B91" s="211" t="s">
        <v>268</v>
      </c>
      <c r="C91" s="209" t="s">
        <v>269</v>
      </c>
      <c r="D91" s="139"/>
      <c r="E91" s="140"/>
      <c r="G91" s="1264"/>
      <c r="H91" s="1264"/>
      <c r="I91" s="155"/>
      <c r="J91" s="156"/>
      <c r="K91" s="1264"/>
      <c r="L91" s="1265"/>
    </row>
    <row r="92" spans="1:12">
      <c r="A92" s="12"/>
      <c r="B92" s="212" t="s">
        <v>270</v>
      </c>
      <c r="C92" s="1266" t="s">
        <v>299</v>
      </c>
      <c r="D92" s="1266"/>
      <c r="E92" s="1266"/>
      <c r="F92" s="1266"/>
      <c r="G92" s="1266"/>
      <c r="H92" s="1266"/>
      <c r="I92" s="1266"/>
      <c r="J92" s="1266"/>
      <c r="K92" s="1266"/>
      <c r="L92" s="1267"/>
    </row>
    <row r="93" spans="1:12">
      <c r="A93" s="12"/>
      <c r="B93" s="211" t="s">
        <v>271</v>
      </c>
      <c r="C93" s="210" t="s">
        <v>272</v>
      </c>
      <c r="D93" s="202"/>
      <c r="E93" s="202"/>
      <c r="F93" s="202"/>
      <c r="G93" s="202"/>
      <c r="H93" s="202"/>
      <c r="I93" s="202"/>
      <c r="J93" s="202"/>
      <c r="K93" s="202"/>
      <c r="L93" s="221"/>
    </row>
    <row r="94" spans="1:12" ht="15" customHeight="1">
      <c r="A94" s="12"/>
      <c r="B94" s="154"/>
      <c r="C94" t="s">
        <v>300</v>
      </c>
      <c r="D94" s="263" t="e">
        <f>'0422Master'!#REF!</f>
        <v>#REF!</v>
      </c>
      <c r="E94" s="2"/>
      <c r="F94" s="2"/>
      <c r="G94" s="2"/>
      <c r="L94" s="13"/>
    </row>
    <row r="95" spans="1:12">
      <c r="A95" s="12"/>
      <c r="C95" t="s">
        <v>273</v>
      </c>
      <c r="D95" t="s">
        <v>362</v>
      </c>
      <c r="J95" t="s">
        <v>301</v>
      </c>
      <c r="L95" s="13"/>
    </row>
    <row r="96" spans="1:12">
      <c r="A96" s="12"/>
      <c r="L96" s="13"/>
    </row>
    <row r="97" spans="1:12">
      <c r="A97" s="12"/>
      <c r="F97" s="200" t="s">
        <v>274</v>
      </c>
      <c r="L97" s="13"/>
    </row>
    <row r="98" spans="1:12">
      <c r="A98" s="12" t="s">
        <v>302</v>
      </c>
      <c r="B98" t="s">
        <v>275</v>
      </c>
      <c r="E98" s="203" t="e">
        <f>'0422Master'!#REF!</f>
        <v>#REF!</v>
      </c>
      <c r="H98" s="1268" t="s">
        <v>276</v>
      </c>
      <c r="I98" s="1268"/>
      <c r="J98" s="204" t="e">
        <f>'0422Master'!#REF!</f>
        <v>#REF!</v>
      </c>
      <c r="K98" t="s">
        <v>277</v>
      </c>
      <c r="L98" s="13"/>
    </row>
    <row r="99" spans="1:12">
      <c r="A99" s="12"/>
      <c r="B99" s="1269" t="e">
        <f>'0422Master'!#REF!</f>
        <v>#REF!</v>
      </c>
      <c r="C99" s="1270"/>
      <c r="D99" s="201"/>
      <c r="E99" s="201"/>
      <c r="F99" s="201"/>
      <c r="G99" s="201"/>
      <c r="H99" s="201"/>
      <c r="I99" s="201"/>
      <c r="J99" s="201"/>
      <c r="K99" s="201"/>
      <c r="L99" s="222"/>
    </row>
    <row r="100" spans="1:12">
      <c r="A100" s="12" t="s">
        <v>304</v>
      </c>
      <c r="B100" s="201" t="s">
        <v>278</v>
      </c>
      <c r="C100" s="201"/>
      <c r="D100" s="201"/>
      <c r="E100" s="201"/>
      <c r="F100" s="201"/>
      <c r="G100" s="201"/>
      <c r="H100" s="201"/>
      <c r="I100" s="201"/>
      <c r="J100" s="201"/>
      <c r="K100" s="201"/>
      <c r="L100" s="222"/>
    </row>
    <row r="101" spans="1:12">
      <c r="A101" s="12"/>
      <c r="B101" s="201" t="s">
        <v>303</v>
      </c>
      <c r="C101" s="201"/>
      <c r="D101" s="201"/>
      <c r="E101" s="201"/>
      <c r="F101" s="201"/>
      <c r="G101" s="201"/>
      <c r="H101" s="201"/>
      <c r="I101" s="201"/>
      <c r="J101" s="201"/>
      <c r="K101" s="201"/>
      <c r="L101" s="222"/>
    </row>
    <row r="102" spans="1:12">
      <c r="A102" s="12"/>
      <c r="B102" t="s">
        <v>279</v>
      </c>
      <c r="L102" s="13"/>
    </row>
    <row r="103" spans="1:12" ht="18.75">
      <c r="A103" s="12"/>
      <c r="B103" s="2" t="s">
        <v>280</v>
      </c>
      <c r="F103" s="153"/>
      <c r="L103" s="13"/>
    </row>
    <row r="104" spans="1:12">
      <c r="A104" s="12"/>
      <c r="B104" s="2" t="s">
        <v>281</v>
      </c>
      <c r="L104" s="13"/>
    </row>
    <row r="105" spans="1:12">
      <c r="A105" s="12"/>
      <c r="B105" t="s">
        <v>282</v>
      </c>
      <c r="L105" s="13"/>
    </row>
    <row r="106" spans="1:12">
      <c r="A106" s="12"/>
      <c r="B106" t="s">
        <v>283</v>
      </c>
      <c r="L106" s="13"/>
    </row>
    <row r="107" spans="1:12">
      <c r="A107" s="12" t="s">
        <v>293</v>
      </c>
      <c r="B107" t="s">
        <v>284</v>
      </c>
      <c r="L107" s="13"/>
    </row>
    <row r="108" spans="1:12">
      <c r="A108" s="12"/>
      <c r="B108" s="213" t="s">
        <v>305</v>
      </c>
      <c r="L108" s="13"/>
    </row>
    <row r="109" spans="1:12" ht="27.95" customHeight="1">
      <c r="A109" s="12"/>
      <c r="B109" t="s">
        <v>279</v>
      </c>
      <c r="L109" s="13"/>
    </row>
    <row r="110" spans="1:12" ht="27.95" customHeight="1">
      <c r="A110" s="12"/>
      <c r="B110" t="s">
        <v>285</v>
      </c>
      <c r="L110" s="13"/>
    </row>
    <row r="111" spans="1:12" ht="27.95" customHeight="1">
      <c r="A111" s="12"/>
      <c r="B111" t="s">
        <v>286</v>
      </c>
      <c r="L111" s="13"/>
    </row>
    <row r="112" spans="1:12" ht="27.95" customHeight="1">
      <c r="A112" s="12"/>
      <c r="B112" s="1271" t="s">
        <v>287</v>
      </c>
      <c r="C112" s="1271"/>
      <c r="D112" s="1271"/>
      <c r="E112" s="1271"/>
      <c r="F112" s="1271"/>
      <c r="G112" s="1271"/>
      <c r="H112" s="1271"/>
      <c r="I112" s="1271"/>
      <c r="J112" s="1271"/>
      <c r="K112" s="1271"/>
      <c r="L112" s="1272"/>
    </row>
    <row r="113" spans="1:12" ht="27.95" customHeight="1">
      <c r="A113" s="12"/>
      <c r="B113" t="s">
        <v>199</v>
      </c>
      <c r="C113" s="263" t="e">
        <f>D94</f>
        <v>#REF!</v>
      </c>
      <c r="D113" s="183"/>
      <c r="E113" s="183"/>
      <c r="F113" s="183"/>
      <c r="G113" s="183"/>
      <c r="H113" s="183"/>
      <c r="I113" t="s">
        <v>306</v>
      </c>
      <c r="J113" s="183"/>
      <c r="K113" s="183"/>
      <c r="L113" s="214"/>
    </row>
    <row r="114" spans="1:12" ht="27.95" customHeight="1" thickBot="1">
      <c r="A114" s="24"/>
      <c r="B114" s="1088"/>
      <c r="C114" s="1088"/>
      <c r="D114" s="1088"/>
      <c r="E114" s="1088"/>
      <c r="F114" s="1088"/>
      <c r="G114" s="1088"/>
      <c r="H114" s="1088"/>
      <c r="I114" s="1088"/>
      <c r="J114" s="1088"/>
      <c r="K114" s="1088"/>
      <c r="L114" s="1089"/>
    </row>
    <row r="115" spans="1:12" ht="27.95" customHeight="1" thickBot="1">
      <c r="A115" s="9"/>
      <c r="B115" s="1238"/>
      <c r="C115" s="1238"/>
      <c r="D115" s="1238"/>
      <c r="E115" s="1238"/>
      <c r="F115" s="1238"/>
      <c r="G115" s="1238"/>
      <c r="H115" s="1235"/>
      <c r="I115" s="1235"/>
      <c r="J115" s="1235"/>
      <c r="K115" s="1235"/>
      <c r="L115" s="1235"/>
    </row>
    <row r="116" spans="1:12" ht="27.95" customHeight="1">
      <c r="A116" s="73"/>
      <c r="B116" s="74"/>
      <c r="C116" s="74"/>
      <c r="D116" s="74"/>
      <c r="E116" s="74"/>
      <c r="F116" s="74"/>
      <c r="G116" s="74"/>
      <c r="H116" s="74"/>
      <c r="I116" s="78" t="s">
        <v>233</v>
      </c>
      <c r="J116" s="74"/>
      <c r="K116" s="74"/>
      <c r="L116" s="75"/>
    </row>
    <row r="117" spans="1:12" ht="27.95" customHeight="1">
      <c r="A117" s="12"/>
      <c r="B117" s="1273" t="s">
        <v>288</v>
      </c>
      <c r="C117" s="1273"/>
      <c r="D117" s="1273"/>
      <c r="E117" s="1273"/>
      <c r="F117" s="1273"/>
      <c r="G117" s="1273"/>
      <c r="H117" s="1273"/>
      <c r="I117" s="1273"/>
      <c r="J117" s="1273"/>
      <c r="K117" s="1273"/>
      <c r="L117" s="1274"/>
    </row>
    <row r="118" spans="1:12" ht="27.95" customHeight="1">
      <c r="A118" s="12"/>
      <c r="B118" s="183"/>
      <c r="C118" s="183"/>
      <c r="D118" s="191" t="s">
        <v>235</v>
      </c>
      <c r="E118" s="183"/>
      <c r="F118" s="183"/>
      <c r="G118" s="183"/>
      <c r="H118" s="183"/>
      <c r="I118" s="185" t="s">
        <v>289</v>
      </c>
      <c r="J118" s="186"/>
      <c r="K118" s="267" t="e">
        <f>'0422Master'!#REF!</f>
        <v>#REF!</v>
      </c>
      <c r="L118" s="216"/>
    </row>
    <row r="119" spans="1:12" ht="27.95" customHeight="1">
      <c r="A119" s="12"/>
      <c r="B119" s="1"/>
      <c r="C119" s="1" t="s">
        <v>236</v>
      </c>
      <c r="E119" s="1"/>
      <c r="F119" s="1"/>
      <c r="G119" s="1"/>
      <c r="H119" s="1"/>
      <c r="I119" s="184" t="s">
        <v>290</v>
      </c>
      <c r="J119" s="205" t="str">
        <f>'0422Master'!F5</f>
        <v>Burgeon IT Services Pvt.Ltd.</v>
      </c>
      <c r="K119" s="187"/>
      <c r="L119" s="217"/>
    </row>
    <row r="120" spans="1:12" ht="27.95" customHeight="1">
      <c r="A120" s="12"/>
      <c r="B120" s="192"/>
      <c r="C120" s="161" t="s">
        <v>237</v>
      </c>
      <c r="E120" s="192"/>
      <c r="F120" s="192"/>
      <c r="H120" s="162"/>
      <c r="I120" s="208" t="str">
        <f>'0422Master'!F6</f>
        <v>Siri Mansion LIGB 436 Dr.A S Rao Nagar,Hyderabad</v>
      </c>
      <c r="J120" s="206"/>
      <c r="K120" s="207"/>
      <c r="L120" s="171"/>
    </row>
    <row r="121" spans="1:12" ht="27.95" customHeight="1">
      <c r="A121" s="12"/>
      <c r="L121" s="13"/>
    </row>
    <row r="122" spans="1:12" ht="27.95" customHeight="1">
      <c r="A122" s="12">
        <v>1</v>
      </c>
      <c r="B122" s="188" t="s">
        <v>238</v>
      </c>
      <c r="C122" s="63"/>
      <c r="D122" s="63"/>
      <c r="E122" s="63"/>
      <c r="F122" s="63"/>
      <c r="G122" s="64"/>
      <c r="H122" s="1229" t="e">
        <f>'0422Master'!#REF!</f>
        <v>#REF!</v>
      </c>
      <c r="I122" s="1251"/>
      <c r="J122" s="1251"/>
      <c r="K122" s="1251"/>
      <c r="L122" s="1252"/>
    </row>
    <row r="123" spans="1:12" ht="22.5" customHeight="1">
      <c r="A123" s="12">
        <v>2</v>
      </c>
      <c r="B123" s="1275" t="s">
        <v>239</v>
      </c>
      <c r="C123" s="1276"/>
      <c r="D123" s="1276"/>
      <c r="E123" s="1276"/>
      <c r="F123" s="189" t="s">
        <v>240</v>
      </c>
      <c r="G123" s="173"/>
      <c r="H123" s="1277" t="e">
        <f>'0422Master'!#REF!</f>
        <v>#REF!</v>
      </c>
      <c r="I123" s="1278"/>
      <c r="J123" s="1278"/>
      <c r="K123" s="1278"/>
      <c r="L123" s="1279"/>
    </row>
    <row r="124" spans="1:12" ht="9.75" customHeight="1">
      <c r="A124" s="12"/>
      <c r="B124" s="174" t="s">
        <v>241</v>
      </c>
      <c r="C124" s="175"/>
      <c r="D124" s="175"/>
      <c r="E124" s="175"/>
      <c r="F124" s="175" t="s">
        <v>234</v>
      </c>
      <c r="G124" s="176"/>
      <c r="H124" s="1280"/>
      <c r="I124" s="1281"/>
      <c r="J124" s="1281"/>
      <c r="K124" s="1281"/>
      <c r="L124" s="1282"/>
    </row>
    <row r="125" spans="1:12" ht="22.5" customHeight="1">
      <c r="A125" s="12">
        <v>3</v>
      </c>
      <c r="B125" s="190" t="s">
        <v>242</v>
      </c>
      <c r="C125" s="180"/>
      <c r="D125" s="180"/>
      <c r="E125" s="180"/>
      <c r="F125" s="180"/>
      <c r="G125" s="181"/>
      <c r="H125" s="1255" t="e">
        <f>'0422Master'!#REF!</f>
        <v>#REF!</v>
      </c>
      <c r="I125" s="1256"/>
      <c r="J125" s="1256"/>
      <c r="K125" s="1256"/>
      <c r="L125" s="1257"/>
    </row>
    <row r="126" spans="1:12" ht="20.25" customHeight="1">
      <c r="A126" s="12">
        <v>4</v>
      </c>
      <c r="B126" s="166" t="s">
        <v>243</v>
      </c>
      <c r="C126" s="63"/>
      <c r="D126" s="63"/>
      <c r="E126" s="63"/>
      <c r="F126" s="63"/>
      <c r="G126" s="64"/>
      <c r="H126" s="1221" t="e">
        <f>'0422Master'!#REF!</f>
        <v>#REF!</v>
      </c>
      <c r="I126" s="1243"/>
      <c r="J126" s="1243"/>
      <c r="K126" s="1243"/>
      <c r="L126" s="1237"/>
    </row>
    <row r="127" spans="1:12">
      <c r="A127" s="12">
        <v>5</v>
      </c>
      <c r="B127" s="1258" t="s">
        <v>291</v>
      </c>
      <c r="C127" s="1259"/>
      <c r="D127" s="1259"/>
      <c r="E127" s="1259"/>
      <c r="F127" s="1259"/>
      <c r="G127" s="64"/>
      <c r="H127" s="1250" t="s">
        <v>370</v>
      </c>
      <c r="I127" s="1251"/>
      <c r="J127" s="1251"/>
      <c r="K127" s="1251"/>
      <c r="L127" s="1252"/>
    </row>
    <row r="128" spans="1:12">
      <c r="A128" s="12">
        <v>6</v>
      </c>
      <c r="B128" s="179" t="s">
        <v>244</v>
      </c>
      <c r="C128" s="180" t="s">
        <v>245</v>
      </c>
      <c r="D128" s="180"/>
      <c r="E128" s="180"/>
      <c r="F128" s="180"/>
      <c r="G128" s="181"/>
      <c r="H128" s="190"/>
      <c r="I128" s="180"/>
      <c r="J128" s="180"/>
      <c r="K128" s="180"/>
      <c r="L128" s="218"/>
    </row>
    <row r="129" spans="1:12">
      <c r="A129" s="12"/>
      <c r="B129" s="179" t="s">
        <v>246</v>
      </c>
      <c r="C129" s="180" t="s">
        <v>247</v>
      </c>
      <c r="D129" s="180"/>
      <c r="E129" s="180"/>
      <c r="F129" s="180"/>
      <c r="G129" s="181"/>
      <c r="H129" s="190"/>
      <c r="I129" s="172"/>
      <c r="J129" s="172"/>
      <c r="K129" s="180"/>
      <c r="L129" s="218"/>
    </row>
    <row r="130" spans="1:12">
      <c r="A130" s="12">
        <v>7</v>
      </c>
      <c r="B130" s="1255" t="s">
        <v>248</v>
      </c>
      <c r="C130" s="1256"/>
      <c r="D130" s="1256"/>
      <c r="E130" s="1256"/>
      <c r="F130" s="1256"/>
      <c r="G130" s="1263"/>
      <c r="H130" s="194" t="s">
        <v>249</v>
      </c>
      <c r="I130" s="195"/>
      <c r="J130" s="196"/>
      <c r="K130" s="194" t="s">
        <v>250</v>
      </c>
      <c r="L130" s="219"/>
    </row>
    <row r="131" spans="1:12">
      <c r="A131" s="12">
        <v>8</v>
      </c>
      <c r="B131" s="1255" t="s">
        <v>292</v>
      </c>
      <c r="C131" s="1256"/>
      <c r="D131" s="1256"/>
      <c r="E131" s="1256"/>
      <c r="F131" s="1256"/>
      <c r="G131" s="1263"/>
      <c r="H131" s="194" t="s">
        <v>249</v>
      </c>
      <c r="I131" s="195"/>
      <c r="J131" s="196"/>
      <c r="K131" s="194" t="s">
        <v>250</v>
      </c>
      <c r="L131" s="219"/>
    </row>
    <row r="132" spans="1:12">
      <c r="A132" s="12"/>
      <c r="B132" s="166"/>
      <c r="C132" s="198"/>
      <c r="D132" s="198"/>
      <c r="E132" s="198"/>
      <c r="F132" s="198" t="s">
        <v>251</v>
      </c>
      <c r="G132" s="198"/>
      <c r="H132" s="198"/>
      <c r="I132" s="198"/>
      <c r="J132" s="198"/>
      <c r="K132" s="198"/>
      <c r="L132" s="220"/>
    </row>
    <row r="133" spans="1:12">
      <c r="A133" s="12">
        <v>9</v>
      </c>
      <c r="B133" s="179" t="s">
        <v>252</v>
      </c>
      <c r="C133" s="180" t="s">
        <v>253</v>
      </c>
      <c r="D133" s="180"/>
      <c r="E133" s="180"/>
      <c r="F133" s="180"/>
      <c r="G133" s="181"/>
      <c r="H133" s="190"/>
      <c r="I133" s="180"/>
      <c r="J133" s="180"/>
      <c r="K133" s="180"/>
      <c r="L133" s="218"/>
    </row>
    <row r="134" spans="1:12">
      <c r="A134" s="84"/>
      <c r="B134" s="179" t="s">
        <v>254</v>
      </c>
      <c r="C134" s="180" t="s">
        <v>255</v>
      </c>
      <c r="D134" s="180"/>
      <c r="E134" s="180"/>
      <c r="F134" s="180"/>
      <c r="G134" s="181"/>
      <c r="H134" s="190"/>
      <c r="I134" s="180"/>
      <c r="J134" s="180"/>
      <c r="K134" s="180"/>
      <c r="L134" s="218"/>
    </row>
    <row r="135" spans="1:12">
      <c r="A135" s="84"/>
      <c r="B135" s="179" t="s">
        <v>293</v>
      </c>
      <c r="C135" s="180" t="s">
        <v>294</v>
      </c>
      <c r="D135" s="180"/>
      <c r="E135" s="180"/>
      <c r="F135" s="180"/>
      <c r="G135" s="181"/>
      <c r="H135" s="190"/>
      <c r="I135" s="180"/>
      <c r="J135" s="180"/>
      <c r="K135" s="180"/>
      <c r="L135" s="218"/>
    </row>
    <row r="136" spans="1:12">
      <c r="A136" s="84"/>
      <c r="B136" s="179" t="s">
        <v>257</v>
      </c>
      <c r="C136" s="180" t="s">
        <v>258</v>
      </c>
      <c r="D136" s="180"/>
      <c r="E136" s="180"/>
      <c r="F136" s="180"/>
      <c r="G136" s="181"/>
      <c r="H136" s="190"/>
      <c r="I136" s="180"/>
      <c r="J136" s="180"/>
      <c r="K136" s="180"/>
      <c r="L136" s="218"/>
    </row>
    <row r="137" spans="1:12">
      <c r="A137" s="84"/>
      <c r="B137" s="179" t="s">
        <v>259</v>
      </c>
      <c r="C137" s="180" t="s">
        <v>260</v>
      </c>
      <c r="D137" s="180"/>
      <c r="E137" s="180"/>
      <c r="F137" s="180"/>
      <c r="G137" s="181"/>
      <c r="H137" s="190"/>
      <c r="I137" s="180"/>
      <c r="J137" s="180"/>
      <c r="K137" s="180"/>
      <c r="L137" s="218"/>
    </row>
    <row r="138" spans="1:12">
      <c r="A138" s="84">
        <v>10</v>
      </c>
      <c r="B138" s="179" t="s">
        <v>252</v>
      </c>
      <c r="C138" s="180" t="s">
        <v>295</v>
      </c>
      <c r="D138" s="180"/>
      <c r="E138" s="180"/>
      <c r="F138" s="180"/>
      <c r="G138" s="181"/>
      <c r="H138" s="194" t="s">
        <v>249</v>
      </c>
      <c r="I138" s="195"/>
      <c r="J138" s="196"/>
      <c r="K138" s="194" t="s">
        <v>250</v>
      </c>
      <c r="L138" s="219"/>
    </row>
    <row r="139" spans="1:12">
      <c r="A139" s="84"/>
      <c r="B139" s="179" t="s">
        <v>254</v>
      </c>
      <c r="C139" s="180" t="s">
        <v>296</v>
      </c>
      <c r="D139" s="180"/>
      <c r="E139" s="180"/>
      <c r="F139" s="180"/>
      <c r="G139" s="181"/>
      <c r="H139" s="190"/>
      <c r="I139" s="180"/>
      <c r="J139" s="180"/>
      <c r="K139" s="180"/>
      <c r="L139" s="218"/>
    </row>
    <row r="140" spans="1:12">
      <c r="A140" s="84"/>
      <c r="B140" s="179" t="s">
        <v>293</v>
      </c>
      <c r="C140" s="180" t="s">
        <v>261</v>
      </c>
      <c r="D140" s="180"/>
      <c r="E140" s="180"/>
      <c r="F140" s="180"/>
      <c r="G140" s="181"/>
      <c r="H140" s="190"/>
      <c r="I140" s="180"/>
      <c r="J140" s="180"/>
      <c r="K140" s="180"/>
      <c r="L140" s="218"/>
    </row>
    <row r="141" spans="1:12">
      <c r="A141" s="84"/>
      <c r="B141" s="179" t="s">
        <v>257</v>
      </c>
      <c r="C141" s="180" t="s">
        <v>297</v>
      </c>
      <c r="D141" s="180"/>
      <c r="E141" s="180"/>
      <c r="F141" s="180"/>
      <c r="G141" s="181"/>
      <c r="H141" s="190"/>
      <c r="I141" s="180"/>
      <c r="J141" s="180"/>
      <c r="K141" s="180"/>
      <c r="L141" s="218"/>
    </row>
    <row r="142" spans="1:12">
      <c r="A142" s="12"/>
      <c r="B142" s="166"/>
      <c r="C142" s="198"/>
      <c r="D142" s="198"/>
      <c r="E142" s="198" t="s">
        <v>298</v>
      </c>
      <c r="F142" s="198"/>
      <c r="G142" s="198"/>
      <c r="H142" s="198"/>
      <c r="I142" s="198"/>
      <c r="J142" s="198"/>
      <c r="K142" s="198"/>
      <c r="L142" s="220"/>
    </row>
    <row r="143" spans="1:12">
      <c r="A143" s="12">
        <v>11</v>
      </c>
      <c r="B143" s="179" t="s">
        <v>252</v>
      </c>
      <c r="C143" s="180" t="s">
        <v>262</v>
      </c>
      <c r="D143" s="180"/>
      <c r="E143" s="180"/>
      <c r="F143" s="180"/>
      <c r="G143" s="181"/>
      <c r="H143" s="190"/>
      <c r="I143" s="180"/>
      <c r="J143" s="180"/>
      <c r="K143" s="180"/>
      <c r="L143" s="218"/>
    </row>
    <row r="144" spans="1:12">
      <c r="A144" s="12"/>
      <c r="B144" s="179" t="s">
        <v>254</v>
      </c>
      <c r="C144" s="180" t="s">
        <v>263</v>
      </c>
      <c r="D144" s="180"/>
      <c r="E144" s="180"/>
      <c r="F144" s="180"/>
      <c r="G144" s="181"/>
      <c r="H144" s="190"/>
      <c r="I144" s="180"/>
      <c r="J144" s="180"/>
      <c r="K144" s="180"/>
      <c r="L144" s="218"/>
    </row>
    <row r="145" spans="1:12">
      <c r="A145" s="12"/>
      <c r="B145" s="179" t="s">
        <v>256</v>
      </c>
      <c r="C145" s="180" t="s">
        <v>264</v>
      </c>
      <c r="D145" s="180"/>
      <c r="E145" s="180"/>
      <c r="F145" s="180"/>
      <c r="G145" s="181"/>
      <c r="H145" s="190"/>
      <c r="I145" s="180"/>
      <c r="J145" s="180"/>
      <c r="K145" s="180"/>
      <c r="L145" s="218"/>
    </row>
    <row r="146" spans="1:12">
      <c r="A146" s="12"/>
      <c r="B146" s="154"/>
      <c r="C146" s="150"/>
      <c r="D146" s="150"/>
      <c r="E146" s="150"/>
      <c r="F146" s="199" t="s">
        <v>265</v>
      </c>
      <c r="G146" s="150"/>
      <c r="H146" s="139"/>
      <c r="I146" s="139"/>
      <c r="J146" s="139"/>
      <c r="K146" s="139"/>
      <c r="L146" s="157"/>
    </row>
    <row r="147" spans="1:12">
      <c r="A147" s="12"/>
      <c r="B147" s="211" t="s">
        <v>266</v>
      </c>
      <c r="C147" s="210" t="s">
        <v>267</v>
      </c>
      <c r="D147" s="150"/>
      <c r="E147" s="150"/>
      <c r="F147" s="150"/>
      <c r="G147" s="150"/>
      <c r="H147" s="139"/>
      <c r="I147" s="139"/>
      <c r="J147" s="140"/>
      <c r="K147" s="139"/>
      <c r="L147" s="157"/>
    </row>
    <row r="148" spans="1:12">
      <c r="A148" s="12"/>
      <c r="B148" s="211" t="s">
        <v>268</v>
      </c>
      <c r="C148" s="209" t="s">
        <v>269</v>
      </c>
      <c r="D148" s="139"/>
      <c r="E148" s="140"/>
      <c r="G148" s="1264"/>
      <c r="H148" s="1264"/>
      <c r="I148" s="155"/>
      <c r="J148" s="156"/>
      <c r="K148" s="1264"/>
      <c r="L148" s="1265"/>
    </row>
    <row r="149" spans="1:12">
      <c r="A149" s="12"/>
      <c r="B149" s="212" t="s">
        <v>270</v>
      </c>
      <c r="C149" s="1266" t="s">
        <v>299</v>
      </c>
      <c r="D149" s="1266"/>
      <c r="E149" s="1266"/>
      <c r="F149" s="1266"/>
      <c r="G149" s="1266"/>
      <c r="H149" s="1266"/>
      <c r="I149" s="1266"/>
      <c r="J149" s="1266"/>
      <c r="K149" s="1266"/>
      <c r="L149" s="1267"/>
    </row>
    <row r="150" spans="1:12">
      <c r="A150" s="12"/>
      <c r="B150" s="211" t="s">
        <v>271</v>
      </c>
      <c r="C150" s="210" t="s">
        <v>272</v>
      </c>
      <c r="D150" s="202"/>
      <c r="E150" s="202"/>
      <c r="F150" s="202"/>
      <c r="G150" s="202"/>
      <c r="H150" s="202"/>
      <c r="I150" s="202"/>
      <c r="J150" s="202"/>
      <c r="K150" s="202"/>
      <c r="L150" s="221"/>
    </row>
    <row r="151" spans="1:12">
      <c r="A151" s="12"/>
      <c r="B151" s="154"/>
      <c r="C151" t="s">
        <v>300</v>
      </c>
      <c r="D151" s="268" t="e">
        <f>'0422Master'!#REF!</f>
        <v>#REF!</v>
      </c>
      <c r="E151" s="2"/>
      <c r="F151" s="2"/>
      <c r="G151" s="2"/>
      <c r="L151" s="13"/>
    </row>
    <row r="152" spans="1:12">
      <c r="A152" s="12"/>
      <c r="C152" t="s">
        <v>273</v>
      </c>
      <c r="D152" t="s">
        <v>362</v>
      </c>
      <c r="J152" t="s">
        <v>301</v>
      </c>
      <c r="L152" s="13"/>
    </row>
    <row r="153" spans="1:12">
      <c r="A153" s="12"/>
      <c r="L153" s="13"/>
    </row>
    <row r="154" spans="1:12">
      <c r="A154" s="12"/>
      <c r="F154" s="200" t="s">
        <v>274</v>
      </c>
      <c r="L154" s="13"/>
    </row>
    <row r="155" spans="1:12">
      <c r="A155" s="12" t="s">
        <v>302</v>
      </c>
      <c r="B155" t="s">
        <v>275</v>
      </c>
      <c r="E155" s="203" t="e">
        <f>'0422Master'!#REF!</f>
        <v>#REF!</v>
      </c>
      <c r="H155" s="1268" t="s">
        <v>276</v>
      </c>
      <c r="I155" s="1268"/>
      <c r="J155" s="204" t="e">
        <f>'0422Master'!#REF!</f>
        <v>#REF!</v>
      </c>
      <c r="K155" t="s">
        <v>277</v>
      </c>
      <c r="L155" s="13"/>
    </row>
    <row r="156" spans="1:12">
      <c r="A156" s="12"/>
      <c r="B156" s="1269" t="e">
        <f>'0422Master'!#REF!</f>
        <v>#REF!</v>
      </c>
      <c r="C156" s="1270"/>
      <c r="D156" s="201"/>
      <c r="E156" s="201"/>
      <c r="F156" s="201"/>
      <c r="G156" s="201"/>
      <c r="H156" s="201"/>
      <c r="I156" s="201"/>
      <c r="J156" s="201"/>
      <c r="K156" s="201"/>
      <c r="L156" s="222"/>
    </row>
    <row r="157" spans="1:12">
      <c r="A157" s="12" t="s">
        <v>304</v>
      </c>
      <c r="B157" s="201" t="s">
        <v>278</v>
      </c>
      <c r="C157" s="201"/>
      <c r="D157" s="201"/>
      <c r="E157" s="201"/>
      <c r="F157" s="201"/>
      <c r="G157" s="201"/>
      <c r="H157" s="201"/>
      <c r="I157" s="201"/>
      <c r="J157" s="201"/>
      <c r="K157" s="201"/>
      <c r="L157" s="222"/>
    </row>
    <row r="158" spans="1:12">
      <c r="A158" s="12"/>
      <c r="B158" s="201" t="s">
        <v>303</v>
      </c>
      <c r="C158" s="201"/>
      <c r="D158" s="201"/>
      <c r="E158" s="201"/>
      <c r="F158" s="201"/>
      <c r="G158" s="201"/>
      <c r="H158" s="201"/>
      <c r="I158" s="201"/>
      <c r="J158" s="201"/>
      <c r="K158" s="201"/>
      <c r="L158" s="222"/>
    </row>
    <row r="159" spans="1:12">
      <c r="A159" s="12"/>
      <c r="B159" t="s">
        <v>279</v>
      </c>
      <c r="L159" s="13"/>
    </row>
    <row r="160" spans="1:12" ht="18.75">
      <c r="A160" s="12"/>
      <c r="B160" s="2" t="s">
        <v>280</v>
      </c>
      <c r="F160" s="153"/>
      <c r="L160" s="13"/>
    </row>
    <row r="161" spans="1:12">
      <c r="A161" s="12"/>
      <c r="B161" s="2" t="s">
        <v>281</v>
      </c>
      <c r="L161" s="13"/>
    </row>
    <row r="162" spans="1:12" ht="27.95" customHeight="1">
      <c r="A162" s="12"/>
      <c r="B162" t="s">
        <v>282</v>
      </c>
      <c r="L162" s="13"/>
    </row>
    <row r="163" spans="1:12" ht="27.95" customHeight="1">
      <c r="A163" s="12"/>
      <c r="B163" t="s">
        <v>283</v>
      </c>
      <c r="L163" s="13"/>
    </row>
    <row r="164" spans="1:12" ht="27.95" customHeight="1">
      <c r="A164" s="12" t="s">
        <v>293</v>
      </c>
      <c r="B164" t="s">
        <v>284</v>
      </c>
      <c r="L164" s="13"/>
    </row>
    <row r="165" spans="1:12" ht="27.95" customHeight="1">
      <c r="A165" s="12"/>
      <c r="B165" s="213" t="s">
        <v>305</v>
      </c>
      <c r="L165" s="13"/>
    </row>
    <row r="166" spans="1:12" ht="27.95" customHeight="1">
      <c r="A166" s="12"/>
      <c r="B166" t="s">
        <v>279</v>
      </c>
      <c r="L166" s="13"/>
    </row>
    <row r="167" spans="1:12" ht="27.95" customHeight="1">
      <c r="A167" s="12"/>
      <c r="B167" t="s">
        <v>285</v>
      </c>
      <c r="L167" s="13"/>
    </row>
    <row r="168" spans="1:12" ht="27.95" customHeight="1">
      <c r="A168" s="12"/>
      <c r="B168" t="s">
        <v>286</v>
      </c>
      <c r="L168" s="13"/>
    </row>
    <row r="169" spans="1:12" ht="27.95" customHeight="1">
      <c r="A169" s="12"/>
      <c r="B169" s="1271" t="s">
        <v>287</v>
      </c>
      <c r="C169" s="1271"/>
      <c r="D169" s="1271"/>
      <c r="E169" s="1271"/>
      <c r="F169" s="1271"/>
      <c r="G169" s="1271"/>
      <c r="H169" s="1271"/>
      <c r="I169" s="1271"/>
      <c r="J169" s="1271"/>
      <c r="K169" s="1271"/>
      <c r="L169" s="1272"/>
    </row>
    <row r="170" spans="1:12" ht="27.95" customHeight="1">
      <c r="A170" s="12"/>
      <c r="B170" t="s">
        <v>199</v>
      </c>
      <c r="C170" s="263" t="e">
        <f>D151</f>
        <v>#REF!</v>
      </c>
      <c r="D170" s="183"/>
      <c r="E170" s="183"/>
      <c r="F170" s="183"/>
      <c r="G170" s="183"/>
      <c r="H170" s="183"/>
      <c r="I170" t="s">
        <v>306</v>
      </c>
      <c r="J170" s="183"/>
      <c r="K170" s="183"/>
      <c r="L170" s="214"/>
    </row>
    <row r="171" spans="1:12" ht="27.95" customHeight="1" thickBot="1">
      <c r="A171" s="24"/>
      <c r="B171" s="1088"/>
      <c r="C171" s="1088"/>
      <c r="D171" s="1088"/>
      <c r="E171" s="1088"/>
      <c r="F171" s="1088"/>
      <c r="G171" s="1088"/>
      <c r="H171" s="1088"/>
      <c r="I171" s="1088"/>
      <c r="J171" s="1088"/>
      <c r="K171" s="1088"/>
      <c r="L171" s="1089"/>
    </row>
    <row r="172" spans="1:12" ht="27.95" customHeight="1">
      <c r="A172" s="73"/>
      <c r="B172" s="74"/>
      <c r="C172" s="74"/>
      <c r="D172" s="74"/>
      <c r="E172" s="74"/>
      <c r="F172" s="74"/>
      <c r="G172" s="74"/>
      <c r="H172" s="74"/>
      <c r="I172" s="78" t="s">
        <v>233</v>
      </c>
      <c r="J172" s="74"/>
      <c r="K172" s="74"/>
      <c r="L172" s="75"/>
    </row>
    <row r="173" spans="1:12" ht="27.95" customHeight="1">
      <c r="A173" s="12"/>
      <c r="B173" s="1273" t="s">
        <v>288</v>
      </c>
      <c r="C173" s="1273"/>
      <c r="D173" s="1273"/>
      <c r="E173" s="1273"/>
      <c r="F173" s="1273"/>
      <c r="G173" s="1273"/>
      <c r="H173" s="1273"/>
      <c r="I173" s="1273"/>
      <c r="J173" s="1273"/>
      <c r="K173" s="1273"/>
      <c r="L173" s="1274"/>
    </row>
    <row r="174" spans="1:12" ht="27.95" customHeight="1">
      <c r="A174" s="12"/>
      <c r="B174" s="183"/>
      <c r="C174" s="183"/>
      <c r="D174" s="191" t="s">
        <v>235</v>
      </c>
      <c r="E174" s="183"/>
      <c r="F174" s="183"/>
      <c r="G174" s="183"/>
      <c r="H174" s="183"/>
      <c r="I174" s="185" t="s">
        <v>289</v>
      </c>
      <c r="J174" s="186"/>
      <c r="K174" s="267" t="e">
        <f>'0422Master'!#REF!</f>
        <v>#REF!</v>
      </c>
      <c r="L174" s="216"/>
    </row>
    <row r="175" spans="1:12" ht="27.95" customHeight="1">
      <c r="A175" s="12"/>
      <c r="B175" s="1"/>
      <c r="C175" s="1" t="s">
        <v>236</v>
      </c>
      <c r="E175" s="1"/>
      <c r="F175" s="1"/>
      <c r="G175" s="1"/>
      <c r="H175" s="1"/>
      <c r="I175" s="184" t="s">
        <v>290</v>
      </c>
      <c r="J175" s="269" t="str">
        <f>'0422Master'!F5</f>
        <v>Burgeon IT Services Pvt.Ltd.</v>
      </c>
      <c r="K175" s="187"/>
      <c r="L175" s="217"/>
    </row>
    <row r="176" spans="1:12" ht="27.95" customHeight="1">
      <c r="A176" s="12"/>
      <c r="B176" s="192"/>
      <c r="C176" s="161" t="s">
        <v>237</v>
      </c>
      <c r="E176" s="192"/>
      <c r="F176" s="192"/>
      <c r="H176" s="162"/>
      <c r="I176" s="208" t="str">
        <f>'0422Master'!F6</f>
        <v>Siri Mansion LIGB 436 Dr.A S Rao Nagar,Hyderabad</v>
      </c>
      <c r="J176" s="206"/>
      <c r="K176" s="207"/>
      <c r="L176" s="171"/>
    </row>
    <row r="177" spans="1:12" ht="15.75" customHeight="1">
      <c r="A177" s="12"/>
      <c r="L177" s="13"/>
    </row>
    <row r="178" spans="1:12" ht="27" customHeight="1">
      <c r="A178" s="12">
        <v>1</v>
      </c>
      <c r="B178" s="188" t="s">
        <v>238</v>
      </c>
      <c r="C178" s="63"/>
      <c r="D178" s="63"/>
      <c r="E178" s="63"/>
      <c r="F178" s="63"/>
      <c r="G178" s="64"/>
      <c r="H178" s="1229" t="e">
        <f>'0422Master'!#REF!</f>
        <v>#REF!</v>
      </c>
      <c r="I178" s="1251"/>
      <c r="J178" s="1251"/>
      <c r="K178" s="1251"/>
      <c r="L178" s="1252"/>
    </row>
    <row r="179" spans="1:12" ht="17.25" customHeight="1">
      <c r="A179" s="12">
        <v>2</v>
      </c>
      <c r="B179" s="1275" t="s">
        <v>239</v>
      </c>
      <c r="C179" s="1276"/>
      <c r="D179" s="1276"/>
      <c r="E179" s="1276"/>
      <c r="F179" s="189" t="s">
        <v>240</v>
      </c>
      <c r="G179" s="173"/>
      <c r="H179" s="1277" t="e">
        <f>'0422Master'!#REF!</f>
        <v>#REF!</v>
      </c>
      <c r="I179" s="1278"/>
      <c r="J179" s="1278"/>
      <c r="K179" s="1278"/>
      <c r="L179" s="1279"/>
    </row>
    <row r="180" spans="1:12" ht="11.25" customHeight="1">
      <c r="A180" s="12"/>
      <c r="B180" s="174" t="s">
        <v>241</v>
      </c>
      <c r="C180" s="175"/>
      <c r="D180" s="175"/>
      <c r="E180" s="175"/>
      <c r="F180" s="175" t="s">
        <v>234</v>
      </c>
      <c r="G180" s="176"/>
      <c r="H180" s="1280"/>
      <c r="I180" s="1281"/>
      <c r="J180" s="1281"/>
      <c r="K180" s="1281"/>
      <c r="L180" s="1282"/>
    </row>
    <row r="181" spans="1:12">
      <c r="A181" s="12">
        <v>3</v>
      </c>
      <c r="B181" s="190" t="s">
        <v>242</v>
      </c>
      <c r="C181" s="180"/>
      <c r="D181" s="180"/>
      <c r="E181" s="180"/>
      <c r="F181" s="180"/>
      <c r="G181" s="181"/>
      <c r="H181" s="1255" t="e">
        <f>'0422Master'!#REF!</f>
        <v>#REF!</v>
      </c>
      <c r="I181" s="1256"/>
      <c r="J181" s="1256"/>
      <c r="K181" s="1256"/>
      <c r="L181" s="1257"/>
    </row>
    <row r="182" spans="1:12">
      <c r="A182" s="12">
        <v>4</v>
      </c>
      <c r="B182" s="166" t="s">
        <v>243</v>
      </c>
      <c r="C182" s="63"/>
      <c r="D182" s="63"/>
      <c r="E182" s="63"/>
      <c r="F182" s="63"/>
      <c r="G182" s="64"/>
      <c r="H182" s="1221" t="e">
        <f>'0422Master'!#REF!</f>
        <v>#REF!</v>
      </c>
      <c r="I182" s="1243"/>
      <c r="J182" s="1243"/>
      <c r="K182" s="1243"/>
      <c r="L182" s="1237"/>
    </row>
    <row r="183" spans="1:12">
      <c r="A183" s="12">
        <v>5</v>
      </c>
      <c r="B183" s="1258" t="s">
        <v>291</v>
      </c>
      <c r="C183" s="1259"/>
      <c r="D183" s="1259"/>
      <c r="E183" s="1259"/>
      <c r="F183" s="1259"/>
      <c r="G183" s="64"/>
      <c r="H183" s="1250" t="s">
        <v>370</v>
      </c>
      <c r="I183" s="1251"/>
      <c r="J183" s="1251"/>
      <c r="K183" s="1251"/>
      <c r="L183" s="1252"/>
    </row>
    <row r="184" spans="1:12">
      <c r="A184" s="12">
        <v>6</v>
      </c>
      <c r="B184" s="179" t="s">
        <v>244</v>
      </c>
      <c r="C184" s="180" t="s">
        <v>245</v>
      </c>
      <c r="D184" s="180"/>
      <c r="E184" s="180"/>
      <c r="F184" s="180"/>
      <c r="G184" s="181"/>
      <c r="H184" s="190"/>
      <c r="I184" s="180"/>
      <c r="J184" s="180"/>
      <c r="K184" s="180"/>
      <c r="L184" s="218"/>
    </row>
    <row r="185" spans="1:12">
      <c r="A185" s="12"/>
      <c r="B185" s="179" t="s">
        <v>246</v>
      </c>
      <c r="C185" s="180" t="s">
        <v>247</v>
      </c>
      <c r="D185" s="180"/>
      <c r="E185" s="180"/>
      <c r="F185" s="180"/>
      <c r="G185" s="181"/>
      <c r="H185" s="190"/>
      <c r="I185" s="172"/>
      <c r="J185" s="172"/>
      <c r="K185" s="180"/>
      <c r="L185" s="218"/>
    </row>
    <row r="186" spans="1:12">
      <c r="A186" s="12">
        <v>7</v>
      </c>
      <c r="B186" s="1255" t="s">
        <v>248</v>
      </c>
      <c r="C186" s="1256"/>
      <c r="D186" s="1256"/>
      <c r="E186" s="1256"/>
      <c r="F186" s="1256"/>
      <c r="G186" s="1263"/>
      <c r="H186" s="194" t="s">
        <v>249</v>
      </c>
      <c r="I186" s="195"/>
      <c r="J186" s="196"/>
      <c r="K186" s="194" t="s">
        <v>250</v>
      </c>
      <c r="L186" s="219"/>
    </row>
    <row r="187" spans="1:12">
      <c r="A187" s="12">
        <v>8</v>
      </c>
      <c r="B187" s="1255" t="s">
        <v>292</v>
      </c>
      <c r="C187" s="1256"/>
      <c r="D187" s="1256"/>
      <c r="E187" s="1256"/>
      <c r="F187" s="1256"/>
      <c r="G187" s="1263"/>
      <c r="H187" s="194" t="s">
        <v>249</v>
      </c>
      <c r="I187" s="195"/>
      <c r="J187" s="196"/>
      <c r="K187" s="194" t="s">
        <v>250</v>
      </c>
      <c r="L187" s="219"/>
    </row>
    <row r="188" spans="1:12">
      <c r="A188" s="12"/>
      <c r="B188" s="166"/>
      <c r="C188" s="198"/>
      <c r="D188" s="198"/>
      <c r="E188" s="198"/>
      <c r="F188" s="198" t="s">
        <v>251</v>
      </c>
      <c r="G188" s="198"/>
      <c r="H188" s="198"/>
      <c r="I188" s="198"/>
      <c r="J188" s="198"/>
      <c r="K188" s="198"/>
      <c r="L188" s="220"/>
    </row>
    <row r="189" spans="1:12">
      <c r="A189" s="12">
        <v>9</v>
      </c>
      <c r="B189" s="179" t="s">
        <v>252</v>
      </c>
      <c r="C189" s="180" t="s">
        <v>253</v>
      </c>
      <c r="D189" s="180"/>
      <c r="E189" s="180"/>
      <c r="F189" s="180"/>
      <c r="G189" s="181"/>
      <c r="H189" s="190"/>
      <c r="I189" s="180"/>
      <c r="J189" s="180"/>
      <c r="K189" s="180"/>
      <c r="L189" s="218"/>
    </row>
    <row r="190" spans="1:12">
      <c r="A190" s="84"/>
      <c r="B190" s="179" t="s">
        <v>254</v>
      </c>
      <c r="C190" s="180" t="s">
        <v>255</v>
      </c>
      <c r="D190" s="180"/>
      <c r="E190" s="180"/>
      <c r="F190" s="180"/>
      <c r="G190" s="181"/>
      <c r="H190" s="190"/>
      <c r="I190" s="180"/>
      <c r="J190" s="180"/>
      <c r="K190" s="180"/>
      <c r="L190" s="218"/>
    </row>
    <row r="191" spans="1:12">
      <c r="A191" s="84"/>
      <c r="B191" s="179" t="s">
        <v>293</v>
      </c>
      <c r="C191" s="180" t="s">
        <v>294</v>
      </c>
      <c r="D191" s="180"/>
      <c r="E191" s="180"/>
      <c r="F191" s="180"/>
      <c r="G191" s="181"/>
      <c r="H191" s="190"/>
      <c r="I191" s="180"/>
      <c r="J191" s="180"/>
      <c r="K191" s="180"/>
      <c r="L191" s="218"/>
    </row>
    <row r="192" spans="1:12">
      <c r="A192" s="84"/>
      <c r="B192" s="179" t="s">
        <v>257</v>
      </c>
      <c r="C192" s="180" t="s">
        <v>258</v>
      </c>
      <c r="D192" s="180"/>
      <c r="E192" s="180"/>
      <c r="F192" s="180"/>
      <c r="G192" s="181"/>
      <c r="H192" s="190"/>
      <c r="I192" s="180"/>
      <c r="J192" s="180"/>
      <c r="K192" s="180"/>
      <c r="L192" s="218"/>
    </row>
    <row r="193" spans="1:12">
      <c r="A193" s="84"/>
      <c r="B193" s="179" t="s">
        <v>259</v>
      </c>
      <c r="C193" s="180" t="s">
        <v>260</v>
      </c>
      <c r="D193" s="180"/>
      <c r="E193" s="180"/>
      <c r="F193" s="180"/>
      <c r="G193" s="181"/>
      <c r="H193" s="190"/>
      <c r="I193" s="180"/>
      <c r="J193" s="180"/>
      <c r="K193" s="180"/>
      <c r="L193" s="218"/>
    </row>
    <row r="194" spans="1:12">
      <c r="A194" s="84">
        <v>10</v>
      </c>
      <c r="B194" s="179" t="s">
        <v>252</v>
      </c>
      <c r="C194" s="180" t="s">
        <v>295</v>
      </c>
      <c r="D194" s="180"/>
      <c r="E194" s="180"/>
      <c r="F194" s="180"/>
      <c r="G194" s="181"/>
      <c r="H194" s="194" t="s">
        <v>249</v>
      </c>
      <c r="I194" s="195"/>
      <c r="J194" s="196"/>
      <c r="K194" s="194" t="s">
        <v>250</v>
      </c>
      <c r="L194" s="219"/>
    </row>
    <row r="195" spans="1:12">
      <c r="A195" s="84"/>
      <c r="B195" s="179" t="s">
        <v>254</v>
      </c>
      <c r="C195" s="180" t="s">
        <v>296</v>
      </c>
      <c r="D195" s="180"/>
      <c r="E195" s="180"/>
      <c r="F195" s="180"/>
      <c r="G195" s="181"/>
      <c r="H195" s="190"/>
      <c r="I195" s="180"/>
      <c r="J195" s="180"/>
      <c r="K195" s="180"/>
      <c r="L195" s="218"/>
    </row>
    <row r="196" spans="1:12">
      <c r="A196" s="84"/>
      <c r="B196" s="179" t="s">
        <v>293</v>
      </c>
      <c r="C196" s="180" t="s">
        <v>261</v>
      </c>
      <c r="D196" s="180"/>
      <c r="E196" s="180"/>
      <c r="F196" s="180"/>
      <c r="G196" s="181"/>
      <c r="H196" s="190"/>
      <c r="I196" s="180"/>
      <c r="J196" s="180"/>
      <c r="K196" s="180"/>
      <c r="L196" s="218"/>
    </row>
    <row r="197" spans="1:12">
      <c r="A197" s="84"/>
      <c r="B197" s="179" t="s">
        <v>257</v>
      </c>
      <c r="C197" s="180" t="s">
        <v>297</v>
      </c>
      <c r="D197" s="180"/>
      <c r="E197" s="180"/>
      <c r="F197" s="180"/>
      <c r="G197" s="181"/>
      <c r="H197" s="190"/>
      <c r="I197" s="180"/>
      <c r="J197" s="180"/>
      <c r="K197" s="180"/>
      <c r="L197" s="218"/>
    </row>
    <row r="198" spans="1:12">
      <c r="A198" s="12"/>
      <c r="B198" s="166"/>
      <c r="C198" s="198"/>
      <c r="D198" s="198"/>
      <c r="E198" s="198" t="s">
        <v>298</v>
      </c>
      <c r="F198" s="198"/>
      <c r="G198" s="198"/>
      <c r="H198" s="198"/>
      <c r="I198" s="198"/>
      <c r="J198" s="198"/>
      <c r="K198" s="198"/>
      <c r="L198" s="220"/>
    </row>
    <row r="199" spans="1:12">
      <c r="A199" s="12">
        <v>11</v>
      </c>
      <c r="B199" s="179" t="s">
        <v>252</v>
      </c>
      <c r="C199" s="180" t="s">
        <v>262</v>
      </c>
      <c r="D199" s="180"/>
      <c r="E199" s="180"/>
      <c r="F199" s="180"/>
      <c r="G199" s="181"/>
      <c r="H199" s="190"/>
      <c r="I199" s="180"/>
      <c r="J199" s="180"/>
      <c r="K199" s="180"/>
      <c r="L199" s="218"/>
    </row>
    <row r="200" spans="1:12">
      <c r="A200" s="12"/>
      <c r="B200" s="179" t="s">
        <v>254</v>
      </c>
      <c r="C200" s="180" t="s">
        <v>263</v>
      </c>
      <c r="D200" s="180"/>
      <c r="E200" s="180"/>
      <c r="F200" s="180"/>
      <c r="G200" s="181"/>
      <c r="H200" s="190"/>
      <c r="I200" s="180"/>
      <c r="J200" s="180"/>
      <c r="K200" s="180"/>
      <c r="L200" s="218"/>
    </row>
    <row r="201" spans="1:12">
      <c r="A201" s="12"/>
      <c r="B201" s="179" t="s">
        <v>256</v>
      </c>
      <c r="C201" s="180" t="s">
        <v>264</v>
      </c>
      <c r="D201" s="180"/>
      <c r="E201" s="180"/>
      <c r="F201" s="180"/>
      <c r="G201" s="181"/>
      <c r="H201" s="190"/>
      <c r="I201" s="180"/>
      <c r="J201" s="180"/>
      <c r="K201" s="180"/>
      <c r="L201" s="218"/>
    </row>
    <row r="202" spans="1:12">
      <c r="A202" s="12"/>
      <c r="B202" s="154"/>
      <c r="C202" s="150"/>
      <c r="D202" s="150"/>
      <c r="E202" s="150"/>
      <c r="F202" s="199" t="s">
        <v>265</v>
      </c>
      <c r="G202" s="150"/>
      <c r="H202" s="139"/>
      <c r="I202" s="139"/>
      <c r="J202" s="139"/>
      <c r="K202" s="139"/>
      <c r="L202" s="157"/>
    </row>
    <row r="203" spans="1:12">
      <c r="A203" s="12"/>
      <c r="B203" s="211" t="s">
        <v>266</v>
      </c>
      <c r="C203" s="210" t="s">
        <v>267</v>
      </c>
      <c r="D203" s="150"/>
      <c r="E203" s="150"/>
      <c r="F203" s="150"/>
      <c r="G203" s="150"/>
      <c r="H203" s="139"/>
      <c r="I203" s="139"/>
      <c r="J203" s="140"/>
      <c r="K203" s="139"/>
      <c r="L203" s="157"/>
    </row>
    <row r="204" spans="1:12">
      <c r="A204" s="12"/>
      <c r="B204" s="211" t="s">
        <v>268</v>
      </c>
      <c r="C204" s="209" t="s">
        <v>269</v>
      </c>
      <c r="D204" s="139"/>
      <c r="E204" s="140"/>
      <c r="G204" s="1264"/>
      <c r="H204" s="1264"/>
      <c r="I204" s="155"/>
      <c r="J204" s="156"/>
      <c r="K204" s="1264"/>
      <c r="L204" s="1265"/>
    </row>
    <row r="205" spans="1:12">
      <c r="A205" s="12"/>
      <c r="B205" s="212" t="s">
        <v>270</v>
      </c>
      <c r="C205" s="1266" t="s">
        <v>299</v>
      </c>
      <c r="D205" s="1266"/>
      <c r="E205" s="1266"/>
      <c r="F205" s="1266"/>
      <c r="G205" s="1266"/>
      <c r="H205" s="1266"/>
      <c r="I205" s="1266"/>
      <c r="J205" s="1266"/>
      <c r="K205" s="1266"/>
      <c r="L205" s="1267"/>
    </row>
    <row r="206" spans="1:12">
      <c r="A206" s="12"/>
      <c r="B206" s="211" t="s">
        <v>271</v>
      </c>
      <c r="C206" s="210" t="s">
        <v>272</v>
      </c>
      <c r="D206" s="202"/>
      <c r="E206" s="202"/>
      <c r="F206" s="202"/>
      <c r="G206" s="202"/>
      <c r="H206" s="202"/>
      <c r="I206" s="202"/>
      <c r="J206" s="202"/>
      <c r="K206" s="202"/>
      <c r="L206" s="221"/>
    </row>
    <row r="207" spans="1:12">
      <c r="A207" s="12"/>
      <c r="B207" s="154"/>
      <c r="C207" t="s">
        <v>300</v>
      </c>
      <c r="D207" s="268" t="e">
        <f>'0422Master'!#REF!</f>
        <v>#REF!</v>
      </c>
      <c r="E207" s="2"/>
      <c r="F207" s="2"/>
      <c r="G207" s="2"/>
      <c r="L207" s="13"/>
    </row>
    <row r="208" spans="1:12">
      <c r="A208" s="12"/>
      <c r="C208" t="s">
        <v>273</v>
      </c>
      <c r="D208" t="s">
        <v>362</v>
      </c>
      <c r="J208" t="s">
        <v>301</v>
      </c>
      <c r="L208" s="13"/>
    </row>
    <row r="209" spans="1:12">
      <c r="A209" s="12"/>
      <c r="L209" s="13"/>
    </row>
    <row r="210" spans="1:12">
      <c r="A210" s="12"/>
      <c r="F210" s="200" t="s">
        <v>274</v>
      </c>
      <c r="L210" s="13"/>
    </row>
    <row r="211" spans="1:12">
      <c r="A211" s="12" t="s">
        <v>302</v>
      </c>
      <c r="B211" t="s">
        <v>275</v>
      </c>
      <c r="E211" s="203" t="e">
        <f>'0422Master'!#REF!</f>
        <v>#REF!</v>
      </c>
      <c r="H211" s="1268" t="s">
        <v>276</v>
      </c>
      <c r="I211" s="1268"/>
      <c r="J211" s="204" t="e">
        <f>'0422Master'!#REF!</f>
        <v>#REF!</v>
      </c>
      <c r="K211" t="s">
        <v>277</v>
      </c>
      <c r="L211" s="13"/>
    </row>
    <row r="212" spans="1:12">
      <c r="A212" s="12"/>
      <c r="B212" s="1269" t="e">
        <f>'0422Master'!#REF!</f>
        <v>#REF!</v>
      </c>
      <c r="C212" s="1270"/>
      <c r="D212" s="201"/>
      <c r="E212" s="201"/>
      <c r="F212" s="201"/>
      <c r="G212" s="201"/>
      <c r="H212" s="201"/>
      <c r="I212" s="201"/>
      <c r="J212" s="201"/>
      <c r="K212" s="201"/>
      <c r="L212" s="222"/>
    </row>
    <row r="213" spans="1:12">
      <c r="A213" s="12" t="s">
        <v>304</v>
      </c>
      <c r="B213" s="201" t="s">
        <v>278</v>
      </c>
      <c r="C213" s="201"/>
      <c r="D213" s="201"/>
      <c r="E213" s="201"/>
      <c r="F213" s="201"/>
      <c r="G213" s="201"/>
      <c r="H213" s="201"/>
      <c r="I213" s="201"/>
      <c r="J213" s="201"/>
      <c r="K213" s="201"/>
      <c r="L213" s="222"/>
    </row>
    <row r="214" spans="1:12">
      <c r="A214" s="12"/>
      <c r="B214" s="201" t="s">
        <v>303</v>
      </c>
      <c r="C214" s="201"/>
      <c r="D214" s="201"/>
      <c r="E214" s="201"/>
      <c r="F214" s="201"/>
      <c r="G214" s="201"/>
      <c r="H214" s="201"/>
      <c r="I214" s="201"/>
      <c r="J214" s="201"/>
      <c r="K214" s="201"/>
      <c r="L214" s="222"/>
    </row>
    <row r="215" spans="1:12" ht="27.95" customHeight="1">
      <c r="A215" s="12"/>
      <c r="B215" t="s">
        <v>279</v>
      </c>
      <c r="L215" s="13"/>
    </row>
    <row r="216" spans="1:12" ht="27.95" customHeight="1">
      <c r="A216" s="12"/>
      <c r="B216" s="2" t="s">
        <v>280</v>
      </c>
      <c r="F216" s="153"/>
      <c r="L216" s="13"/>
    </row>
    <row r="217" spans="1:12" ht="27.95" customHeight="1">
      <c r="A217" s="12"/>
      <c r="B217" s="2" t="s">
        <v>281</v>
      </c>
      <c r="L217" s="13"/>
    </row>
    <row r="218" spans="1:12" ht="27.95" customHeight="1">
      <c r="A218" s="12"/>
      <c r="B218" t="s">
        <v>282</v>
      </c>
      <c r="L218" s="13"/>
    </row>
    <row r="219" spans="1:12" ht="27.95" customHeight="1">
      <c r="A219" s="12"/>
      <c r="B219" t="s">
        <v>283</v>
      </c>
      <c r="L219" s="13"/>
    </row>
    <row r="220" spans="1:12" ht="27.95" customHeight="1">
      <c r="A220" s="12" t="s">
        <v>293</v>
      </c>
      <c r="B220" t="s">
        <v>284</v>
      </c>
      <c r="L220" s="13"/>
    </row>
    <row r="221" spans="1:12" ht="27.95" customHeight="1">
      <c r="A221" s="12"/>
      <c r="B221" s="213" t="s">
        <v>305</v>
      </c>
      <c r="L221" s="13"/>
    </row>
    <row r="222" spans="1:12" ht="27.95" customHeight="1">
      <c r="A222" s="12"/>
      <c r="B222" t="s">
        <v>279</v>
      </c>
      <c r="L222" s="13"/>
    </row>
    <row r="223" spans="1:12" ht="27.95" customHeight="1">
      <c r="A223" s="12"/>
      <c r="B223" t="s">
        <v>285</v>
      </c>
      <c r="L223" s="13"/>
    </row>
    <row r="224" spans="1:12" ht="27.95" customHeight="1">
      <c r="A224" s="12"/>
      <c r="B224" t="s">
        <v>286</v>
      </c>
      <c r="L224" s="13"/>
    </row>
    <row r="225" spans="1:12" ht="27.95" customHeight="1">
      <c r="A225" s="12"/>
      <c r="B225" s="1271" t="s">
        <v>287</v>
      </c>
      <c r="C225" s="1271"/>
      <c r="D225" s="1271"/>
      <c r="E225" s="1271"/>
      <c r="F225" s="1271"/>
      <c r="G225" s="1271"/>
      <c r="H225" s="1271"/>
      <c r="I225" s="1271"/>
      <c r="J225" s="1271"/>
      <c r="K225" s="1271"/>
      <c r="L225" s="1272"/>
    </row>
    <row r="226" spans="1:12" ht="27.95" customHeight="1">
      <c r="A226" s="12"/>
      <c r="B226" t="s">
        <v>199</v>
      </c>
      <c r="C226" s="263" t="e">
        <f>D207</f>
        <v>#REF!</v>
      </c>
      <c r="D226" s="183"/>
      <c r="E226" s="183"/>
      <c r="F226" s="183"/>
      <c r="G226" s="183"/>
      <c r="H226" s="183"/>
      <c r="I226" t="s">
        <v>306</v>
      </c>
      <c r="J226" s="183"/>
      <c r="K226" s="183"/>
      <c r="L226" s="214"/>
    </row>
    <row r="227" spans="1:12" ht="27.95" customHeight="1" thickBot="1">
      <c r="A227" s="24"/>
      <c r="B227" s="1088"/>
      <c r="C227" s="1088"/>
      <c r="D227" s="1088"/>
      <c r="E227" s="1088"/>
      <c r="F227" s="1088"/>
      <c r="G227" s="1088"/>
      <c r="H227" s="1088"/>
      <c r="I227" s="1088"/>
      <c r="J227" s="1088"/>
      <c r="K227" s="1088"/>
      <c r="L227" s="1089"/>
    </row>
    <row r="228" spans="1:12" ht="27.95" customHeight="1">
      <c r="A228" s="73"/>
      <c r="B228" s="74"/>
      <c r="C228" s="74"/>
      <c r="D228" s="74"/>
      <c r="E228" s="74"/>
      <c r="F228" s="74"/>
      <c r="G228" s="74"/>
      <c r="H228" s="74"/>
      <c r="I228" s="78" t="s">
        <v>233</v>
      </c>
      <c r="J228" s="74"/>
      <c r="K228" s="74"/>
      <c r="L228" s="75"/>
    </row>
    <row r="229" spans="1:12" ht="27.95" customHeight="1">
      <c r="A229" s="12"/>
      <c r="B229" s="1273" t="s">
        <v>288</v>
      </c>
      <c r="C229" s="1273"/>
      <c r="D229" s="1273"/>
      <c r="E229" s="1273"/>
      <c r="F229" s="1273"/>
      <c r="G229" s="1273"/>
      <c r="H229" s="1273"/>
      <c r="I229" s="1273"/>
      <c r="J229" s="1273"/>
      <c r="K229" s="1273"/>
      <c r="L229" s="1274"/>
    </row>
    <row r="230" spans="1:12" ht="27.95" customHeight="1">
      <c r="A230" s="12"/>
      <c r="B230" s="183"/>
      <c r="C230" s="183"/>
      <c r="D230" s="191" t="s">
        <v>235</v>
      </c>
      <c r="E230" s="183"/>
      <c r="F230" s="183"/>
      <c r="G230" s="183"/>
      <c r="H230" s="183"/>
      <c r="I230" s="185" t="s">
        <v>289</v>
      </c>
      <c r="J230" s="186"/>
      <c r="K230" s="267" t="e">
        <f>'0422Master'!#REF!</f>
        <v>#REF!</v>
      </c>
      <c r="L230" s="216"/>
    </row>
    <row r="231" spans="1:12" ht="27.95" customHeight="1">
      <c r="A231" s="12"/>
      <c r="B231" s="1"/>
      <c r="C231" s="1" t="s">
        <v>236</v>
      </c>
      <c r="E231" s="1"/>
      <c r="F231" s="1"/>
      <c r="G231" s="1"/>
      <c r="H231" s="1"/>
      <c r="I231" s="184" t="s">
        <v>290</v>
      </c>
      <c r="J231" s="205" t="str">
        <f>'0422Master'!F5</f>
        <v>Burgeon IT Services Pvt.Ltd.</v>
      </c>
      <c r="K231" s="187"/>
      <c r="L231" s="217"/>
    </row>
    <row r="232" spans="1:12" ht="27.95" customHeight="1">
      <c r="A232" s="12"/>
      <c r="B232" s="192"/>
      <c r="C232" s="161" t="s">
        <v>237</v>
      </c>
      <c r="E232" s="192"/>
      <c r="F232" s="192"/>
      <c r="H232" s="162"/>
      <c r="I232" s="208" t="str">
        <f>'0422Master'!F6</f>
        <v>Siri Mansion LIGB 436 Dr.A S Rao Nagar,Hyderabad</v>
      </c>
      <c r="J232" s="206"/>
      <c r="K232" s="207"/>
      <c r="L232" s="171"/>
    </row>
    <row r="233" spans="1:12">
      <c r="A233" s="12"/>
      <c r="L233" s="13"/>
    </row>
    <row r="234" spans="1:12" ht="19.5" customHeight="1">
      <c r="A234" s="12">
        <v>1</v>
      </c>
      <c r="B234" s="188" t="s">
        <v>238</v>
      </c>
      <c r="C234" s="63"/>
      <c r="D234" s="63"/>
      <c r="E234" s="63"/>
      <c r="F234" s="63"/>
      <c r="G234" s="64"/>
      <c r="H234" s="1229" t="e">
        <f>'0422Master'!#REF!</f>
        <v>#REF!</v>
      </c>
      <c r="I234" s="1251"/>
      <c r="J234" s="1251"/>
      <c r="K234" s="1251"/>
      <c r="L234" s="1252"/>
    </row>
    <row r="235" spans="1:12">
      <c r="A235" s="12">
        <v>2</v>
      </c>
      <c r="B235" s="1275" t="s">
        <v>239</v>
      </c>
      <c r="C235" s="1276"/>
      <c r="D235" s="1276"/>
      <c r="E235" s="1276"/>
      <c r="F235" s="189" t="s">
        <v>240</v>
      </c>
      <c r="G235" s="173"/>
      <c r="H235" s="1277" t="e">
        <f>'0422Master'!#REF!</f>
        <v>#REF!</v>
      </c>
      <c r="I235" s="1278"/>
      <c r="J235" s="1278"/>
      <c r="K235" s="1278"/>
      <c r="L235" s="1279"/>
    </row>
    <row r="236" spans="1:12" ht="12" customHeight="1">
      <c r="A236" s="12"/>
      <c r="B236" s="174" t="s">
        <v>241</v>
      </c>
      <c r="C236" s="175"/>
      <c r="D236" s="175"/>
      <c r="E236" s="175"/>
      <c r="F236" s="175" t="s">
        <v>234</v>
      </c>
      <c r="G236" s="176"/>
      <c r="H236" s="1280"/>
      <c r="I236" s="1281"/>
      <c r="J236" s="1281"/>
      <c r="K236" s="1281"/>
      <c r="L236" s="1282"/>
    </row>
    <row r="237" spans="1:12">
      <c r="A237" s="12">
        <v>3</v>
      </c>
      <c r="B237" s="190" t="s">
        <v>242</v>
      </c>
      <c r="C237" s="180"/>
      <c r="D237" s="180"/>
      <c r="E237" s="180"/>
      <c r="F237" s="180"/>
      <c r="G237" s="181"/>
      <c r="H237" s="1255" t="e">
        <f>'0422Master'!#REF!</f>
        <v>#REF!</v>
      </c>
      <c r="I237" s="1256"/>
      <c r="J237" s="1256"/>
      <c r="K237" s="1256"/>
      <c r="L237" s="1257"/>
    </row>
    <row r="238" spans="1:12">
      <c r="A238" s="12">
        <v>4</v>
      </c>
      <c r="B238" s="166" t="s">
        <v>243</v>
      </c>
      <c r="C238" s="63"/>
      <c r="D238" s="63"/>
      <c r="E238" s="63"/>
      <c r="F238" s="63"/>
      <c r="G238" s="64"/>
      <c r="H238" s="1221" t="e">
        <f>'0422Master'!#REF!</f>
        <v>#REF!</v>
      </c>
      <c r="I238" s="1243"/>
      <c r="J238" s="1243"/>
      <c r="K238" s="1243"/>
      <c r="L238" s="1237"/>
    </row>
    <row r="239" spans="1:12">
      <c r="A239" s="12">
        <v>5</v>
      </c>
      <c r="B239" s="1258" t="s">
        <v>291</v>
      </c>
      <c r="C239" s="1259"/>
      <c r="D239" s="1259"/>
      <c r="E239" s="1259"/>
      <c r="F239" s="1259"/>
      <c r="G239" s="64"/>
      <c r="H239" s="1250" t="s">
        <v>370</v>
      </c>
      <c r="I239" s="1251"/>
      <c r="J239" s="1251"/>
      <c r="K239" s="1251"/>
      <c r="L239" s="1252"/>
    </row>
    <row r="240" spans="1:12">
      <c r="A240" s="12">
        <v>6</v>
      </c>
      <c r="B240" s="179" t="s">
        <v>244</v>
      </c>
      <c r="C240" s="180" t="s">
        <v>245</v>
      </c>
      <c r="D240" s="180"/>
      <c r="E240" s="180"/>
      <c r="F240" s="180"/>
      <c r="G240" s="181"/>
      <c r="H240" s="190"/>
      <c r="I240" s="180"/>
      <c r="J240" s="180"/>
      <c r="K240" s="180"/>
      <c r="L240" s="218"/>
    </row>
    <row r="241" spans="1:12">
      <c r="A241" s="12"/>
      <c r="B241" s="179" t="s">
        <v>246</v>
      </c>
      <c r="C241" s="180" t="s">
        <v>247</v>
      </c>
      <c r="D241" s="180"/>
      <c r="E241" s="180"/>
      <c r="F241" s="180"/>
      <c r="G241" s="181"/>
      <c r="H241" s="190"/>
      <c r="I241" s="172"/>
      <c r="J241" s="172"/>
      <c r="K241" s="180"/>
      <c r="L241" s="218"/>
    </row>
    <row r="242" spans="1:12">
      <c r="A242" s="12">
        <v>7</v>
      </c>
      <c r="B242" s="1255" t="s">
        <v>248</v>
      </c>
      <c r="C242" s="1256"/>
      <c r="D242" s="1256"/>
      <c r="E242" s="1256"/>
      <c r="F242" s="1256"/>
      <c r="G242" s="1263"/>
      <c r="H242" s="194" t="s">
        <v>249</v>
      </c>
      <c r="I242" s="195"/>
      <c r="J242" s="196"/>
      <c r="K242" s="194" t="s">
        <v>250</v>
      </c>
      <c r="L242" s="219"/>
    </row>
    <row r="243" spans="1:12">
      <c r="A243" s="12">
        <v>8</v>
      </c>
      <c r="B243" s="1255" t="s">
        <v>292</v>
      </c>
      <c r="C243" s="1256"/>
      <c r="D243" s="1256"/>
      <c r="E243" s="1256"/>
      <c r="F243" s="1256"/>
      <c r="G243" s="1263"/>
      <c r="H243" s="194" t="s">
        <v>249</v>
      </c>
      <c r="I243" s="195"/>
      <c r="J243" s="196"/>
      <c r="K243" s="194" t="s">
        <v>250</v>
      </c>
      <c r="L243" s="219"/>
    </row>
    <row r="244" spans="1:12">
      <c r="A244" s="12"/>
      <c r="B244" s="166"/>
      <c r="C244" s="198"/>
      <c r="D244" s="198"/>
      <c r="E244" s="198"/>
      <c r="F244" s="198" t="s">
        <v>251</v>
      </c>
      <c r="G244" s="198"/>
      <c r="H244" s="198"/>
      <c r="I244" s="198"/>
      <c r="J244" s="198"/>
      <c r="K244" s="198"/>
      <c r="L244" s="220"/>
    </row>
    <row r="245" spans="1:12">
      <c r="A245" s="12">
        <v>9</v>
      </c>
      <c r="B245" s="179" t="s">
        <v>252</v>
      </c>
      <c r="C245" s="180" t="s">
        <v>253</v>
      </c>
      <c r="D245" s="180"/>
      <c r="E245" s="180"/>
      <c r="F245" s="180"/>
      <c r="G245" s="181"/>
      <c r="H245" s="190"/>
      <c r="I245" s="180"/>
      <c r="J245" s="180"/>
      <c r="K245" s="180"/>
      <c r="L245" s="218"/>
    </row>
    <row r="246" spans="1:12">
      <c r="A246" s="84"/>
      <c r="B246" s="179" t="s">
        <v>254</v>
      </c>
      <c r="C246" s="180" t="s">
        <v>255</v>
      </c>
      <c r="D246" s="180"/>
      <c r="E246" s="180"/>
      <c r="F246" s="180"/>
      <c r="G246" s="181"/>
      <c r="H246" s="190"/>
      <c r="I246" s="180"/>
      <c r="J246" s="180"/>
      <c r="K246" s="180"/>
      <c r="L246" s="218"/>
    </row>
    <row r="247" spans="1:12">
      <c r="A247" s="84"/>
      <c r="B247" s="179" t="s">
        <v>293</v>
      </c>
      <c r="C247" s="180" t="s">
        <v>294</v>
      </c>
      <c r="D247" s="180"/>
      <c r="E247" s="180"/>
      <c r="F247" s="180"/>
      <c r="G247" s="181"/>
      <c r="H247" s="190"/>
      <c r="I247" s="180"/>
      <c r="J247" s="180"/>
      <c r="K247" s="180"/>
      <c r="L247" s="218"/>
    </row>
    <row r="248" spans="1:12">
      <c r="A248" s="84"/>
      <c r="B248" s="179" t="s">
        <v>257</v>
      </c>
      <c r="C248" s="180" t="s">
        <v>258</v>
      </c>
      <c r="D248" s="180"/>
      <c r="E248" s="180"/>
      <c r="F248" s="180"/>
      <c r="G248" s="181"/>
      <c r="H248" s="190"/>
      <c r="I248" s="180"/>
      <c r="J248" s="180"/>
      <c r="K248" s="180"/>
      <c r="L248" s="218"/>
    </row>
    <row r="249" spans="1:12">
      <c r="A249" s="84"/>
      <c r="B249" s="179" t="s">
        <v>259</v>
      </c>
      <c r="C249" s="180" t="s">
        <v>260</v>
      </c>
      <c r="D249" s="180"/>
      <c r="E249" s="180"/>
      <c r="F249" s="180"/>
      <c r="G249" s="181"/>
      <c r="H249" s="190"/>
      <c r="I249" s="180"/>
      <c r="J249" s="180"/>
      <c r="K249" s="180"/>
      <c r="L249" s="218"/>
    </row>
    <row r="250" spans="1:12">
      <c r="A250" s="84">
        <v>10</v>
      </c>
      <c r="B250" s="179" t="s">
        <v>252</v>
      </c>
      <c r="C250" s="180" t="s">
        <v>295</v>
      </c>
      <c r="D250" s="180"/>
      <c r="E250" s="180"/>
      <c r="F250" s="180"/>
      <c r="G250" s="181"/>
      <c r="H250" s="194" t="s">
        <v>249</v>
      </c>
      <c r="I250" s="195"/>
      <c r="J250" s="196"/>
      <c r="K250" s="194" t="s">
        <v>250</v>
      </c>
      <c r="L250" s="219"/>
    </row>
    <row r="251" spans="1:12">
      <c r="A251" s="84"/>
      <c r="B251" s="179" t="s">
        <v>254</v>
      </c>
      <c r="C251" s="180" t="s">
        <v>296</v>
      </c>
      <c r="D251" s="180"/>
      <c r="E251" s="180"/>
      <c r="F251" s="180"/>
      <c r="G251" s="181"/>
      <c r="H251" s="190"/>
      <c r="I251" s="180"/>
      <c r="J251" s="180"/>
      <c r="K251" s="180"/>
      <c r="L251" s="218"/>
    </row>
    <row r="252" spans="1:12">
      <c r="A252" s="84"/>
      <c r="B252" s="179" t="s">
        <v>293</v>
      </c>
      <c r="C252" s="180" t="s">
        <v>261</v>
      </c>
      <c r="D252" s="180"/>
      <c r="E252" s="180"/>
      <c r="F252" s="180"/>
      <c r="G252" s="181"/>
      <c r="H252" s="190"/>
      <c r="I252" s="180"/>
      <c r="J252" s="180"/>
      <c r="K252" s="180"/>
      <c r="L252" s="218"/>
    </row>
    <row r="253" spans="1:12">
      <c r="A253" s="84"/>
      <c r="B253" s="179" t="s">
        <v>257</v>
      </c>
      <c r="C253" s="180" t="s">
        <v>297</v>
      </c>
      <c r="D253" s="180"/>
      <c r="E253" s="180"/>
      <c r="F253" s="180"/>
      <c r="G253" s="181"/>
      <c r="H253" s="190"/>
      <c r="I253" s="180"/>
      <c r="J253" s="180"/>
      <c r="K253" s="180"/>
      <c r="L253" s="218"/>
    </row>
    <row r="254" spans="1:12">
      <c r="A254" s="12"/>
      <c r="B254" s="166"/>
      <c r="C254" s="198"/>
      <c r="D254" s="198"/>
      <c r="E254" s="198" t="s">
        <v>298</v>
      </c>
      <c r="F254" s="198"/>
      <c r="G254" s="198"/>
      <c r="H254" s="198"/>
      <c r="I254" s="198"/>
      <c r="J254" s="198"/>
      <c r="K254" s="198"/>
      <c r="L254" s="220"/>
    </row>
    <row r="255" spans="1:12">
      <c r="A255" s="12">
        <v>11</v>
      </c>
      <c r="B255" s="179" t="s">
        <v>252</v>
      </c>
      <c r="C255" s="180" t="s">
        <v>262</v>
      </c>
      <c r="D255" s="180"/>
      <c r="E255" s="180"/>
      <c r="F255" s="180"/>
      <c r="G255" s="181"/>
      <c r="H255" s="190"/>
      <c r="I255" s="180"/>
      <c r="J255" s="180"/>
      <c r="K255" s="180"/>
      <c r="L255" s="218"/>
    </row>
    <row r="256" spans="1:12">
      <c r="A256" s="12"/>
      <c r="B256" s="179" t="s">
        <v>254</v>
      </c>
      <c r="C256" s="180" t="s">
        <v>263</v>
      </c>
      <c r="D256" s="180"/>
      <c r="E256" s="180"/>
      <c r="F256" s="180"/>
      <c r="G256" s="181"/>
      <c r="H256" s="190"/>
      <c r="I256" s="180"/>
      <c r="J256" s="180"/>
      <c r="K256" s="180"/>
      <c r="L256" s="218"/>
    </row>
    <row r="257" spans="1:12">
      <c r="A257" s="12"/>
      <c r="B257" s="179" t="s">
        <v>256</v>
      </c>
      <c r="C257" s="180" t="s">
        <v>264</v>
      </c>
      <c r="D257" s="180"/>
      <c r="E257" s="180"/>
      <c r="F257" s="180"/>
      <c r="G257" s="181"/>
      <c r="H257" s="190"/>
      <c r="I257" s="180"/>
      <c r="J257" s="180"/>
      <c r="K257" s="180"/>
      <c r="L257" s="218"/>
    </row>
    <row r="258" spans="1:12">
      <c r="A258" s="12"/>
      <c r="B258" s="154"/>
      <c r="C258" s="150"/>
      <c r="D258" s="150"/>
      <c r="E258" s="150"/>
      <c r="F258" s="199" t="s">
        <v>265</v>
      </c>
      <c r="G258" s="150"/>
      <c r="H258" s="139"/>
      <c r="I258" s="139"/>
      <c r="J258" s="139"/>
      <c r="K258" s="139"/>
      <c r="L258" s="157"/>
    </row>
    <row r="259" spans="1:12">
      <c r="A259" s="12"/>
      <c r="B259" s="211" t="s">
        <v>266</v>
      </c>
      <c r="C259" s="210" t="s">
        <v>267</v>
      </c>
      <c r="D259" s="150"/>
      <c r="E259" s="150"/>
      <c r="F259" s="150"/>
      <c r="G259" s="150"/>
      <c r="H259" s="139"/>
      <c r="I259" s="139"/>
      <c r="J259" s="140"/>
      <c r="K259" s="139"/>
      <c r="L259" s="157"/>
    </row>
    <row r="260" spans="1:12">
      <c r="A260" s="12"/>
      <c r="B260" s="211" t="s">
        <v>268</v>
      </c>
      <c r="C260" s="209" t="s">
        <v>269</v>
      </c>
      <c r="D260" s="139"/>
      <c r="E260" s="140"/>
      <c r="G260" s="1264"/>
      <c r="H260" s="1264"/>
      <c r="I260" s="155"/>
      <c r="J260" s="156"/>
      <c r="K260" s="1264"/>
      <c r="L260" s="1265"/>
    </row>
    <row r="261" spans="1:12">
      <c r="A261" s="12"/>
      <c r="B261" s="212" t="s">
        <v>270</v>
      </c>
      <c r="C261" s="1266" t="s">
        <v>299</v>
      </c>
      <c r="D261" s="1266"/>
      <c r="E261" s="1266"/>
      <c r="F261" s="1266"/>
      <c r="G261" s="1266"/>
      <c r="H261" s="1266"/>
      <c r="I261" s="1266"/>
      <c r="J261" s="1266"/>
      <c r="K261" s="1266"/>
      <c r="L261" s="1267"/>
    </row>
    <row r="262" spans="1:12">
      <c r="A262" s="12"/>
      <c r="B262" s="211" t="s">
        <v>271</v>
      </c>
      <c r="C262" s="210" t="s">
        <v>272</v>
      </c>
      <c r="D262" s="202"/>
      <c r="E262" s="202"/>
      <c r="F262" s="202"/>
      <c r="G262" s="202"/>
      <c r="H262" s="202"/>
      <c r="I262" s="202"/>
      <c r="J262" s="202"/>
      <c r="K262" s="202"/>
      <c r="L262" s="221"/>
    </row>
    <row r="263" spans="1:12">
      <c r="A263" s="12"/>
      <c r="B263" s="154"/>
      <c r="C263" t="s">
        <v>300</v>
      </c>
      <c r="D263" s="268" t="e">
        <f>'0422Master'!#REF!</f>
        <v>#REF!</v>
      </c>
      <c r="E263" s="2"/>
      <c r="F263" s="2"/>
      <c r="G263" s="2"/>
      <c r="L263" s="13"/>
    </row>
    <row r="264" spans="1:12">
      <c r="A264" s="12"/>
      <c r="C264" t="s">
        <v>273</v>
      </c>
      <c r="D264" t="s">
        <v>362</v>
      </c>
      <c r="J264" t="s">
        <v>301</v>
      </c>
      <c r="L264" s="13"/>
    </row>
    <row r="265" spans="1:12">
      <c r="A265" s="12"/>
      <c r="L265" s="13"/>
    </row>
    <row r="266" spans="1:12">
      <c r="A266" s="12"/>
      <c r="F266" s="200" t="s">
        <v>274</v>
      </c>
      <c r="L266" s="13"/>
    </row>
    <row r="267" spans="1:12">
      <c r="A267" s="12" t="s">
        <v>302</v>
      </c>
      <c r="B267" t="s">
        <v>275</v>
      </c>
      <c r="E267" s="203" t="e">
        <f>'0422Master'!#REF!</f>
        <v>#REF!</v>
      </c>
      <c r="H267" s="1268" t="s">
        <v>276</v>
      </c>
      <c r="I267" s="1268"/>
      <c r="J267" s="204" t="e">
        <f>'0422Master'!#REF!</f>
        <v>#REF!</v>
      </c>
      <c r="K267" t="s">
        <v>277</v>
      </c>
      <c r="L267" s="13"/>
    </row>
    <row r="268" spans="1:12" ht="24" customHeight="1">
      <c r="A268" s="12"/>
      <c r="B268" s="1269" t="e">
        <f>'0422Master'!#REF!</f>
        <v>#REF!</v>
      </c>
      <c r="C268" s="1270"/>
      <c r="D268" s="201"/>
      <c r="E268" s="201"/>
      <c r="F268" s="201"/>
      <c r="G268" s="201"/>
      <c r="H268" s="201"/>
      <c r="I268" s="201"/>
      <c r="J268" s="201"/>
      <c r="K268" s="201"/>
      <c r="L268" s="222"/>
    </row>
    <row r="269" spans="1:12" ht="24" customHeight="1">
      <c r="A269" s="12" t="s">
        <v>304</v>
      </c>
      <c r="B269" s="201" t="s">
        <v>278</v>
      </c>
      <c r="C269" s="201"/>
      <c r="D269" s="201"/>
      <c r="E269" s="201"/>
      <c r="F269" s="201"/>
      <c r="G269" s="201"/>
      <c r="H269" s="201"/>
      <c r="I269" s="201"/>
      <c r="J269" s="201"/>
      <c r="K269" s="201"/>
      <c r="L269" s="222"/>
    </row>
    <row r="270" spans="1:12" ht="23.25" customHeight="1">
      <c r="A270" s="12"/>
      <c r="B270" s="201" t="s">
        <v>303</v>
      </c>
      <c r="C270" s="201"/>
      <c r="D270" s="201"/>
      <c r="E270" s="201"/>
      <c r="F270" s="201"/>
      <c r="G270" s="201"/>
      <c r="H270" s="201"/>
      <c r="I270" s="201"/>
      <c r="J270" s="201"/>
      <c r="K270" s="201"/>
      <c r="L270" s="222"/>
    </row>
    <row r="271" spans="1:12" ht="21.75" customHeight="1">
      <c r="A271" s="12"/>
      <c r="B271" t="s">
        <v>279</v>
      </c>
      <c r="L271" s="13"/>
    </row>
    <row r="272" spans="1:12" ht="27.95" customHeight="1">
      <c r="A272" s="12"/>
      <c r="B272" s="2" t="s">
        <v>280</v>
      </c>
      <c r="F272" s="153"/>
      <c r="L272" s="13"/>
    </row>
    <row r="273" spans="1:12" ht="21" customHeight="1">
      <c r="A273" s="12"/>
      <c r="B273" s="2" t="s">
        <v>281</v>
      </c>
      <c r="L273" s="13"/>
    </row>
    <row r="274" spans="1:12" ht="27.95" customHeight="1">
      <c r="A274" s="12"/>
      <c r="B274" t="s">
        <v>282</v>
      </c>
      <c r="L274" s="13"/>
    </row>
    <row r="275" spans="1:12" ht="27.95" customHeight="1">
      <c r="A275" s="12"/>
      <c r="B275" t="s">
        <v>283</v>
      </c>
      <c r="L275" s="13"/>
    </row>
    <row r="276" spans="1:12" ht="27.95" customHeight="1">
      <c r="A276" s="12" t="s">
        <v>293</v>
      </c>
      <c r="B276" t="s">
        <v>284</v>
      </c>
      <c r="L276" s="13"/>
    </row>
    <row r="277" spans="1:12" ht="27.95" customHeight="1">
      <c r="A277" s="12"/>
      <c r="B277" s="213" t="s">
        <v>305</v>
      </c>
      <c r="L277" s="13"/>
    </row>
    <row r="278" spans="1:12" ht="27.95" customHeight="1">
      <c r="A278" s="12"/>
      <c r="B278" t="s">
        <v>279</v>
      </c>
      <c r="L278" s="13"/>
    </row>
    <row r="279" spans="1:12" ht="19.5" customHeight="1">
      <c r="A279" s="12"/>
      <c r="B279" t="s">
        <v>285</v>
      </c>
      <c r="L279" s="13"/>
    </row>
    <row r="280" spans="1:12" ht="21.75" customHeight="1">
      <c r="A280" s="12"/>
      <c r="B280" t="s">
        <v>286</v>
      </c>
      <c r="L280" s="13"/>
    </row>
    <row r="281" spans="1:12" ht="18.75" customHeight="1">
      <c r="A281" s="12"/>
      <c r="B281" s="1271" t="s">
        <v>287</v>
      </c>
      <c r="C281" s="1271"/>
      <c r="D281" s="1271"/>
      <c r="E281" s="1271"/>
      <c r="F281" s="1271"/>
      <c r="G281" s="1271"/>
      <c r="H281" s="1271"/>
      <c r="I281" s="1271"/>
      <c r="J281" s="1271"/>
      <c r="K281" s="1271"/>
      <c r="L281" s="1272"/>
    </row>
    <row r="282" spans="1:12" ht="27.95" customHeight="1">
      <c r="A282" s="12"/>
      <c r="B282" t="s">
        <v>199</v>
      </c>
      <c r="C282" s="263" t="e">
        <f>'0422Master'!#REF!</f>
        <v>#REF!</v>
      </c>
      <c r="D282" s="183"/>
      <c r="E282" s="183"/>
      <c r="F282" s="183"/>
      <c r="G282" s="183"/>
      <c r="H282" s="183"/>
      <c r="I282" t="s">
        <v>306</v>
      </c>
      <c r="J282" s="183"/>
      <c r="K282" s="183"/>
      <c r="L282" s="214"/>
    </row>
    <row r="283" spans="1:12" ht="27.95" customHeight="1" thickBot="1">
      <c r="A283" s="24"/>
      <c r="B283" s="1088"/>
      <c r="C283" s="1088"/>
      <c r="D283" s="1088"/>
      <c r="E283" s="1088"/>
      <c r="F283" s="1088"/>
      <c r="G283" s="1088"/>
      <c r="H283" s="1088"/>
      <c r="I283" s="1088"/>
      <c r="J283" s="1088"/>
      <c r="K283" s="1088"/>
      <c r="L283" s="1089"/>
    </row>
    <row r="284" spans="1:12" ht="27.95" customHeight="1">
      <c r="A284" s="73"/>
      <c r="B284" s="74"/>
      <c r="C284" s="74"/>
      <c r="D284" s="74"/>
      <c r="E284" s="74"/>
      <c r="F284" s="74"/>
      <c r="G284" s="74"/>
      <c r="H284" s="74"/>
      <c r="I284" s="78" t="s">
        <v>233</v>
      </c>
      <c r="J284" s="74"/>
      <c r="K284" s="74"/>
      <c r="L284" s="75"/>
    </row>
    <row r="285" spans="1:12" ht="27.95" customHeight="1">
      <c r="A285" s="12"/>
      <c r="B285" s="1273" t="s">
        <v>288</v>
      </c>
      <c r="C285" s="1273"/>
      <c r="D285" s="1273"/>
      <c r="E285" s="1273"/>
      <c r="F285" s="1273"/>
      <c r="G285" s="1273"/>
      <c r="H285" s="1273"/>
      <c r="I285" s="1273"/>
      <c r="J285" s="1273"/>
      <c r="K285" s="1273"/>
      <c r="L285" s="1274"/>
    </row>
    <row r="286" spans="1:12" ht="23.25">
      <c r="A286" s="12"/>
      <c r="B286" s="183"/>
      <c r="C286" s="183"/>
      <c r="D286" s="191" t="s">
        <v>235</v>
      </c>
      <c r="E286" s="183"/>
      <c r="F286" s="183"/>
      <c r="G286" s="183"/>
      <c r="H286" s="183"/>
      <c r="I286" s="185" t="s">
        <v>289</v>
      </c>
      <c r="J286" s="186"/>
      <c r="K286" s="267" t="e">
        <f>'0422Master'!#REF!</f>
        <v>#REF!</v>
      </c>
      <c r="L286" s="216"/>
    </row>
    <row r="287" spans="1:12" ht="15.75">
      <c r="A287" s="12"/>
      <c r="B287" s="1"/>
      <c r="C287" s="1" t="s">
        <v>236</v>
      </c>
      <c r="E287" s="1"/>
      <c r="F287" s="1"/>
      <c r="G287" s="1"/>
      <c r="H287" s="1"/>
      <c r="I287" s="184" t="s">
        <v>290</v>
      </c>
      <c r="J287" s="205" t="str">
        <f>'0422Master'!F5</f>
        <v>Burgeon IT Services Pvt.Ltd.</v>
      </c>
      <c r="K287" s="187"/>
      <c r="L287" s="217"/>
    </row>
    <row r="288" spans="1:12">
      <c r="A288" s="12"/>
      <c r="B288" s="192"/>
      <c r="C288" s="161" t="s">
        <v>237</v>
      </c>
      <c r="E288" s="192"/>
      <c r="F288" s="192"/>
      <c r="H288" s="162"/>
      <c r="I288" s="208" t="str">
        <f>'0422Master'!F6</f>
        <v>Siri Mansion LIGB 436 Dr.A S Rao Nagar,Hyderabad</v>
      </c>
      <c r="J288" s="206"/>
      <c r="K288" s="207"/>
      <c r="L288" s="171"/>
    </row>
    <row r="289" spans="1:12">
      <c r="A289" s="12"/>
      <c r="L289" s="13"/>
    </row>
    <row r="290" spans="1:12">
      <c r="A290" s="12">
        <v>1</v>
      </c>
      <c r="B290" s="188" t="s">
        <v>238</v>
      </c>
      <c r="C290" s="63"/>
      <c r="D290" s="63"/>
      <c r="E290" s="63"/>
      <c r="F290" s="63"/>
      <c r="G290" s="64"/>
      <c r="H290" s="1229" t="e">
        <f>'0422Master'!#REF!</f>
        <v>#REF!</v>
      </c>
      <c r="I290" s="1251"/>
      <c r="J290" s="1251"/>
      <c r="K290" s="1251"/>
      <c r="L290" s="1252"/>
    </row>
    <row r="291" spans="1:12">
      <c r="A291" s="12">
        <v>2</v>
      </c>
      <c r="B291" s="1275" t="s">
        <v>239</v>
      </c>
      <c r="C291" s="1276"/>
      <c r="D291" s="1276"/>
      <c r="E291" s="1276"/>
      <c r="F291" s="189" t="s">
        <v>240</v>
      </c>
      <c r="G291" s="173"/>
      <c r="H291" s="1277" t="e">
        <f>'0422Master'!#REF!</f>
        <v>#REF!</v>
      </c>
      <c r="I291" s="1278"/>
      <c r="J291" s="1278"/>
      <c r="K291" s="1278"/>
      <c r="L291" s="1279"/>
    </row>
    <row r="292" spans="1:12">
      <c r="A292" s="12"/>
      <c r="B292" s="174" t="s">
        <v>241</v>
      </c>
      <c r="C292" s="175"/>
      <c r="D292" s="175"/>
      <c r="E292" s="175"/>
      <c r="F292" s="175" t="s">
        <v>234</v>
      </c>
      <c r="G292" s="176"/>
      <c r="H292" s="1280"/>
      <c r="I292" s="1281"/>
      <c r="J292" s="1281"/>
      <c r="K292" s="1281"/>
      <c r="L292" s="1282"/>
    </row>
    <row r="293" spans="1:12">
      <c r="A293" s="12">
        <v>3</v>
      </c>
      <c r="B293" s="190" t="s">
        <v>242</v>
      </c>
      <c r="C293" s="180"/>
      <c r="D293" s="180"/>
      <c r="E293" s="180"/>
      <c r="F293" s="180"/>
      <c r="G293" s="181"/>
      <c r="H293" s="1255" t="e">
        <f>'0422Master'!#REF!</f>
        <v>#REF!</v>
      </c>
      <c r="I293" s="1256"/>
      <c r="J293" s="1256"/>
      <c r="K293" s="1256"/>
      <c r="L293" s="1257"/>
    </row>
    <row r="294" spans="1:12">
      <c r="A294" s="12">
        <v>4</v>
      </c>
      <c r="B294" s="166" t="s">
        <v>243</v>
      </c>
      <c r="C294" s="63"/>
      <c r="D294" s="63"/>
      <c r="E294" s="63"/>
      <c r="F294" s="63"/>
      <c r="G294" s="64"/>
      <c r="H294" s="1221" t="e">
        <f>'0422Master'!#REF!</f>
        <v>#REF!</v>
      </c>
      <c r="I294" s="1243"/>
      <c r="J294" s="1243"/>
      <c r="K294" s="1243"/>
      <c r="L294" s="1237"/>
    </row>
    <row r="295" spans="1:12">
      <c r="A295" s="12">
        <v>5</v>
      </c>
      <c r="B295" s="1258" t="s">
        <v>291</v>
      </c>
      <c r="C295" s="1259"/>
      <c r="D295" s="1259"/>
      <c r="E295" s="1259"/>
      <c r="F295" s="1259"/>
      <c r="G295" s="64"/>
      <c r="H295" s="1250" t="s">
        <v>370</v>
      </c>
      <c r="I295" s="1251"/>
      <c r="J295" s="1251"/>
      <c r="K295" s="1251"/>
      <c r="L295" s="1252"/>
    </row>
    <row r="296" spans="1:12">
      <c r="A296" s="12">
        <v>6</v>
      </c>
      <c r="B296" s="179" t="s">
        <v>244</v>
      </c>
      <c r="C296" s="180" t="s">
        <v>245</v>
      </c>
      <c r="D296" s="180"/>
      <c r="E296" s="180"/>
      <c r="F296" s="180"/>
      <c r="G296" s="181"/>
      <c r="H296" s="190"/>
      <c r="I296" s="180"/>
      <c r="J296" s="180"/>
      <c r="K296" s="180"/>
      <c r="L296" s="218"/>
    </row>
    <row r="297" spans="1:12">
      <c r="A297" s="12"/>
      <c r="B297" s="179" t="s">
        <v>246</v>
      </c>
      <c r="C297" s="180" t="s">
        <v>247</v>
      </c>
      <c r="D297" s="180"/>
      <c r="E297" s="180"/>
      <c r="F297" s="180"/>
      <c r="G297" s="181"/>
      <c r="H297" s="190"/>
      <c r="I297" s="172"/>
      <c r="J297" s="172"/>
      <c r="K297" s="180"/>
      <c r="L297" s="218"/>
    </row>
    <row r="298" spans="1:12">
      <c r="A298" s="12">
        <v>7</v>
      </c>
      <c r="B298" s="1255" t="s">
        <v>248</v>
      </c>
      <c r="C298" s="1256"/>
      <c r="D298" s="1256"/>
      <c r="E298" s="1256"/>
      <c r="F298" s="1256"/>
      <c r="G298" s="1263"/>
      <c r="H298" s="194" t="s">
        <v>249</v>
      </c>
      <c r="I298" s="195"/>
      <c r="J298" s="196"/>
      <c r="K298" s="194" t="s">
        <v>250</v>
      </c>
      <c r="L298" s="219"/>
    </row>
    <row r="299" spans="1:12">
      <c r="A299" s="12">
        <v>8</v>
      </c>
      <c r="B299" s="1255" t="s">
        <v>292</v>
      </c>
      <c r="C299" s="1256"/>
      <c r="D299" s="1256"/>
      <c r="E299" s="1256"/>
      <c r="F299" s="1256"/>
      <c r="G299" s="1263"/>
      <c r="H299" s="194" t="s">
        <v>249</v>
      </c>
      <c r="I299" s="195"/>
      <c r="J299" s="196"/>
      <c r="K299" s="194" t="s">
        <v>250</v>
      </c>
      <c r="L299" s="219"/>
    </row>
    <row r="300" spans="1:12">
      <c r="A300" s="12"/>
      <c r="B300" s="166"/>
      <c r="C300" s="198"/>
      <c r="D300" s="198"/>
      <c r="E300" s="198"/>
      <c r="F300" s="198" t="s">
        <v>251</v>
      </c>
      <c r="G300" s="198"/>
      <c r="H300" s="198"/>
      <c r="I300" s="198"/>
      <c r="J300" s="198"/>
      <c r="K300" s="198"/>
      <c r="L300" s="220"/>
    </row>
    <row r="301" spans="1:12">
      <c r="A301" s="12">
        <v>9</v>
      </c>
      <c r="B301" s="179" t="s">
        <v>252</v>
      </c>
      <c r="C301" s="180" t="s">
        <v>253</v>
      </c>
      <c r="D301" s="180"/>
      <c r="E301" s="180"/>
      <c r="F301" s="180"/>
      <c r="G301" s="181"/>
      <c r="H301" s="190"/>
      <c r="I301" s="180"/>
      <c r="J301" s="180"/>
      <c r="K301" s="180"/>
      <c r="L301" s="218"/>
    </row>
    <row r="302" spans="1:12">
      <c r="A302" s="84"/>
      <c r="B302" s="179" t="s">
        <v>254</v>
      </c>
      <c r="C302" s="180" t="s">
        <v>255</v>
      </c>
      <c r="D302" s="180"/>
      <c r="E302" s="180"/>
      <c r="F302" s="180"/>
      <c r="G302" s="181"/>
      <c r="H302" s="190"/>
      <c r="I302" s="180"/>
      <c r="J302" s="180"/>
      <c r="K302" s="180"/>
      <c r="L302" s="218"/>
    </row>
    <row r="303" spans="1:12">
      <c r="A303" s="84"/>
      <c r="B303" s="179" t="s">
        <v>293</v>
      </c>
      <c r="C303" s="180" t="s">
        <v>294</v>
      </c>
      <c r="D303" s="180"/>
      <c r="E303" s="180"/>
      <c r="F303" s="180"/>
      <c r="G303" s="181"/>
      <c r="H303" s="190"/>
      <c r="I303" s="180"/>
      <c r="J303" s="180"/>
      <c r="K303" s="180"/>
      <c r="L303" s="218"/>
    </row>
    <row r="304" spans="1:12">
      <c r="A304" s="84"/>
      <c r="B304" s="179" t="s">
        <v>257</v>
      </c>
      <c r="C304" s="180" t="s">
        <v>258</v>
      </c>
      <c r="D304" s="180"/>
      <c r="E304" s="180"/>
      <c r="F304" s="180"/>
      <c r="G304" s="181"/>
      <c r="H304" s="190"/>
      <c r="I304" s="180"/>
      <c r="J304" s="180"/>
      <c r="K304" s="180"/>
      <c r="L304" s="218"/>
    </row>
    <row r="305" spans="1:12">
      <c r="A305" s="84"/>
      <c r="B305" s="179" t="s">
        <v>259</v>
      </c>
      <c r="C305" s="180" t="s">
        <v>260</v>
      </c>
      <c r="D305" s="180"/>
      <c r="E305" s="180"/>
      <c r="F305" s="180"/>
      <c r="G305" s="181"/>
      <c r="H305" s="190"/>
      <c r="I305" s="180"/>
      <c r="J305" s="180"/>
      <c r="K305" s="180"/>
      <c r="L305" s="218"/>
    </row>
    <row r="306" spans="1:12">
      <c r="A306" s="84">
        <v>10</v>
      </c>
      <c r="B306" s="179" t="s">
        <v>252</v>
      </c>
      <c r="C306" s="180" t="s">
        <v>295</v>
      </c>
      <c r="D306" s="180"/>
      <c r="E306" s="180"/>
      <c r="F306" s="180"/>
      <c r="G306" s="181"/>
      <c r="H306" s="194" t="s">
        <v>249</v>
      </c>
      <c r="I306" s="195"/>
      <c r="J306" s="196"/>
      <c r="K306" s="194" t="s">
        <v>250</v>
      </c>
      <c r="L306" s="219"/>
    </row>
    <row r="307" spans="1:12">
      <c r="A307" s="84"/>
      <c r="B307" s="179" t="s">
        <v>254</v>
      </c>
      <c r="C307" s="180" t="s">
        <v>296</v>
      </c>
      <c r="D307" s="180"/>
      <c r="E307" s="180"/>
      <c r="F307" s="180"/>
      <c r="G307" s="181"/>
      <c r="H307" s="190"/>
      <c r="I307" s="180"/>
      <c r="J307" s="180"/>
      <c r="K307" s="180"/>
      <c r="L307" s="218"/>
    </row>
    <row r="308" spans="1:12">
      <c r="A308" s="84"/>
      <c r="B308" s="179" t="s">
        <v>293</v>
      </c>
      <c r="C308" s="180" t="s">
        <v>261</v>
      </c>
      <c r="D308" s="180"/>
      <c r="E308" s="180"/>
      <c r="F308" s="180"/>
      <c r="G308" s="181"/>
      <c r="H308" s="190"/>
      <c r="I308" s="180"/>
      <c r="J308" s="180"/>
      <c r="K308" s="180"/>
      <c r="L308" s="218"/>
    </row>
    <row r="309" spans="1:12">
      <c r="A309" s="84"/>
      <c r="B309" s="179" t="s">
        <v>257</v>
      </c>
      <c r="C309" s="180" t="s">
        <v>297</v>
      </c>
      <c r="D309" s="180"/>
      <c r="E309" s="180"/>
      <c r="F309" s="180"/>
      <c r="G309" s="181"/>
      <c r="H309" s="190"/>
      <c r="I309" s="180"/>
      <c r="J309" s="180"/>
      <c r="K309" s="180"/>
      <c r="L309" s="218"/>
    </row>
    <row r="310" spans="1:12">
      <c r="A310" s="12"/>
      <c r="B310" s="166"/>
      <c r="C310" s="198"/>
      <c r="D310" s="198"/>
      <c r="E310" s="198" t="s">
        <v>298</v>
      </c>
      <c r="F310" s="198"/>
      <c r="G310" s="198"/>
      <c r="H310" s="198"/>
      <c r="I310" s="198"/>
      <c r="J310" s="198"/>
      <c r="K310" s="198"/>
      <c r="L310" s="220"/>
    </row>
    <row r="311" spans="1:12">
      <c r="A311" s="12">
        <v>11</v>
      </c>
      <c r="B311" s="179" t="s">
        <v>252</v>
      </c>
      <c r="C311" s="180" t="s">
        <v>262</v>
      </c>
      <c r="D311" s="180"/>
      <c r="E311" s="180"/>
      <c r="F311" s="180"/>
      <c r="G311" s="181"/>
      <c r="H311" s="190"/>
      <c r="I311" s="180"/>
      <c r="J311" s="180"/>
      <c r="K311" s="180"/>
      <c r="L311" s="218"/>
    </row>
    <row r="312" spans="1:12">
      <c r="A312" s="12"/>
      <c r="B312" s="179" t="s">
        <v>254</v>
      </c>
      <c r="C312" s="180" t="s">
        <v>263</v>
      </c>
      <c r="D312" s="180"/>
      <c r="E312" s="180"/>
      <c r="F312" s="180"/>
      <c r="G312" s="181"/>
      <c r="H312" s="190"/>
      <c r="I312" s="180"/>
      <c r="J312" s="180"/>
      <c r="K312" s="180"/>
      <c r="L312" s="218"/>
    </row>
    <row r="313" spans="1:12">
      <c r="A313" s="12"/>
      <c r="B313" s="179" t="s">
        <v>256</v>
      </c>
      <c r="C313" s="180" t="s">
        <v>264</v>
      </c>
      <c r="D313" s="180"/>
      <c r="E313" s="180"/>
      <c r="F313" s="180"/>
      <c r="G313" s="181"/>
      <c r="H313" s="190"/>
      <c r="I313" s="180"/>
      <c r="J313" s="180"/>
      <c r="K313" s="180"/>
      <c r="L313" s="218"/>
    </row>
    <row r="314" spans="1:12">
      <c r="A314" s="12"/>
      <c r="B314" s="154"/>
      <c r="C314" s="150"/>
      <c r="D314" s="150"/>
      <c r="E314" s="150"/>
      <c r="F314" s="199" t="s">
        <v>265</v>
      </c>
      <c r="G314" s="150"/>
      <c r="H314" s="139"/>
      <c r="I314" s="139"/>
      <c r="J314" s="139"/>
      <c r="K314" s="139"/>
      <c r="L314" s="157"/>
    </row>
    <row r="315" spans="1:12">
      <c r="A315" s="12"/>
      <c r="B315" s="211" t="s">
        <v>266</v>
      </c>
      <c r="C315" s="210" t="s">
        <v>267</v>
      </c>
      <c r="D315" s="150"/>
      <c r="E315" s="150"/>
      <c r="F315" s="150"/>
      <c r="G315" s="150"/>
      <c r="H315" s="139"/>
      <c r="I315" s="139"/>
      <c r="J315" s="140"/>
      <c r="K315" s="139"/>
      <c r="L315" s="157"/>
    </row>
    <row r="316" spans="1:12">
      <c r="A316" s="12"/>
      <c r="B316" s="211" t="s">
        <v>268</v>
      </c>
      <c r="C316" s="209" t="s">
        <v>269</v>
      </c>
      <c r="D316" s="139"/>
      <c r="E316" s="140"/>
      <c r="G316" s="1264"/>
      <c r="H316" s="1264"/>
      <c r="I316" s="155"/>
      <c r="J316" s="156"/>
      <c r="K316" s="1264"/>
      <c r="L316" s="1265"/>
    </row>
    <row r="317" spans="1:12">
      <c r="A317" s="12"/>
      <c r="B317" s="212" t="s">
        <v>270</v>
      </c>
      <c r="C317" s="1266" t="s">
        <v>299</v>
      </c>
      <c r="D317" s="1266"/>
      <c r="E317" s="1266"/>
      <c r="F317" s="1266"/>
      <c r="G317" s="1266"/>
      <c r="H317" s="1266"/>
      <c r="I317" s="1266"/>
      <c r="J317" s="1266"/>
      <c r="K317" s="1266"/>
      <c r="L317" s="1267"/>
    </row>
    <row r="318" spans="1:12">
      <c r="A318" s="12"/>
      <c r="B318" s="211" t="s">
        <v>271</v>
      </c>
      <c r="C318" s="210" t="s">
        <v>272</v>
      </c>
      <c r="D318" s="202"/>
      <c r="E318" s="202"/>
      <c r="F318" s="202"/>
      <c r="G318" s="202"/>
      <c r="H318" s="202"/>
      <c r="I318" s="202"/>
      <c r="J318" s="202"/>
      <c r="K318" s="202"/>
      <c r="L318" s="221"/>
    </row>
    <row r="319" spans="1:12">
      <c r="A319" s="12"/>
      <c r="B319" s="154"/>
      <c r="C319" t="s">
        <v>300</v>
      </c>
      <c r="D319" s="268" t="e">
        <f>'0422Master'!#REF!</f>
        <v>#REF!</v>
      </c>
      <c r="E319" s="2"/>
      <c r="F319" s="2"/>
      <c r="G319" s="2"/>
      <c r="L319" s="13"/>
    </row>
    <row r="320" spans="1:12">
      <c r="A320" s="12"/>
      <c r="C320" t="s">
        <v>273</v>
      </c>
      <c r="D320" t="s">
        <v>362</v>
      </c>
      <c r="J320" t="s">
        <v>301</v>
      </c>
      <c r="L320" s="13"/>
    </row>
    <row r="321" spans="1:12" ht="16.5" customHeight="1">
      <c r="A321" s="12"/>
      <c r="L321" s="13"/>
    </row>
    <row r="322" spans="1:12" ht="21.75" customHeight="1">
      <c r="A322" s="12"/>
      <c r="F322" s="200" t="s">
        <v>274</v>
      </c>
      <c r="L322" s="13"/>
    </row>
    <row r="323" spans="1:12" ht="27.95" customHeight="1">
      <c r="A323" s="12" t="s">
        <v>302</v>
      </c>
      <c r="B323" t="s">
        <v>275</v>
      </c>
      <c r="E323" s="203" t="e">
        <f>'0422Master'!#REF!</f>
        <v>#REF!</v>
      </c>
      <c r="H323" s="1268" t="s">
        <v>276</v>
      </c>
      <c r="I323" s="1268"/>
      <c r="J323" s="204" t="e">
        <f>'0422Master'!#REF!</f>
        <v>#REF!</v>
      </c>
      <c r="K323" t="s">
        <v>277</v>
      </c>
      <c r="L323" s="13"/>
    </row>
    <row r="324" spans="1:12" ht="25.5" customHeight="1">
      <c r="A324" s="12"/>
      <c r="B324" s="1269" t="e">
        <f>'0422Master'!#REF!</f>
        <v>#REF!</v>
      </c>
      <c r="C324" s="1270"/>
      <c r="D324" s="201"/>
      <c r="E324" s="201"/>
      <c r="F324" s="201"/>
      <c r="G324" s="201"/>
      <c r="H324" s="201"/>
      <c r="I324" s="201"/>
      <c r="J324" s="201"/>
      <c r="K324" s="201"/>
      <c r="L324" s="222"/>
    </row>
    <row r="325" spans="1:12" ht="24.75" customHeight="1">
      <c r="A325" s="12" t="s">
        <v>304</v>
      </c>
      <c r="B325" s="201" t="s">
        <v>278</v>
      </c>
      <c r="C325" s="201"/>
      <c r="D325" s="201"/>
      <c r="E325" s="201"/>
      <c r="F325" s="201"/>
      <c r="G325" s="201"/>
      <c r="H325" s="201"/>
      <c r="I325" s="201"/>
      <c r="J325" s="201"/>
      <c r="K325" s="201"/>
      <c r="L325" s="222"/>
    </row>
    <row r="326" spans="1:12" ht="27.95" customHeight="1">
      <c r="A326" s="12"/>
      <c r="B326" s="201" t="s">
        <v>303</v>
      </c>
      <c r="C326" s="201"/>
      <c r="D326" s="201"/>
      <c r="E326" s="201"/>
      <c r="F326" s="201"/>
      <c r="G326" s="201"/>
      <c r="H326" s="201"/>
      <c r="I326" s="201"/>
      <c r="J326" s="201"/>
      <c r="K326" s="201"/>
      <c r="L326" s="222"/>
    </row>
    <row r="327" spans="1:12" ht="27.95" customHeight="1">
      <c r="A327" s="12"/>
      <c r="B327" t="s">
        <v>279</v>
      </c>
      <c r="L327" s="13"/>
    </row>
    <row r="328" spans="1:12" ht="27.95" customHeight="1">
      <c r="A328" s="12"/>
      <c r="B328" s="2" t="s">
        <v>280</v>
      </c>
      <c r="F328" s="153"/>
      <c r="L328" s="13"/>
    </row>
    <row r="329" spans="1:12" ht="27.95" customHeight="1">
      <c r="A329" s="12"/>
      <c r="B329" s="2" t="s">
        <v>281</v>
      </c>
      <c r="L329" s="13"/>
    </row>
    <row r="330" spans="1:12" ht="27.95" customHeight="1">
      <c r="A330" s="12"/>
      <c r="B330" t="s">
        <v>282</v>
      </c>
      <c r="L330" s="13"/>
    </row>
    <row r="331" spans="1:12" ht="27.95" customHeight="1">
      <c r="A331" s="12"/>
      <c r="B331" t="s">
        <v>283</v>
      </c>
      <c r="L331" s="13"/>
    </row>
    <row r="332" spans="1:12" ht="27.95" customHeight="1">
      <c r="A332" s="12" t="s">
        <v>293</v>
      </c>
      <c r="B332" t="s">
        <v>284</v>
      </c>
      <c r="L332" s="13"/>
    </row>
    <row r="333" spans="1:12" ht="27.95" customHeight="1">
      <c r="A333" s="12"/>
      <c r="B333" s="213" t="s">
        <v>305</v>
      </c>
      <c r="L333" s="13"/>
    </row>
    <row r="334" spans="1:12" ht="27.95" customHeight="1">
      <c r="A334" s="12"/>
      <c r="B334" t="s">
        <v>279</v>
      </c>
      <c r="L334" s="13"/>
    </row>
    <row r="335" spans="1:12" ht="27.95" customHeight="1">
      <c r="A335" s="12"/>
      <c r="B335" t="s">
        <v>285</v>
      </c>
      <c r="L335" s="13"/>
    </row>
    <row r="336" spans="1:12" ht="27.95" customHeight="1">
      <c r="A336" s="12"/>
      <c r="B336" t="s">
        <v>286</v>
      </c>
      <c r="L336" s="13"/>
    </row>
    <row r="337" spans="1:12" ht="27.95" customHeight="1">
      <c r="A337" s="12"/>
      <c r="B337" s="1271" t="s">
        <v>287</v>
      </c>
      <c r="C337" s="1271"/>
      <c r="D337" s="1271"/>
      <c r="E337" s="1271"/>
      <c r="F337" s="1271"/>
      <c r="G337" s="1271"/>
      <c r="H337" s="1271"/>
      <c r="I337" s="1271"/>
      <c r="J337" s="1271"/>
      <c r="K337" s="1271"/>
      <c r="L337" s="1272"/>
    </row>
    <row r="338" spans="1:12" ht="27.95" customHeight="1">
      <c r="A338" s="12"/>
      <c r="B338" t="s">
        <v>199</v>
      </c>
      <c r="C338" s="263" t="e">
        <f>'0422Master'!#REF!</f>
        <v>#REF!</v>
      </c>
      <c r="D338" s="183"/>
      <c r="E338" s="183"/>
      <c r="F338" s="183"/>
      <c r="G338" s="183"/>
      <c r="H338" s="183"/>
      <c r="I338" t="s">
        <v>306</v>
      </c>
      <c r="J338" s="183"/>
      <c r="K338" s="183"/>
      <c r="L338" s="214"/>
    </row>
    <row r="339" spans="1:12" ht="16.5" thickBot="1">
      <c r="A339" s="24"/>
      <c r="B339" s="1088"/>
      <c r="C339" s="1088"/>
      <c r="D339" s="1088"/>
      <c r="E339" s="1088"/>
      <c r="F339" s="1088"/>
      <c r="G339" s="1088"/>
      <c r="H339" s="1088"/>
      <c r="I339" s="1088"/>
      <c r="J339" s="1088"/>
      <c r="K339" s="1088"/>
      <c r="L339" s="1089"/>
    </row>
    <row r="340" spans="1:12">
      <c r="A340" s="73"/>
      <c r="B340" s="74"/>
      <c r="C340" s="74"/>
      <c r="D340" s="74"/>
      <c r="E340" s="74"/>
      <c r="F340" s="74"/>
      <c r="G340" s="74"/>
      <c r="H340" s="74"/>
      <c r="I340" s="78" t="s">
        <v>233</v>
      </c>
      <c r="J340" s="74"/>
      <c r="K340" s="74"/>
      <c r="L340" s="75"/>
    </row>
    <row r="341" spans="1:12">
      <c r="A341" s="12"/>
      <c r="B341" s="1273" t="s">
        <v>288</v>
      </c>
      <c r="C341" s="1273"/>
      <c r="D341" s="1273"/>
      <c r="E341" s="1273"/>
      <c r="F341" s="1273"/>
      <c r="G341" s="1273"/>
      <c r="H341" s="1273"/>
      <c r="I341" s="1273"/>
      <c r="J341" s="1273"/>
      <c r="K341" s="1273"/>
      <c r="L341" s="1274"/>
    </row>
    <row r="342" spans="1:12" ht="23.25">
      <c r="A342" s="12"/>
      <c r="B342" s="183"/>
      <c r="C342" s="183"/>
      <c r="D342" s="191" t="s">
        <v>235</v>
      </c>
      <c r="E342" s="183"/>
      <c r="F342" s="183"/>
      <c r="G342" s="183"/>
      <c r="H342" s="183"/>
      <c r="I342" s="185" t="s">
        <v>289</v>
      </c>
      <c r="J342" s="186"/>
      <c r="K342" s="267" t="e">
        <f>'0422Master'!#REF!</f>
        <v>#REF!</v>
      </c>
      <c r="L342" s="216"/>
    </row>
    <row r="343" spans="1:12" ht="15.75">
      <c r="A343" s="12"/>
      <c r="B343" s="1"/>
      <c r="C343" s="1" t="s">
        <v>236</v>
      </c>
      <c r="E343" s="1"/>
      <c r="F343" s="1"/>
      <c r="G343" s="1"/>
      <c r="H343" s="1"/>
      <c r="I343" s="184" t="s">
        <v>290</v>
      </c>
      <c r="J343" s="205" t="str">
        <f>'0422Master'!F5</f>
        <v>Burgeon IT Services Pvt.Ltd.</v>
      </c>
      <c r="K343" s="187"/>
      <c r="L343" s="217"/>
    </row>
    <row r="344" spans="1:12">
      <c r="A344" s="12"/>
      <c r="B344" s="192"/>
      <c r="C344" s="161" t="s">
        <v>237</v>
      </c>
      <c r="E344" s="192"/>
      <c r="F344" s="192"/>
      <c r="H344" s="162"/>
      <c r="I344" s="208" t="str">
        <f>'0422Master'!F6</f>
        <v>Siri Mansion LIGB 436 Dr.A S Rao Nagar,Hyderabad</v>
      </c>
      <c r="J344" s="206"/>
      <c r="K344" s="207"/>
      <c r="L344" s="171"/>
    </row>
    <row r="345" spans="1:12">
      <c r="A345" s="12"/>
      <c r="L345" s="13"/>
    </row>
    <row r="346" spans="1:12" ht="20.25" customHeight="1">
      <c r="A346" s="12">
        <v>1</v>
      </c>
      <c r="B346" s="188" t="s">
        <v>238</v>
      </c>
      <c r="C346" s="63"/>
      <c r="D346" s="63"/>
      <c r="E346" s="63"/>
      <c r="F346" s="63"/>
      <c r="G346" s="64"/>
      <c r="H346" s="1229" t="e">
        <f>'0422Master'!#REF!</f>
        <v>#REF!</v>
      </c>
      <c r="I346" s="1251"/>
      <c r="J346" s="1251"/>
      <c r="K346" s="1251"/>
      <c r="L346" s="1252"/>
    </row>
    <row r="347" spans="1:12" ht="11.25" customHeight="1">
      <c r="A347" s="12">
        <v>2</v>
      </c>
      <c r="B347" s="1275" t="s">
        <v>239</v>
      </c>
      <c r="C347" s="1276"/>
      <c r="D347" s="1276"/>
      <c r="E347" s="1276"/>
      <c r="F347" s="189" t="s">
        <v>240</v>
      </c>
      <c r="G347" s="173"/>
      <c r="H347" s="1277" t="e">
        <f>'0422Master'!#REF!</f>
        <v>#REF!</v>
      </c>
      <c r="I347" s="1278"/>
      <c r="J347" s="1278"/>
      <c r="K347" s="1278"/>
      <c r="L347" s="1279"/>
    </row>
    <row r="348" spans="1:12" ht="11.25" customHeight="1">
      <c r="A348" s="12"/>
      <c r="B348" s="174" t="s">
        <v>241</v>
      </c>
      <c r="C348" s="175"/>
      <c r="D348" s="175"/>
      <c r="E348" s="175"/>
      <c r="F348" s="175" t="s">
        <v>234</v>
      </c>
      <c r="G348" s="176"/>
      <c r="H348" s="1280"/>
      <c r="I348" s="1281"/>
      <c r="J348" s="1281"/>
      <c r="K348" s="1281"/>
      <c r="L348" s="1282"/>
    </row>
    <row r="349" spans="1:12">
      <c r="A349" s="12">
        <v>3</v>
      </c>
      <c r="B349" s="190" t="s">
        <v>242</v>
      </c>
      <c r="C349" s="180"/>
      <c r="D349" s="180"/>
      <c r="E349" s="180"/>
      <c r="F349" s="180"/>
      <c r="G349" s="181"/>
      <c r="H349" s="1255" t="e">
        <f>'0422Master'!#REF!</f>
        <v>#REF!</v>
      </c>
      <c r="I349" s="1256"/>
      <c r="J349" s="1256"/>
      <c r="K349" s="1256"/>
      <c r="L349" s="1257"/>
    </row>
    <row r="350" spans="1:12">
      <c r="A350" s="12">
        <v>4</v>
      </c>
      <c r="B350" s="166" t="s">
        <v>243</v>
      </c>
      <c r="C350" s="63"/>
      <c r="D350" s="63"/>
      <c r="E350" s="63"/>
      <c r="F350" s="63"/>
      <c r="G350" s="64"/>
      <c r="H350" s="1221" t="e">
        <f>'0422Master'!#REF!</f>
        <v>#REF!</v>
      </c>
      <c r="I350" s="1243"/>
      <c r="J350" s="1243"/>
      <c r="K350" s="1243"/>
      <c r="L350" s="1237"/>
    </row>
    <row r="351" spans="1:12">
      <c r="A351" s="12">
        <v>5</v>
      </c>
      <c r="B351" s="1258" t="s">
        <v>291</v>
      </c>
      <c r="C351" s="1259"/>
      <c r="D351" s="1259"/>
      <c r="E351" s="1259"/>
      <c r="F351" s="1259"/>
      <c r="G351" s="64"/>
      <c r="H351" s="1250" t="s">
        <v>370</v>
      </c>
      <c r="I351" s="1251"/>
      <c r="J351" s="1251"/>
      <c r="K351" s="1251"/>
      <c r="L351" s="1252"/>
    </row>
    <row r="352" spans="1:12">
      <c r="A352" s="12">
        <v>6</v>
      </c>
      <c r="B352" s="179" t="s">
        <v>244</v>
      </c>
      <c r="C352" s="180" t="s">
        <v>245</v>
      </c>
      <c r="D352" s="180"/>
      <c r="E352" s="180"/>
      <c r="F352" s="180"/>
      <c r="G352" s="181"/>
      <c r="H352" s="190"/>
      <c r="I352" s="180"/>
      <c r="J352" s="180"/>
      <c r="K352" s="180"/>
      <c r="L352" s="218"/>
    </row>
    <row r="353" spans="1:12">
      <c r="A353" s="12"/>
      <c r="B353" s="179" t="s">
        <v>246</v>
      </c>
      <c r="C353" s="180" t="s">
        <v>247</v>
      </c>
      <c r="D353" s="180"/>
      <c r="E353" s="180"/>
      <c r="F353" s="180"/>
      <c r="G353" s="181"/>
      <c r="H353" s="190"/>
      <c r="I353" s="172"/>
      <c r="J353" s="172"/>
      <c r="K353" s="180"/>
      <c r="L353" s="218"/>
    </row>
    <row r="354" spans="1:12">
      <c r="A354" s="12">
        <v>7</v>
      </c>
      <c r="B354" s="1255" t="s">
        <v>248</v>
      </c>
      <c r="C354" s="1256"/>
      <c r="D354" s="1256"/>
      <c r="E354" s="1256"/>
      <c r="F354" s="1256"/>
      <c r="G354" s="1263"/>
      <c r="H354" s="194" t="s">
        <v>249</v>
      </c>
      <c r="I354" s="195"/>
      <c r="J354" s="196"/>
      <c r="K354" s="194" t="s">
        <v>250</v>
      </c>
      <c r="L354" s="219"/>
    </row>
    <row r="355" spans="1:12">
      <c r="A355" s="12">
        <v>8</v>
      </c>
      <c r="B355" s="1255" t="s">
        <v>292</v>
      </c>
      <c r="C355" s="1256"/>
      <c r="D355" s="1256"/>
      <c r="E355" s="1256"/>
      <c r="F355" s="1256"/>
      <c r="G355" s="1263"/>
      <c r="H355" s="194" t="s">
        <v>249</v>
      </c>
      <c r="I355" s="195"/>
      <c r="J355" s="196"/>
      <c r="K355" s="194" t="s">
        <v>250</v>
      </c>
      <c r="L355" s="219"/>
    </row>
    <row r="356" spans="1:12">
      <c r="A356" s="12"/>
      <c r="B356" s="166"/>
      <c r="C356" s="198"/>
      <c r="D356" s="198"/>
      <c r="E356" s="198"/>
      <c r="F356" s="198" t="s">
        <v>251</v>
      </c>
      <c r="G356" s="198"/>
      <c r="H356" s="198"/>
      <c r="I356" s="198"/>
      <c r="J356" s="198"/>
      <c r="K356" s="198"/>
      <c r="L356" s="220"/>
    </row>
    <row r="357" spans="1:12">
      <c r="A357" s="12">
        <v>9</v>
      </c>
      <c r="B357" s="179" t="s">
        <v>252</v>
      </c>
      <c r="C357" s="180" t="s">
        <v>253</v>
      </c>
      <c r="D357" s="180"/>
      <c r="E357" s="180"/>
      <c r="F357" s="180"/>
      <c r="G357" s="181"/>
      <c r="H357" s="190"/>
      <c r="I357" s="180"/>
      <c r="J357" s="180"/>
      <c r="K357" s="180"/>
      <c r="L357" s="218"/>
    </row>
    <row r="358" spans="1:12">
      <c r="A358" s="84"/>
      <c r="B358" s="179" t="s">
        <v>254</v>
      </c>
      <c r="C358" s="180" t="s">
        <v>255</v>
      </c>
      <c r="D358" s="180"/>
      <c r="E358" s="180"/>
      <c r="F358" s="180"/>
      <c r="G358" s="181"/>
      <c r="H358" s="190"/>
      <c r="I358" s="180"/>
      <c r="J358" s="180"/>
      <c r="K358" s="180"/>
      <c r="L358" s="218"/>
    </row>
    <row r="359" spans="1:12">
      <c r="A359" s="84"/>
      <c r="B359" s="179" t="s">
        <v>293</v>
      </c>
      <c r="C359" s="180" t="s">
        <v>294</v>
      </c>
      <c r="D359" s="180"/>
      <c r="E359" s="180"/>
      <c r="F359" s="180"/>
      <c r="G359" s="181"/>
      <c r="H359" s="190"/>
      <c r="I359" s="180"/>
      <c r="J359" s="180"/>
      <c r="K359" s="180"/>
      <c r="L359" s="218"/>
    </row>
    <row r="360" spans="1:12">
      <c r="A360" s="84"/>
      <c r="B360" s="179" t="s">
        <v>257</v>
      </c>
      <c r="C360" s="180" t="s">
        <v>258</v>
      </c>
      <c r="D360" s="180"/>
      <c r="E360" s="180"/>
      <c r="F360" s="180"/>
      <c r="G360" s="181"/>
      <c r="H360" s="190"/>
      <c r="I360" s="180"/>
      <c r="J360" s="180"/>
      <c r="K360" s="180"/>
      <c r="L360" s="218"/>
    </row>
    <row r="361" spans="1:12">
      <c r="A361" s="84"/>
      <c r="B361" s="179" t="s">
        <v>259</v>
      </c>
      <c r="C361" s="180" t="s">
        <v>260</v>
      </c>
      <c r="D361" s="180"/>
      <c r="E361" s="180"/>
      <c r="F361" s="180"/>
      <c r="G361" s="181"/>
      <c r="H361" s="190"/>
      <c r="I361" s="180"/>
      <c r="J361" s="180"/>
      <c r="K361" s="180"/>
      <c r="L361" s="218"/>
    </row>
    <row r="362" spans="1:12">
      <c r="A362" s="84">
        <v>10</v>
      </c>
      <c r="B362" s="179" t="s">
        <v>252</v>
      </c>
      <c r="C362" s="180" t="s">
        <v>295</v>
      </c>
      <c r="D362" s="180"/>
      <c r="E362" s="180"/>
      <c r="F362" s="180"/>
      <c r="G362" s="181"/>
      <c r="H362" s="194" t="s">
        <v>249</v>
      </c>
      <c r="I362" s="195"/>
      <c r="J362" s="196"/>
      <c r="K362" s="194" t="s">
        <v>250</v>
      </c>
      <c r="L362" s="219"/>
    </row>
    <row r="363" spans="1:12">
      <c r="A363" s="84"/>
      <c r="B363" s="179" t="s">
        <v>254</v>
      </c>
      <c r="C363" s="180" t="s">
        <v>296</v>
      </c>
      <c r="D363" s="180"/>
      <c r="E363" s="180"/>
      <c r="F363" s="180"/>
      <c r="G363" s="181"/>
      <c r="H363" s="190"/>
      <c r="I363" s="180"/>
      <c r="J363" s="180"/>
      <c r="K363" s="180"/>
      <c r="L363" s="218"/>
    </row>
    <row r="364" spans="1:12">
      <c r="A364" s="84"/>
      <c r="B364" s="179" t="s">
        <v>293</v>
      </c>
      <c r="C364" s="180" t="s">
        <v>261</v>
      </c>
      <c r="D364" s="180"/>
      <c r="E364" s="180"/>
      <c r="F364" s="180"/>
      <c r="G364" s="181"/>
      <c r="H364" s="190"/>
      <c r="I364" s="180"/>
      <c r="J364" s="180"/>
      <c r="K364" s="180"/>
      <c r="L364" s="218"/>
    </row>
    <row r="365" spans="1:12">
      <c r="A365" s="84"/>
      <c r="B365" s="179" t="s">
        <v>257</v>
      </c>
      <c r="C365" s="180" t="s">
        <v>297</v>
      </c>
      <c r="D365" s="180"/>
      <c r="E365" s="180"/>
      <c r="F365" s="180"/>
      <c r="G365" s="181"/>
      <c r="H365" s="190"/>
      <c r="I365" s="180"/>
      <c r="J365" s="180"/>
      <c r="K365" s="180"/>
      <c r="L365" s="218"/>
    </row>
    <row r="366" spans="1:12">
      <c r="A366" s="12"/>
      <c r="B366" s="166"/>
      <c r="C366" s="198"/>
      <c r="D366" s="198"/>
      <c r="E366" s="198" t="s">
        <v>298</v>
      </c>
      <c r="F366" s="198"/>
      <c r="G366" s="198"/>
      <c r="H366" s="198"/>
      <c r="I366" s="198"/>
      <c r="J366" s="198"/>
      <c r="K366" s="198"/>
      <c r="L366" s="220"/>
    </row>
    <row r="367" spans="1:12">
      <c r="A367" s="12">
        <v>11</v>
      </c>
      <c r="B367" s="179" t="s">
        <v>252</v>
      </c>
      <c r="C367" s="180" t="s">
        <v>262</v>
      </c>
      <c r="D367" s="180"/>
      <c r="E367" s="180"/>
      <c r="F367" s="180"/>
      <c r="G367" s="181"/>
      <c r="H367" s="190"/>
      <c r="I367" s="180"/>
      <c r="J367" s="180"/>
      <c r="K367" s="180"/>
      <c r="L367" s="218"/>
    </row>
    <row r="368" spans="1:12">
      <c r="A368" s="12"/>
      <c r="B368" s="179" t="s">
        <v>254</v>
      </c>
      <c r="C368" s="180" t="s">
        <v>263</v>
      </c>
      <c r="D368" s="180"/>
      <c r="E368" s="180"/>
      <c r="F368" s="180"/>
      <c r="G368" s="181"/>
      <c r="H368" s="190"/>
      <c r="I368" s="180"/>
      <c r="J368" s="180"/>
      <c r="K368" s="180"/>
      <c r="L368" s="218"/>
    </row>
    <row r="369" spans="1:12">
      <c r="A369" s="12"/>
      <c r="B369" s="179" t="s">
        <v>256</v>
      </c>
      <c r="C369" s="180" t="s">
        <v>264</v>
      </c>
      <c r="D369" s="180"/>
      <c r="E369" s="180"/>
      <c r="F369" s="180"/>
      <c r="G369" s="181"/>
      <c r="H369" s="190"/>
      <c r="I369" s="180"/>
      <c r="J369" s="180"/>
      <c r="K369" s="180"/>
      <c r="L369" s="218"/>
    </row>
    <row r="370" spans="1:12">
      <c r="A370" s="12"/>
      <c r="B370" s="154"/>
      <c r="C370" s="150"/>
      <c r="D370" s="150"/>
      <c r="E370" s="150"/>
      <c r="F370" s="199" t="s">
        <v>265</v>
      </c>
      <c r="G370" s="150"/>
      <c r="H370" s="139"/>
      <c r="I370" s="139"/>
      <c r="J370" s="139"/>
      <c r="K370" s="139"/>
      <c r="L370" s="157"/>
    </row>
    <row r="371" spans="1:12">
      <c r="A371" s="12"/>
      <c r="B371" s="211" t="s">
        <v>266</v>
      </c>
      <c r="C371" s="210" t="s">
        <v>267</v>
      </c>
      <c r="D371" s="150"/>
      <c r="E371" s="150"/>
      <c r="F371" s="150"/>
      <c r="G371" s="150"/>
      <c r="H371" s="139"/>
      <c r="I371" s="139"/>
      <c r="J371" s="140"/>
      <c r="K371" s="139"/>
      <c r="L371" s="157"/>
    </row>
    <row r="372" spans="1:12">
      <c r="A372" s="12"/>
      <c r="B372" s="211" t="s">
        <v>268</v>
      </c>
      <c r="C372" s="209" t="s">
        <v>269</v>
      </c>
      <c r="D372" s="139"/>
      <c r="E372" s="140"/>
      <c r="G372" s="1264"/>
      <c r="H372" s="1264"/>
      <c r="I372" s="155"/>
      <c r="J372" s="156"/>
      <c r="K372" s="1264"/>
      <c r="L372" s="1265"/>
    </row>
    <row r="373" spans="1:12">
      <c r="A373" s="12"/>
      <c r="B373" s="212" t="s">
        <v>270</v>
      </c>
      <c r="C373" s="1266" t="s">
        <v>299</v>
      </c>
      <c r="D373" s="1266"/>
      <c r="E373" s="1266"/>
      <c r="F373" s="1266"/>
      <c r="G373" s="1266"/>
      <c r="H373" s="1266"/>
      <c r="I373" s="1266"/>
      <c r="J373" s="1266"/>
      <c r="K373" s="1266"/>
      <c r="L373" s="1267"/>
    </row>
    <row r="374" spans="1:12" ht="27.95" customHeight="1">
      <c r="A374" s="12"/>
      <c r="B374" s="211" t="s">
        <v>271</v>
      </c>
      <c r="C374" s="210" t="s">
        <v>272</v>
      </c>
      <c r="D374" s="202"/>
      <c r="E374" s="202"/>
      <c r="F374" s="202"/>
      <c r="G374" s="202"/>
      <c r="H374" s="202"/>
      <c r="I374" s="202"/>
      <c r="J374" s="202"/>
      <c r="K374" s="202"/>
      <c r="L374" s="221"/>
    </row>
    <row r="375" spans="1:12" ht="27.95" customHeight="1">
      <c r="A375" s="12"/>
      <c r="B375" s="154"/>
      <c r="C375" t="s">
        <v>300</v>
      </c>
      <c r="D375" s="268" t="e">
        <f>'0422Master'!#REF!</f>
        <v>#REF!</v>
      </c>
      <c r="E375" s="2"/>
      <c r="F375" s="2"/>
      <c r="G375" s="2"/>
      <c r="L375" s="13"/>
    </row>
    <row r="376" spans="1:12" ht="27.95" customHeight="1">
      <c r="A376" s="12"/>
      <c r="C376" t="s">
        <v>273</v>
      </c>
      <c r="D376" t="s">
        <v>362</v>
      </c>
      <c r="J376" t="s">
        <v>301</v>
      </c>
      <c r="L376" s="13"/>
    </row>
    <row r="377" spans="1:12" ht="27.95" customHeight="1">
      <c r="A377" s="12"/>
      <c r="F377" s="200" t="s">
        <v>274</v>
      </c>
      <c r="L377" s="13"/>
    </row>
    <row r="378" spans="1:12" ht="27.95" customHeight="1">
      <c r="A378" s="12" t="s">
        <v>302</v>
      </c>
      <c r="B378" t="s">
        <v>275</v>
      </c>
      <c r="E378" s="203" t="e">
        <f>'0422Master'!#REF!</f>
        <v>#REF!</v>
      </c>
      <c r="H378" s="1268" t="s">
        <v>276</v>
      </c>
      <c r="I378" s="1268"/>
      <c r="J378" s="204" t="e">
        <f>'0422Master'!#REF!</f>
        <v>#REF!</v>
      </c>
      <c r="K378" t="s">
        <v>277</v>
      </c>
      <c r="L378" s="13"/>
    </row>
    <row r="379" spans="1:12" ht="27.95" customHeight="1">
      <c r="A379" s="12"/>
      <c r="B379" s="1269" t="e">
        <f>'0422Master'!#REF!</f>
        <v>#REF!</v>
      </c>
      <c r="C379" s="1270"/>
      <c r="D379" s="201"/>
      <c r="E379" s="201"/>
      <c r="F379" s="201"/>
      <c r="G379" s="201"/>
      <c r="H379" s="201"/>
      <c r="I379" s="201"/>
      <c r="J379" s="201"/>
      <c r="K379" s="201"/>
      <c r="L379" s="222"/>
    </row>
    <row r="380" spans="1:12" ht="27.95" customHeight="1">
      <c r="A380" s="12" t="s">
        <v>304</v>
      </c>
      <c r="B380" s="201" t="s">
        <v>278</v>
      </c>
      <c r="C380" s="201"/>
      <c r="D380" s="201"/>
      <c r="E380" s="201"/>
      <c r="F380" s="201"/>
      <c r="G380" s="201"/>
      <c r="H380" s="201"/>
      <c r="I380" s="201"/>
      <c r="J380" s="201"/>
      <c r="K380" s="201"/>
      <c r="L380" s="222"/>
    </row>
    <row r="381" spans="1:12" ht="27.95" customHeight="1">
      <c r="A381" s="12"/>
      <c r="B381" s="201" t="s">
        <v>303</v>
      </c>
      <c r="C381" s="201"/>
      <c r="D381" s="201"/>
      <c r="E381" s="201"/>
      <c r="F381" s="201"/>
      <c r="G381" s="201"/>
      <c r="H381" s="201"/>
      <c r="I381" s="201"/>
      <c r="J381" s="201"/>
      <c r="K381" s="201"/>
      <c r="L381" s="222"/>
    </row>
    <row r="382" spans="1:12" ht="27.95" customHeight="1">
      <c r="A382" s="12"/>
      <c r="B382" t="s">
        <v>279</v>
      </c>
      <c r="L382" s="13"/>
    </row>
    <row r="383" spans="1:12" ht="27.95" customHeight="1">
      <c r="A383" s="12"/>
      <c r="B383" s="2" t="s">
        <v>280</v>
      </c>
      <c r="F383" s="153"/>
      <c r="L383" s="13"/>
    </row>
    <row r="384" spans="1:12" ht="27.95" customHeight="1">
      <c r="A384" s="12"/>
      <c r="B384" s="2" t="s">
        <v>281</v>
      </c>
      <c r="L384" s="13"/>
    </row>
    <row r="385" spans="1:12" ht="27.95" customHeight="1">
      <c r="A385" s="12"/>
      <c r="B385" t="s">
        <v>282</v>
      </c>
      <c r="L385" s="13"/>
    </row>
    <row r="386" spans="1:12" ht="27.95" customHeight="1">
      <c r="A386" s="12"/>
      <c r="B386" t="s">
        <v>283</v>
      </c>
      <c r="L386" s="13"/>
    </row>
    <row r="387" spans="1:12" ht="27.95" customHeight="1">
      <c r="A387" s="12" t="s">
        <v>293</v>
      </c>
      <c r="B387" t="s">
        <v>284</v>
      </c>
      <c r="L387" s="13"/>
    </row>
    <row r="388" spans="1:12" ht="27.95" customHeight="1">
      <c r="A388" s="12"/>
      <c r="B388" s="213" t="s">
        <v>305</v>
      </c>
      <c r="L388" s="13"/>
    </row>
    <row r="389" spans="1:12" ht="27.95" customHeight="1">
      <c r="A389" s="12"/>
      <c r="B389" t="s">
        <v>279</v>
      </c>
      <c r="L389" s="13"/>
    </row>
    <row r="390" spans="1:12" ht="27.95" customHeight="1">
      <c r="A390" s="12"/>
      <c r="B390" t="s">
        <v>285</v>
      </c>
      <c r="L390" s="13"/>
    </row>
    <row r="391" spans="1:12">
      <c r="A391" s="12"/>
      <c r="B391" t="s">
        <v>286</v>
      </c>
      <c r="L391" s="13"/>
    </row>
    <row r="392" spans="1:12">
      <c r="A392" s="12"/>
      <c r="B392" s="1271" t="s">
        <v>287</v>
      </c>
      <c r="C392" s="1271"/>
      <c r="D392" s="1271"/>
      <c r="E392" s="1271"/>
      <c r="F392" s="1271"/>
      <c r="G392" s="1271"/>
      <c r="H392" s="1271"/>
      <c r="I392" s="1271"/>
      <c r="J392" s="1271"/>
      <c r="K392" s="1271"/>
      <c r="L392" s="1272"/>
    </row>
    <row r="393" spans="1:12" ht="23.25">
      <c r="A393" s="12"/>
      <c r="B393" t="s">
        <v>199</v>
      </c>
      <c r="C393" s="263" t="e">
        <f>'0422Master'!#REF!</f>
        <v>#REF!</v>
      </c>
      <c r="D393" s="183"/>
      <c r="E393" s="183"/>
      <c r="F393" s="183"/>
      <c r="G393" s="183"/>
      <c r="H393" s="183"/>
      <c r="I393" t="s">
        <v>306</v>
      </c>
      <c r="J393" s="183"/>
      <c r="K393" s="183"/>
      <c r="L393" s="214"/>
    </row>
    <row r="394" spans="1:12" ht="16.5" thickBot="1">
      <c r="A394" s="24"/>
      <c r="B394" s="1088"/>
      <c r="C394" s="1088"/>
      <c r="D394" s="1088"/>
      <c r="E394" s="1088"/>
      <c r="F394" s="1088"/>
      <c r="G394" s="1088"/>
      <c r="H394" s="1088"/>
      <c r="I394" s="1088"/>
      <c r="J394" s="1088"/>
      <c r="K394" s="1088"/>
      <c r="L394" s="1089"/>
    </row>
    <row r="395" spans="1:12" ht="24" thickBot="1">
      <c r="B395" s="1223"/>
      <c r="C395" s="1223"/>
      <c r="D395" s="1223"/>
      <c r="E395" s="1223"/>
      <c r="F395" s="1223"/>
      <c r="G395" s="1223"/>
      <c r="H395" s="1223"/>
      <c r="I395" s="1223"/>
      <c r="J395" s="1223"/>
      <c r="K395" s="1223"/>
      <c r="L395" s="1223"/>
    </row>
    <row r="396" spans="1:12">
      <c r="A396" s="73"/>
      <c r="B396" s="74"/>
      <c r="C396" s="74"/>
      <c r="D396" s="74"/>
      <c r="E396" s="74"/>
      <c r="F396" s="74"/>
      <c r="G396" s="74"/>
      <c r="H396" s="74"/>
      <c r="I396" s="78" t="s">
        <v>233</v>
      </c>
      <c r="J396" s="74"/>
      <c r="K396" s="74"/>
      <c r="L396" s="75"/>
    </row>
    <row r="397" spans="1:12" ht="15" customHeight="1">
      <c r="A397" s="12"/>
      <c r="B397" s="1273" t="s">
        <v>288</v>
      </c>
      <c r="C397" s="1273"/>
      <c r="D397" s="1273"/>
      <c r="E397" s="1273"/>
      <c r="F397" s="1273"/>
      <c r="G397" s="1273"/>
      <c r="H397" s="1273"/>
      <c r="I397" s="1273"/>
      <c r="J397" s="1273"/>
      <c r="K397" s="1273"/>
      <c r="L397" s="1274"/>
    </row>
    <row r="398" spans="1:12" ht="23.25">
      <c r="A398" s="12"/>
      <c r="B398" s="183"/>
      <c r="C398" s="183"/>
      <c r="D398" s="191" t="s">
        <v>235</v>
      </c>
      <c r="E398" s="183"/>
      <c r="F398" s="183"/>
      <c r="G398" s="183"/>
      <c r="H398" s="183"/>
      <c r="I398" s="185" t="s">
        <v>289</v>
      </c>
      <c r="J398" s="186"/>
      <c r="K398" s="267" t="e">
        <f>'0422Master'!#REF!</f>
        <v>#REF!</v>
      </c>
      <c r="L398" s="216"/>
    </row>
    <row r="399" spans="1:12" ht="15.75">
      <c r="A399" s="12"/>
      <c r="B399" s="1"/>
      <c r="C399" s="1" t="s">
        <v>236</v>
      </c>
      <c r="E399" s="1"/>
      <c r="F399" s="1"/>
      <c r="G399" s="1"/>
      <c r="H399" s="1"/>
      <c r="I399" s="184" t="s">
        <v>290</v>
      </c>
      <c r="J399" s="205" t="str">
        <f>'0422Master'!F5</f>
        <v>Burgeon IT Services Pvt.Ltd.</v>
      </c>
      <c r="K399" s="187"/>
      <c r="L399" s="217"/>
    </row>
    <row r="400" spans="1:12">
      <c r="A400" s="12"/>
      <c r="B400" s="192"/>
      <c r="C400" s="161" t="s">
        <v>237</v>
      </c>
      <c r="E400" s="192"/>
      <c r="F400" s="192"/>
      <c r="H400" s="162"/>
      <c r="I400" s="208" t="str">
        <f>'0422Master'!F6</f>
        <v>Siri Mansion LIGB 436 Dr.A S Rao Nagar,Hyderabad</v>
      </c>
      <c r="J400" s="206"/>
      <c r="K400" s="207"/>
      <c r="L400" s="171"/>
    </row>
    <row r="401" spans="1:12">
      <c r="A401" s="12"/>
      <c r="L401" s="13"/>
    </row>
    <row r="402" spans="1:12">
      <c r="A402" s="12">
        <v>1</v>
      </c>
      <c r="B402" s="188" t="s">
        <v>238</v>
      </c>
      <c r="C402" s="63"/>
      <c r="D402" s="63"/>
      <c r="E402" s="63"/>
      <c r="F402" s="63"/>
      <c r="G402" s="64"/>
      <c r="H402" s="1229" t="e">
        <f>'0422Master'!#REF!</f>
        <v>#REF!</v>
      </c>
      <c r="I402" s="1251"/>
      <c r="J402" s="1251"/>
      <c r="K402" s="1251"/>
      <c r="L402" s="1252"/>
    </row>
    <row r="403" spans="1:12">
      <c r="A403" s="12">
        <v>2</v>
      </c>
      <c r="B403" s="1275" t="s">
        <v>239</v>
      </c>
      <c r="C403" s="1276"/>
      <c r="D403" s="1276"/>
      <c r="E403" s="1276"/>
      <c r="F403" s="189" t="s">
        <v>240</v>
      </c>
      <c r="G403" s="173"/>
      <c r="H403" s="1277" t="e">
        <f>'0422Master'!#REF!</f>
        <v>#REF!</v>
      </c>
      <c r="I403" s="1278"/>
      <c r="J403" s="1278"/>
      <c r="K403" s="1278"/>
      <c r="L403" s="1279"/>
    </row>
    <row r="404" spans="1:12">
      <c r="A404" s="12"/>
      <c r="B404" s="174" t="s">
        <v>241</v>
      </c>
      <c r="C404" s="175"/>
      <c r="D404" s="175"/>
      <c r="E404" s="175"/>
      <c r="F404" s="175" t="s">
        <v>234</v>
      </c>
      <c r="G404" s="176"/>
      <c r="H404" s="1280"/>
      <c r="I404" s="1281"/>
      <c r="J404" s="1281"/>
      <c r="K404" s="1281"/>
      <c r="L404" s="1282"/>
    </row>
    <row r="405" spans="1:12">
      <c r="A405" s="12">
        <v>3</v>
      </c>
      <c r="B405" s="190" t="s">
        <v>242</v>
      </c>
      <c r="C405" s="180"/>
      <c r="D405" s="180"/>
      <c r="E405" s="180"/>
      <c r="F405" s="180"/>
      <c r="G405" s="181"/>
      <c r="H405" s="1255" t="e">
        <f>'0422Master'!#REF!</f>
        <v>#REF!</v>
      </c>
      <c r="I405" s="1256"/>
      <c r="J405" s="1256"/>
      <c r="K405" s="1256"/>
      <c r="L405" s="1257"/>
    </row>
    <row r="406" spans="1:12">
      <c r="A406" s="12">
        <v>4</v>
      </c>
      <c r="B406" s="166" t="s">
        <v>243</v>
      </c>
      <c r="C406" s="63"/>
      <c r="D406" s="63"/>
      <c r="E406" s="63"/>
      <c r="F406" s="63"/>
      <c r="G406" s="64"/>
      <c r="H406" s="1221" t="e">
        <f>'0422Master'!#REF!</f>
        <v>#REF!</v>
      </c>
      <c r="I406" s="1243"/>
      <c r="J406" s="1243"/>
      <c r="K406" s="1243"/>
      <c r="L406" s="1237"/>
    </row>
    <row r="407" spans="1:12">
      <c r="A407" s="12">
        <v>5</v>
      </c>
      <c r="B407" s="1258" t="s">
        <v>291</v>
      </c>
      <c r="C407" s="1259"/>
      <c r="D407" s="1259"/>
      <c r="E407" s="1259"/>
      <c r="F407" s="1259"/>
      <c r="G407" s="64"/>
      <c r="H407" s="1250" t="s">
        <v>370</v>
      </c>
      <c r="I407" s="1251"/>
      <c r="J407" s="1251"/>
      <c r="K407" s="1251"/>
      <c r="L407" s="1252"/>
    </row>
    <row r="408" spans="1:12">
      <c r="A408" s="12">
        <v>6</v>
      </c>
      <c r="B408" s="179" t="s">
        <v>244</v>
      </c>
      <c r="C408" s="180" t="s">
        <v>245</v>
      </c>
      <c r="D408" s="180"/>
      <c r="E408" s="180"/>
      <c r="F408" s="180"/>
      <c r="G408" s="181"/>
      <c r="H408" s="190"/>
      <c r="I408" s="180"/>
      <c r="J408" s="180"/>
      <c r="K408" s="180"/>
      <c r="L408" s="218"/>
    </row>
    <row r="409" spans="1:12">
      <c r="A409" s="12"/>
      <c r="B409" s="179" t="s">
        <v>246</v>
      </c>
      <c r="C409" s="180" t="s">
        <v>247</v>
      </c>
      <c r="D409" s="180"/>
      <c r="E409" s="180"/>
      <c r="F409" s="180"/>
      <c r="G409" s="181"/>
      <c r="H409" s="190"/>
      <c r="I409" s="172"/>
      <c r="J409" s="172"/>
      <c r="K409" s="180"/>
      <c r="L409" s="218"/>
    </row>
    <row r="410" spans="1:12">
      <c r="A410" s="12">
        <v>7</v>
      </c>
      <c r="B410" s="1255" t="s">
        <v>248</v>
      </c>
      <c r="C410" s="1256"/>
      <c r="D410" s="1256"/>
      <c r="E410" s="1256"/>
      <c r="F410" s="1256"/>
      <c r="G410" s="1263"/>
      <c r="H410" s="194" t="s">
        <v>249</v>
      </c>
      <c r="I410" s="195"/>
      <c r="J410" s="196"/>
      <c r="K410" s="194" t="s">
        <v>250</v>
      </c>
      <c r="L410" s="219"/>
    </row>
    <row r="411" spans="1:12">
      <c r="A411" s="12">
        <v>8</v>
      </c>
      <c r="B411" s="1255" t="s">
        <v>292</v>
      </c>
      <c r="C411" s="1256"/>
      <c r="D411" s="1256"/>
      <c r="E411" s="1256"/>
      <c r="F411" s="1256"/>
      <c r="G411" s="1263"/>
      <c r="H411" s="194" t="s">
        <v>249</v>
      </c>
      <c r="I411" s="195"/>
      <c r="J411" s="196"/>
      <c r="K411" s="194" t="s">
        <v>250</v>
      </c>
      <c r="L411" s="219"/>
    </row>
    <row r="412" spans="1:12" ht="27.95" customHeight="1">
      <c r="A412" s="12"/>
      <c r="B412" s="166"/>
      <c r="C412" s="198"/>
      <c r="D412" s="198"/>
      <c r="E412" s="198"/>
      <c r="F412" s="198" t="s">
        <v>251</v>
      </c>
      <c r="G412" s="198"/>
      <c r="H412" s="198"/>
      <c r="I412" s="198"/>
      <c r="J412" s="198"/>
      <c r="K412" s="198"/>
      <c r="L412" s="220"/>
    </row>
    <row r="413" spans="1:12" ht="27.95" customHeight="1">
      <c r="A413" s="12">
        <v>9</v>
      </c>
      <c r="B413" s="179" t="s">
        <v>252</v>
      </c>
      <c r="C413" s="180" t="s">
        <v>253</v>
      </c>
      <c r="D413" s="180"/>
      <c r="E413" s="180"/>
      <c r="F413" s="180"/>
      <c r="G413" s="181"/>
      <c r="H413" s="190"/>
      <c r="I413" s="180"/>
      <c r="J413" s="180"/>
      <c r="K413" s="180"/>
      <c r="L413" s="218"/>
    </row>
    <row r="414" spans="1:12" ht="27.95" customHeight="1">
      <c r="A414" s="84"/>
      <c r="B414" s="179" t="s">
        <v>254</v>
      </c>
      <c r="C414" s="180" t="s">
        <v>255</v>
      </c>
      <c r="D414" s="180"/>
      <c r="E414" s="180"/>
      <c r="F414" s="180"/>
      <c r="G414" s="181"/>
      <c r="H414" s="190"/>
      <c r="I414" s="180"/>
      <c r="J414" s="180"/>
      <c r="K414" s="180"/>
      <c r="L414" s="218"/>
    </row>
    <row r="415" spans="1:12" ht="27.95" customHeight="1">
      <c r="A415" s="84"/>
      <c r="B415" s="179" t="s">
        <v>293</v>
      </c>
      <c r="C415" s="180" t="s">
        <v>294</v>
      </c>
      <c r="D415" s="180"/>
      <c r="E415" s="180"/>
      <c r="F415" s="180"/>
      <c r="G415" s="181"/>
      <c r="H415" s="190"/>
      <c r="I415" s="180"/>
      <c r="J415" s="180"/>
      <c r="K415" s="180"/>
      <c r="L415" s="218"/>
    </row>
    <row r="416" spans="1:12" ht="27.95" customHeight="1">
      <c r="A416" s="84"/>
      <c r="B416" s="179" t="s">
        <v>257</v>
      </c>
      <c r="C416" s="180" t="s">
        <v>258</v>
      </c>
      <c r="D416" s="180"/>
      <c r="E416" s="180"/>
      <c r="F416" s="180"/>
      <c r="G416" s="181"/>
      <c r="H416" s="190"/>
      <c r="I416" s="180"/>
      <c r="J416" s="180"/>
      <c r="K416" s="180"/>
      <c r="L416" s="218"/>
    </row>
    <row r="417" spans="1:12" ht="27.95" customHeight="1">
      <c r="A417" s="84"/>
      <c r="B417" s="179" t="s">
        <v>259</v>
      </c>
      <c r="C417" s="180" t="s">
        <v>260</v>
      </c>
      <c r="D417" s="180"/>
      <c r="E417" s="180"/>
      <c r="F417" s="180"/>
      <c r="G417" s="181"/>
      <c r="H417" s="190"/>
      <c r="I417" s="180"/>
      <c r="J417" s="180"/>
      <c r="K417" s="180"/>
      <c r="L417" s="218"/>
    </row>
    <row r="418" spans="1:12" ht="27.95" customHeight="1">
      <c r="A418" s="84">
        <v>10</v>
      </c>
      <c r="B418" s="179" t="s">
        <v>252</v>
      </c>
      <c r="C418" s="180" t="s">
        <v>295</v>
      </c>
      <c r="D418" s="180"/>
      <c r="E418" s="180"/>
      <c r="F418" s="180"/>
      <c r="G418" s="181"/>
      <c r="H418" s="194" t="s">
        <v>249</v>
      </c>
      <c r="I418" s="195"/>
      <c r="J418" s="196"/>
      <c r="K418" s="194" t="s">
        <v>250</v>
      </c>
      <c r="L418" s="219"/>
    </row>
    <row r="419" spans="1:12" ht="27.95" customHeight="1">
      <c r="A419" s="84"/>
      <c r="B419" s="179" t="s">
        <v>254</v>
      </c>
      <c r="C419" s="180" t="s">
        <v>296</v>
      </c>
      <c r="D419" s="180"/>
      <c r="E419" s="180"/>
      <c r="F419" s="180"/>
      <c r="G419" s="181"/>
      <c r="H419" s="190"/>
      <c r="I419" s="180"/>
      <c r="J419" s="180"/>
      <c r="K419" s="180"/>
      <c r="L419" s="218"/>
    </row>
    <row r="420" spans="1:12" ht="27.95" customHeight="1">
      <c r="A420" s="84"/>
      <c r="B420" s="179" t="s">
        <v>293</v>
      </c>
      <c r="C420" s="180" t="s">
        <v>261</v>
      </c>
      <c r="D420" s="180"/>
      <c r="E420" s="180"/>
      <c r="F420" s="180"/>
      <c r="G420" s="181"/>
      <c r="H420" s="190"/>
      <c r="I420" s="180"/>
      <c r="J420" s="180"/>
      <c r="K420" s="180"/>
      <c r="L420" s="218"/>
    </row>
    <row r="421" spans="1:12" ht="27.95" customHeight="1">
      <c r="A421" s="84"/>
      <c r="B421" s="179" t="s">
        <v>257</v>
      </c>
      <c r="C421" s="180" t="s">
        <v>297</v>
      </c>
      <c r="D421" s="180"/>
      <c r="E421" s="180"/>
      <c r="F421" s="180"/>
      <c r="G421" s="181"/>
      <c r="H421" s="190"/>
      <c r="I421" s="180"/>
      <c r="J421" s="180"/>
      <c r="K421" s="180"/>
      <c r="L421" s="218"/>
    </row>
    <row r="422" spans="1:12" ht="27.95" customHeight="1">
      <c r="A422" s="12"/>
      <c r="B422" s="166"/>
      <c r="C422" s="198"/>
      <c r="D422" s="198"/>
      <c r="E422" s="198" t="s">
        <v>298</v>
      </c>
      <c r="F422" s="198"/>
      <c r="G422" s="198"/>
      <c r="H422" s="198"/>
      <c r="I422" s="198"/>
      <c r="J422" s="198"/>
      <c r="K422" s="198"/>
      <c r="L422" s="220"/>
    </row>
    <row r="423" spans="1:12" ht="27.95" customHeight="1">
      <c r="A423" s="12">
        <v>11</v>
      </c>
      <c r="B423" s="179" t="s">
        <v>252</v>
      </c>
      <c r="C423" s="180" t="s">
        <v>262</v>
      </c>
      <c r="D423" s="180"/>
      <c r="E423" s="180"/>
      <c r="F423" s="180"/>
      <c r="G423" s="181"/>
      <c r="H423" s="190"/>
      <c r="I423" s="180"/>
      <c r="J423" s="180"/>
      <c r="K423" s="180"/>
      <c r="L423" s="218"/>
    </row>
    <row r="424" spans="1:12" ht="27.95" customHeight="1">
      <c r="A424" s="12"/>
      <c r="B424" s="179" t="s">
        <v>254</v>
      </c>
      <c r="C424" s="180" t="s">
        <v>263</v>
      </c>
      <c r="D424" s="180"/>
      <c r="E424" s="180"/>
      <c r="F424" s="180"/>
      <c r="G424" s="181"/>
      <c r="H424" s="190"/>
      <c r="I424" s="180"/>
      <c r="J424" s="180"/>
      <c r="K424" s="180"/>
      <c r="L424" s="218"/>
    </row>
    <row r="425" spans="1:12" ht="27.95" customHeight="1">
      <c r="A425" s="12"/>
      <c r="B425" s="179" t="s">
        <v>256</v>
      </c>
      <c r="C425" s="180" t="s">
        <v>264</v>
      </c>
      <c r="D425" s="180"/>
      <c r="E425" s="180"/>
      <c r="F425" s="180"/>
      <c r="G425" s="181"/>
      <c r="H425" s="190"/>
      <c r="I425" s="180"/>
      <c r="J425" s="180"/>
      <c r="K425" s="180"/>
      <c r="L425" s="218"/>
    </row>
    <row r="426" spans="1:12" ht="27.95" customHeight="1">
      <c r="A426" s="12"/>
      <c r="B426" s="154"/>
      <c r="C426" s="150"/>
      <c r="D426" s="150"/>
      <c r="E426" s="150"/>
      <c r="F426" s="199" t="s">
        <v>265</v>
      </c>
      <c r="G426" s="150"/>
      <c r="H426" s="139"/>
      <c r="I426" s="139"/>
      <c r="J426" s="139"/>
      <c r="K426" s="139"/>
      <c r="L426" s="157"/>
    </row>
    <row r="427" spans="1:12" ht="27.95" customHeight="1">
      <c r="A427" s="12"/>
      <c r="B427" s="211" t="s">
        <v>266</v>
      </c>
      <c r="C427" s="210" t="s">
        <v>267</v>
      </c>
      <c r="D427" s="150"/>
      <c r="E427" s="150"/>
      <c r="F427" s="150"/>
      <c r="G427" s="150"/>
      <c r="H427" s="139"/>
      <c r="I427" s="139"/>
      <c r="J427" s="140"/>
      <c r="K427" s="139"/>
      <c r="L427" s="157"/>
    </row>
    <row r="428" spans="1:12" ht="27.95" customHeight="1">
      <c r="A428" s="12"/>
      <c r="B428" s="211" t="s">
        <v>268</v>
      </c>
      <c r="C428" s="209" t="s">
        <v>269</v>
      </c>
      <c r="D428" s="139"/>
      <c r="E428" s="140"/>
      <c r="G428" s="1264"/>
      <c r="H428" s="1264"/>
      <c r="I428" s="155"/>
      <c r="J428" s="156"/>
      <c r="K428" s="1264"/>
      <c r="L428" s="1265"/>
    </row>
    <row r="429" spans="1:12" ht="27.95" customHeight="1">
      <c r="A429" s="12"/>
      <c r="B429" s="212" t="s">
        <v>270</v>
      </c>
      <c r="C429" s="1266" t="s">
        <v>299</v>
      </c>
      <c r="D429" s="1266"/>
      <c r="E429" s="1266"/>
      <c r="F429" s="1266"/>
      <c r="G429" s="1266"/>
      <c r="H429" s="1266"/>
      <c r="I429" s="1266"/>
      <c r="J429" s="1266"/>
      <c r="K429" s="1266"/>
      <c r="L429" s="1267"/>
    </row>
    <row r="430" spans="1:12">
      <c r="A430" s="12"/>
      <c r="B430" s="211" t="s">
        <v>271</v>
      </c>
      <c r="C430" s="210" t="s">
        <v>272</v>
      </c>
      <c r="D430" s="202"/>
      <c r="E430" s="202"/>
      <c r="F430" s="202"/>
      <c r="G430" s="202"/>
      <c r="H430" s="202"/>
      <c r="I430" s="202"/>
      <c r="J430" s="202"/>
      <c r="K430" s="202"/>
      <c r="L430" s="221"/>
    </row>
    <row r="431" spans="1:12">
      <c r="A431" s="12"/>
      <c r="B431" s="154"/>
      <c r="C431" t="s">
        <v>300</v>
      </c>
      <c r="D431" s="268" t="e">
        <f>'0422Master'!#REF!</f>
        <v>#REF!</v>
      </c>
      <c r="E431" s="2"/>
      <c r="F431" s="2"/>
      <c r="G431" s="2"/>
      <c r="L431" s="13"/>
    </row>
    <row r="432" spans="1:12">
      <c r="A432" s="12"/>
      <c r="C432" t="s">
        <v>273</v>
      </c>
      <c r="D432" t="s">
        <v>362</v>
      </c>
      <c r="J432" t="s">
        <v>301</v>
      </c>
      <c r="L432" s="13"/>
    </row>
    <row r="433" spans="1:12">
      <c r="A433" s="12"/>
      <c r="F433" s="200" t="s">
        <v>274</v>
      </c>
      <c r="L433" s="13"/>
    </row>
    <row r="434" spans="1:12">
      <c r="A434" s="12" t="s">
        <v>302</v>
      </c>
      <c r="B434" t="s">
        <v>275</v>
      </c>
      <c r="E434" s="203" t="e">
        <f>'0422Master'!#REF!</f>
        <v>#REF!</v>
      </c>
      <c r="H434" s="1268" t="s">
        <v>276</v>
      </c>
      <c r="I434" s="1268"/>
      <c r="J434" s="204" t="e">
        <f>'0422Master'!#REF!</f>
        <v>#REF!</v>
      </c>
      <c r="K434" t="s">
        <v>277</v>
      </c>
      <c r="L434" s="13"/>
    </row>
    <row r="435" spans="1:12">
      <c r="A435" s="12"/>
      <c r="B435" s="1269" t="e">
        <f>'0422Master'!#REF!</f>
        <v>#REF!</v>
      </c>
      <c r="C435" s="1270"/>
      <c r="D435" s="201"/>
      <c r="E435" s="201"/>
      <c r="F435" s="201"/>
      <c r="G435" s="201"/>
      <c r="H435" s="201"/>
      <c r="I435" s="201"/>
      <c r="J435" s="201"/>
      <c r="K435" s="201"/>
      <c r="L435" s="222"/>
    </row>
    <row r="436" spans="1:12" ht="15" customHeight="1">
      <c r="A436" s="12" t="s">
        <v>304</v>
      </c>
      <c r="B436" s="201" t="s">
        <v>278</v>
      </c>
      <c r="C436" s="201"/>
      <c r="D436" s="201"/>
      <c r="E436" s="201"/>
      <c r="F436" s="201"/>
      <c r="G436" s="201"/>
      <c r="H436" s="201"/>
      <c r="I436" s="201"/>
      <c r="J436" s="201"/>
      <c r="K436" s="201"/>
      <c r="L436" s="222"/>
    </row>
    <row r="437" spans="1:12">
      <c r="A437" s="12"/>
      <c r="B437" s="201" t="s">
        <v>303</v>
      </c>
      <c r="C437" s="201"/>
      <c r="D437" s="201"/>
      <c r="E437" s="201"/>
      <c r="F437" s="201"/>
      <c r="G437" s="201"/>
      <c r="H437" s="201"/>
      <c r="I437" s="201"/>
      <c r="J437" s="201"/>
      <c r="K437" s="201"/>
      <c r="L437" s="222"/>
    </row>
    <row r="438" spans="1:12">
      <c r="A438" s="12"/>
      <c r="B438" t="s">
        <v>279</v>
      </c>
      <c r="L438" s="13"/>
    </row>
    <row r="439" spans="1:12" ht="18.75">
      <c r="A439" s="12"/>
      <c r="B439" s="2" t="s">
        <v>280</v>
      </c>
      <c r="F439" s="153"/>
      <c r="L439" s="13"/>
    </row>
    <row r="440" spans="1:12">
      <c r="A440" s="12"/>
      <c r="B440" s="2" t="s">
        <v>281</v>
      </c>
      <c r="L440" s="13"/>
    </row>
    <row r="441" spans="1:12">
      <c r="A441" s="12"/>
      <c r="B441" t="s">
        <v>282</v>
      </c>
      <c r="L441" s="13"/>
    </row>
    <row r="442" spans="1:12">
      <c r="A442" s="12"/>
      <c r="B442" t="s">
        <v>283</v>
      </c>
      <c r="L442" s="13"/>
    </row>
    <row r="443" spans="1:12">
      <c r="A443" s="12" t="s">
        <v>293</v>
      </c>
      <c r="B443" t="s">
        <v>284</v>
      </c>
      <c r="L443" s="13"/>
    </row>
    <row r="444" spans="1:12">
      <c r="A444" s="12"/>
      <c r="B444" s="213" t="s">
        <v>305</v>
      </c>
      <c r="L444" s="13"/>
    </row>
    <row r="445" spans="1:12">
      <c r="A445" s="12"/>
      <c r="B445" t="s">
        <v>279</v>
      </c>
      <c r="L445" s="13"/>
    </row>
    <row r="446" spans="1:12">
      <c r="A446" s="12"/>
      <c r="B446" t="s">
        <v>285</v>
      </c>
      <c r="L446" s="13"/>
    </row>
    <row r="447" spans="1:12">
      <c r="A447" s="12"/>
      <c r="B447" t="s">
        <v>286</v>
      </c>
      <c r="L447" s="13"/>
    </row>
    <row r="448" spans="1:12">
      <c r="A448" s="12"/>
      <c r="B448" s="1271" t="s">
        <v>287</v>
      </c>
      <c r="C448" s="1271"/>
      <c r="D448" s="1271"/>
      <c r="E448" s="1271"/>
      <c r="F448" s="1271"/>
      <c r="G448" s="1271"/>
      <c r="H448" s="1271"/>
      <c r="I448" s="1271"/>
      <c r="J448" s="1271"/>
      <c r="K448" s="1271"/>
      <c r="L448" s="1272"/>
    </row>
    <row r="449" spans="1:12" ht="23.25">
      <c r="A449" s="12"/>
      <c r="B449" t="s">
        <v>199</v>
      </c>
      <c r="C449" s="263" t="e">
        <f>'0422Master'!#REF!</f>
        <v>#REF!</v>
      </c>
      <c r="D449" s="183"/>
      <c r="E449" s="183"/>
      <c r="F449" s="183"/>
      <c r="G449" s="183"/>
      <c r="H449" s="183"/>
      <c r="I449" t="s">
        <v>306</v>
      </c>
      <c r="J449" s="183"/>
      <c r="K449" s="183"/>
      <c r="L449" s="214"/>
    </row>
    <row r="450" spans="1:12" ht="16.5" thickBot="1">
      <c r="A450" s="24"/>
      <c r="B450" s="1088"/>
      <c r="C450" s="1088"/>
      <c r="D450" s="1088"/>
      <c r="E450" s="1088"/>
      <c r="F450" s="1088"/>
      <c r="G450" s="1088"/>
      <c r="H450" s="1088"/>
      <c r="I450" s="1088"/>
      <c r="J450" s="1088"/>
      <c r="K450" s="1088"/>
      <c r="L450" s="1089"/>
    </row>
    <row r="451" spans="1:12" ht="21.75" customHeight="1">
      <c r="A451" s="73"/>
      <c r="B451" s="74"/>
      <c r="C451" s="74"/>
      <c r="D451" s="74"/>
      <c r="E451" s="74"/>
      <c r="F451" s="74"/>
      <c r="G451" s="74"/>
      <c r="H451" s="74"/>
      <c r="I451" s="78" t="s">
        <v>233</v>
      </c>
      <c r="J451" s="74"/>
      <c r="K451" s="74"/>
      <c r="L451" s="75"/>
    </row>
    <row r="452" spans="1:12" ht="12" customHeight="1">
      <c r="A452" s="12"/>
      <c r="B452" s="1273" t="s">
        <v>288</v>
      </c>
      <c r="C452" s="1273"/>
      <c r="D452" s="1273"/>
      <c r="E452" s="1273"/>
      <c r="F452" s="1273"/>
      <c r="G452" s="1273"/>
      <c r="H452" s="1273"/>
      <c r="I452" s="1273"/>
      <c r="J452" s="1273"/>
      <c r="K452" s="1273"/>
      <c r="L452" s="1274"/>
    </row>
    <row r="453" spans="1:12" ht="27.95" customHeight="1">
      <c r="A453" s="12"/>
      <c r="B453" s="183"/>
      <c r="C453" s="183"/>
      <c r="D453" s="191" t="s">
        <v>235</v>
      </c>
      <c r="E453" s="183"/>
      <c r="F453" s="183"/>
      <c r="G453" s="183"/>
      <c r="H453" s="183"/>
      <c r="I453" s="185" t="s">
        <v>289</v>
      </c>
      <c r="J453" s="186"/>
      <c r="K453" s="267" t="e">
        <f>'0422Master'!#REF!</f>
        <v>#REF!</v>
      </c>
      <c r="L453" s="216"/>
    </row>
    <row r="454" spans="1:12" ht="27.95" customHeight="1">
      <c r="A454" s="12"/>
      <c r="B454" s="1"/>
      <c r="C454" s="1" t="s">
        <v>236</v>
      </c>
      <c r="E454" s="1"/>
      <c r="F454" s="1"/>
      <c r="G454" s="1"/>
      <c r="H454" s="1"/>
      <c r="I454" s="184" t="s">
        <v>290</v>
      </c>
      <c r="J454" s="205" t="str">
        <f>'0422Master'!F5</f>
        <v>Burgeon IT Services Pvt.Ltd.</v>
      </c>
      <c r="K454" s="187"/>
      <c r="L454" s="217"/>
    </row>
    <row r="455" spans="1:12" ht="24" customHeight="1">
      <c r="A455" s="12"/>
      <c r="B455" s="192"/>
      <c r="C455" s="161" t="s">
        <v>237</v>
      </c>
      <c r="E455" s="192"/>
      <c r="F455" s="192"/>
      <c r="H455" s="162"/>
      <c r="I455" s="208" t="str">
        <f>'0422Master'!F6</f>
        <v>Siri Mansion LIGB 436 Dr.A S Rao Nagar,Hyderabad</v>
      </c>
      <c r="J455" s="206"/>
      <c r="K455" s="207"/>
      <c r="L455" s="171"/>
    </row>
    <row r="456" spans="1:12" ht="27.95" customHeight="1">
      <c r="A456" s="12">
        <v>1</v>
      </c>
      <c r="B456" s="188" t="s">
        <v>238</v>
      </c>
      <c r="C456" s="63"/>
      <c r="D456" s="63"/>
      <c r="E456" s="63"/>
      <c r="F456" s="63"/>
      <c r="G456" s="64"/>
      <c r="H456" s="1229" t="e">
        <f>'0422Master'!#REF!</f>
        <v>#REF!</v>
      </c>
      <c r="I456" s="1251"/>
      <c r="J456" s="1251"/>
      <c r="K456" s="1251"/>
      <c r="L456" s="1252"/>
    </row>
    <row r="457" spans="1:12" ht="21" customHeight="1">
      <c r="A457" s="12">
        <v>2</v>
      </c>
      <c r="B457" s="1275" t="s">
        <v>239</v>
      </c>
      <c r="C457" s="1276"/>
      <c r="D457" s="1276"/>
      <c r="E457" s="1276"/>
      <c r="F457" s="189" t="s">
        <v>240</v>
      </c>
      <c r="G457" s="173"/>
      <c r="H457" s="1277" t="e">
        <f>'0422Master'!#REF!</f>
        <v>#REF!</v>
      </c>
      <c r="I457" s="1278"/>
      <c r="J457" s="1278"/>
      <c r="K457" s="1278"/>
      <c r="L457" s="1279"/>
    </row>
    <row r="458" spans="1:12" ht="12" customHeight="1">
      <c r="A458" s="12"/>
      <c r="B458" s="174" t="s">
        <v>241</v>
      </c>
      <c r="C458" s="175"/>
      <c r="D458" s="175"/>
      <c r="E458" s="175"/>
      <c r="F458" s="175" t="s">
        <v>234</v>
      </c>
      <c r="G458" s="176"/>
      <c r="H458" s="1280"/>
      <c r="I458" s="1281"/>
      <c r="J458" s="1281"/>
      <c r="K458" s="1281"/>
      <c r="L458" s="1282"/>
    </row>
    <row r="459" spans="1:12" ht="27.95" customHeight="1">
      <c r="A459" s="12">
        <v>3</v>
      </c>
      <c r="B459" s="190" t="s">
        <v>242</v>
      </c>
      <c r="C459" s="180"/>
      <c r="D459" s="180"/>
      <c r="E459" s="180"/>
      <c r="F459" s="180"/>
      <c r="G459" s="181"/>
      <c r="H459" s="1255" t="e">
        <f>'0422Master'!#REF!</f>
        <v>#REF!</v>
      </c>
      <c r="I459" s="1256"/>
      <c r="J459" s="1256"/>
      <c r="K459" s="1256"/>
      <c r="L459" s="1257"/>
    </row>
    <row r="460" spans="1:12" ht="23.25" customHeight="1">
      <c r="A460" s="12">
        <v>4</v>
      </c>
      <c r="B460" s="166" t="s">
        <v>243</v>
      </c>
      <c r="C460" s="63"/>
      <c r="D460" s="63"/>
      <c r="E460" s="63"/>
      <c r="F460" s="63"/>
      <c r="G460" s="64"/>
      <c r="H460" s="1221" t="e">
        <f>'0422Master'!#REF!</f>
        <v>#REF!</v>
      </c>
      <c r="I460" s="1243"/>
      <c r="J460" s="1243"/>
      <c r="K460" s="1243"/>
      <c r="L460" s="1237"/>
    </row>
    <row r="461" spans="1:12" ht="27.95" customHeight="1">
      <c r="A461" s="12">
        <v>5</v>
      </c>
      <c r="B461" s="1258" t="s">
        <v>291</v>
      </c>
      <c r="C461" s="1259"/>
      <c r="D461" s="1259"/>
      <c r="E461" s="1259"/>
      <c r="F461" s="1259"/>
      <c r="G461" s="64"/>
      <c r="H461" s="1250" t="s">
        <v>370</v>
      </c>
      <c r="I461" s="1251"/>
      <c r="J461" s="1251"/>
      <c r="K461" s="1251"/>
      <c r="L461" s="1252"/>
    </row>
    <row r="462" spans="1:12" ht="27.95" customHeight="1">
      <c r="A462" s="12">
        <v>6</v>
      </c>
      <c r="B462" s="179" t="s">
        <v>244</v>
      </c>
      <c r="C462" s="180" t="s">
        <v>245</v>
      </c>
      <c r="D462" s="180"/>
      <c r="E462" s="180"/>
      <c r="F462" s="180"/>
      <c r="G462" s="181"/>
      <c r="H462" s="190"/>
      <c r="I462" s="180"/>
      <c r="J462" s="180"/>
      <c r="K462" s="180"/>
      <c r="L462" s="218"/>
    </row>
    <row r="463" spans="1:12" ht="27.95" customHeight="1">
      <c r="A463" s="12"/>
      <c r="B463" s="179" t="s">
        <v>246</v>
      </c>
      <c r="C463" s="180" t="s">
        <v>247</v>
      </c>
      <c r="D463" s="180"/>
      <c r="E463" s="180"/>
      <c r="F463" s="180"/>
      <c r="G463" s="181"/>
      <c r="H463" s="190"/>
      <c r="I463" s="172"/>
      <c r="J463" s="172"/>
      <c r="K463" s="180"/>
      <c r="L463" s="218"/>
    </row>
    <row r="464" spans="1:12" ht="27.95" customHeight="1">
      <c r="A464" s="12">
        <v>7</v>
      </c>
      <c r="B464" s="1255" t="s">
        <v>248</v>
      </c>
      <c r="C464" s="1256"/>
      <c r="D464" s="1256"/>
      <c r="E464" s="1256"/>
      <c r="F464" s="1256"/>
      <c r="G464" s="1263"/>
      <c r="H464" s="194" t="s">
        <v>249</v>
      </c>
      <c r="I464" s="195"/>
      <c r="J464" s="196"/>
      <c r="K464" s="194" t="s">
        <v>250</v>
      </c>
      <c r="L464" s="219"/>
    </row>
    <row r="465" spans="1:12" ht="27.95" customHeight="1">
      <c r="A465" s="12">
        <v>8</v>
      </c>
      <c r="B465" s="1255" t="s">
        <v>292</v>
      </c>
      <c r="C465" s="1256"/>
      <c r="D465" s="1256"/>
      <c r="E465" s="1256"/>
      <c r="F465" s="1256"/>
      <c r="G465" s="1263"/>
      <c r="H465" s="194" t="s">
        <v>249</v>
      </c>
      <c r="I465" s="195"/>
      <c r="J465" s="196"/>
      <c r="K465" s="194" t="s">
        <v>250</v>
      </c>
      <c r="L465" s="219"/>
    </row>
    <row r="466" spans="1:12" ht="27.95" customHeight="1">
      <c r="A466" s="12"/>
      <c r="B466" s="166"/>
      <c r="C466" s="198"/>
      <c r="D466" s="198"/>
      <c r="E466" s="198"/>
      <c r="F466" s="198" t="s">
        <v>251</v>
      </c>
      <c r="G466" s="198"/>
      <c r="H466" s="198"/>
      <c r="I466" s="198"/>
      <c r="J466" s="198"/>
      <c r="K466" s="198"/>
      <c r="L466" s="220"/>
    </row>
    <row r="467" spans="1:12" ht="27.95" customHeight="1">
      <c r="A467" s="12">
        <v>9</v>
      </c>
      <c r="B467" s="179" t="s">
        <v>252</v>
      </c>
      <c r="C467" s="180" t="s">
        <v>253</v>
      </c>
      <c r="D467" s="180"/>
      <c r="E467" s="180"/>
      <c r="F467" s="180"/>
      <c r="G467" s="181"/>
      <c r="H467" s="190"/>
      <c r="I467" s="180"/>
      <c r="J467" s="180"/>
      <c r="K467" s="180"/>
      <c r="L467" s="218"/>
    </row>
    <row r="468" spans="1:12">
      <c r="A468" s="84"/>
      <c r="B468" s="179" t="s">
        <v>254</v>
      </c>
      <c r="C468" s="180" t="s">
        <v>255</v>
      </c>
      <c r="D468" s="180"/>
      <c r="E468" s="180"/>
      <c r="F468" s="180"/>
      <c r="G468" s="181"/>
      <c r="H468" s="190"/>
      <c r="I468" s="180"/>
      <c r="J468" s="180"/>
      <c r="K468" s="180"/>
      <c r="L468" s="218"/>
    </row>
    <row r="469" spans="1:12">
      <c r="A469" s="84"/>
      <c r="B469" s="179" t="s">
        <v>293</v>
      </c>
      <c r="C469" s="180" t="s">
        <v>294</v>
      </c>
      <c r="D469" s="180"/>
      <c r="E469" s="180"/>
      <c r="F469" s="180"/>
      <c r="G469" s="181"/>
      <c r="H469" s="190"/>
      <c r="I469" s="180"/>
      <c r="J469" s="180"/>
      <c r="K469" s="180"/>
      <c r="L469" s="218"/>
    </row>
    <row r="470" spans="1:12">
      <c r="A470" s="84"/>
      <c r="B470" s="179" t="s">
        <v>257</v>
      </c>
      <c r="C470" s="180" t="s">
        <v>258</v>
      </c>
      <c r="D470" s="180"/>
      <c r="E470" s="180"/>
      <c r="F470" s="180"/>
      <c r="G470" s="181"/>
      <c r="H470" s="190"/>
      <c r="I470" s="180"/>
      <c r="J470" s="180"/>
      <c r="K470" s="180"/>
      <c r="L470" s="218"/>
    </row>
    <row r="471" spans="1:12">
      <c r="A471" s="84"/>
      <c r="B471" s="179" t="s">
        <v>259</v>
      </c>
      <c r="C471" s="180" t="s">
        <v>260</v>
      </c>
      <c r="D471" s="180"/>
      <c r="E471" s="180"/>
      <c r="F471" s="180"/>
      <c r="G471" s="181"/>
      <c r="H471" s="190"/>
      <c r="I471" s="180"/>
      <c r="J471" s="180"/>
      <c r="K471" s="180"/>
      <c r="L471" s="218"/>
    </row>
    <row r="472" spans="1:12">
      <c r="A472" s="84">
        <v>10</v>
      </c>
      <c r="B472" s="179" t="s">
        <v>252</v>
      </c>
      <c r="C472" s="180" t="s">
        <v>295</v>
      </c>
      <c r="D472" s="180"/>
      <c r="E472" s="180"/>
      <c r="F472" s="180"/>
      <c r="G472" s="181"/>
      <c r="H472" s="194" t="s">
        <v>249</v>
      </c>
      <c r="I472" s="195"/>
      <c r="J472" s="196"/>
      <c r="K472" s="194" t="s">
        <v>250</v>
      </c>
      <c r="L472" s="219"/>
    </row>
    <row r="473" spans="1:12" ht="15" customHeight="1">
      <c r="A473" s="84"/>
      <c r="B473" s="179" t="s">
        <v>254</v>
      </c>
      <c r="C473" s="180" t="s">
        <v>296</v>
      </c>
      <c r="D473" s="180"/>
      <c r="E473" s="180"/>
      <c r="F473" s="180"/>
      <c r="G473" s="181"/>
      <c r="H473" s="190"/>
      <c r="I473" s="180"/>
      <c r="J473" s="180"/>
      <c r="K473" s="180"/>
      <c r="L473" s="218"/>
    </row>
    <row r="474" spans="1:12">
      <c r="A474" s="84"/>
      <c r="B474" s="179" t="s">
        <v>293</v>
      </c>
      <c r="C474" s="180" t="s">
        <v>261</v>
      </c>
      <c r="D474" s="180"/>
      <c r="E474" s="180"/>
      <c r="F474" s="180"/>
      <c r="G474" s="181"/>
      <c r="H474" s="190"/>
      <c r="I474" s="180"/>
      <c r="J474" s="180"/>
      <c r="K474" s="180"/>
      <c r="L474" s="218"/>
    </row>
    <row r="475" spans="1:12">
      <c r="A475" s="84"/>
      <c r="B475" s="179" t="s">
        <v>257</v>
      </c>
      <c r="C475" s="180" t="s">
        <v>297</v>
      </c>
      <c r="D475" s="180"/>
      <c r="E475" s="180"/>
      <c r="F475" s="180"/>
      <c r="G475" s="181"/>
      <c r="H475" s="190"/>
      <c r="I475" s="180"/>
      <c r="J475" s="180"/>
      <c r="K475" s="180"/>
      <c r="L475" s="218"/>
    </row>
    <row r="476" spans="1:12">
      <c r="A476" s="12"/>
      <c r="B476" s="166"/>
      <c r="C476" s="198"/>
      <c r="D476" s="198"/>
      <c r="E476" s="198" t="s">
        <v>298</v>
      </c>
      <c r="F476" s="198"/>
      <c r="G476" s="198"/>
      <c r="H476" s="198"/>
      <c r="I476" s="198"/>
      <c r="J476" s="198"/>
      <c r="K476" s="198"/>
      <c r="L476" s="220"/>
    </row>
    <row r="477" spans="1:12">
      <c r="A477" s="12">
        <v>11</v>
      </c>
      <c r="B477" s="179" t="s">
        <v>252</v>
      </c>
      <c r="C477" s="180" t="s">
        <v>262</v>
      </c>
      <c r="D477" s="180"/>
      <c r="E477" s="180"/>
      <c r="F477" s="180"/>
      <c r="G477" s="181"/>
      <c r="H477" s="190"/>
      <c r="I477" s="180"/>
      <c r="J477" s="180"/>
      <c r="K477" s="180"/>
      <c r="L477" s="218"/>
    </row>
    <row r="478" spans="1:12">
      <c r="A478" s="12"/>
      <c r="B478" s="179" t="s">
        <v>254</v>
      </c>
      <c r="C478" s="180" t="s">
        <v>263</v>
      </c>
      <c r="D478" s="180"/>
      <c r="E478" s="180"/>
      <c r="F478" s="180"/>
      <c r="G478" s="181"/>
      <c r="H478" s="190"/>
      <c r="I478" s="180"/>
      <c r="J478" s="180"/>
      <c r="K478" s="180"/>
      <c r="L478" s="218"/>
    </row>
    <row r="479" spans="1:12">
      <c r="A479" s="12"/>
      <c r="B479" s="179" t="s">
        <v>256</v>
      </c>
      <c r="C479" s="180" t="s">
        <v>264</v>
      </c>
      <c r="D479" s="180"/>
      <c r="E479" s="180"/>
      <c r="F479" s="180"/>
      <c r="G479" s="181"/>
      <c r="H479" s="190"/>
      <c r="I479" s="180"/>
      <c r="J479" s="180"/>
      <c r="K479" s="180"/>
      <c r="L479" s="218"/>
    </row>
    <row r="480" spans="1:12">
      <c r="A480" s="12"/>
      <c r="B480" s="154"/>
      <c r="C480" s="150"/>
      <c r="D480" s="150"/>
      <c r="E480" s="150"/>
      <c r="F480" s="199" t="s">
        <v>265</v>
      </c>
      <c r="G480" s="150"/>
      <c r="H480" s="139"/>
      <c r="I480" s="139"/>
      <c r="J480" s="139"/>
      <c r="K480" s="139"/>
      <c r="L480" s="157"/>
    </row>
    <row r="481" spans="1:12">
      <c r="A481" s="12"/>
      <c r="B481" s="211" t="s">
        <v>266</v>
      </c>
      <c r="C481" s="210" t="s">
        <v>267</v>
      </c>
      <c r="D481" s="150"/>
      <c r="E481" s="150"/>
      <c r="F481" s="150"/>
      <c r="G481" s="150"/>
      <c r="H481" s="139"/>
      <c r="I481" s="139"/>
      <c r="J481" s="140"/>
      <c r="K481" s="139"/>
      <c r="L481" s="157"/>
    </row>
    <row r="482" spans="1:12">
      <c r="A482" s="12"/>
      <c r="B482" s="211" t="s">
        <v>268</v>
      </c>
      <c r="C482" s="209" t="s">
        <v>269</v>
      </c>
      <c r="D482" s="139"/>
      <c r="E482" s="140"/>
      <c r="G482" s="1264"/>
      <c r="H482" s="1264"/>
      <c r="I482" s="155"/>
      <c r="J482" s="156"/>
      <c r="K482" s="1264"/>
      <c r="L482" s="1265"/>
    </row>
    <row r="483" spans="1:12">
      <c r="A483" s="12"/>
      <c r="B483" s="212" t="s">
        <v>270</v>
      </c>
      <c r="C483" s="1266" t="s">
        <v>299</v>
      </c>
      <c r="D483" s="1266"/>
      <c r="E483" s="1266"/>
      <c r="F483" s="1266"/>
      <c r="G483" s="1266"/>
      <c r="H483" s="1266"/>
      <c r="I483" s="1266"/>
      <c r="J483" s="1266"/>
      <c r="K483" s="1266"/>
      <c r="L483" s="1267"/>
    </row>
    <row r="484" spans="1:12">
      <c r="A484" s="12"/>
      <c r="B484" s="211" t="s">
        <v>271</v>
      </c>
      <c r="C484" s="210" t="s">
        <v>272</v>
      </c>
      <c r="D484" s="202"/>
      <c r="E484" s="202"/>
      <c r="F484" s="202"/>
      <c r="G484" s="202"/>
      <c r="H484" s="202"/>
      <c r="I484" s="202"/>
      <c r="J484" s="202"/>
      <c r="K484" s="202"/>
      <c r="L484" s="221"/>
    </row>
    <row r="485" spans="1:12">
      <c r="A485" s="12"/>
      <c r="B485" s="154"/>
      <c r="C485" t="s">
        <v>300</v>
      </c>
      <c r="D485" s="268" t="e">
        <f>'0422Master'!#REF!</f>
        <v>#REF!</v>
      </c>
      <c r="E485" s="2"/>
      <c r="F485" s="2"/>
      <c r="G485" s="2"/>
      <c r="L485" s="13"/>
    </row>
    <row r="486" spans="1:12">
      <c r="A486" s="12"/>
      <c r="C486" t="s">
        <v>273</v>
      </c>
      <c r="D486" t="s">
        <v>362</v>
      </c>
      <c r="J486" t="s">
        <v>301</v>
      </c>
      <c r="L486" s="13"/>
    </row>
    <row r="487" spans="1:12">
      <c r="A487" s="12"/>
      <c r="F487" s="200" t="s">
        <v>274</v>
      </c>
      <c r="L487" s="13"/>
    </row>
    <row r="488" spans="1:12" ht="27.95" customHeight="1">
      <c r="A488" s="12" t="s">
        <v>302</v>
      </c>
      <c r="B488" t="s">
        <v>275</v>
      </c>
      <c r="E488" s="203" t="e">
        <f>'0422Master'!#REF!</f>
        <v>#REF!</v>
      </c>
      <c r="H488" s="1268" t="s">
        <v>276</v>
      </c>
      <c r="I488" s="1268"/>
      <c r="J488" s="204" t="e">
        <f>'0422Master'!#REF!</f>
        <v>#REF!</v>
      </c>
      <c r="K488" t="s">
        <v>277</v>
      </c>
      <c r="L488" s="13"/>
    </row>
    <row r="489" spans="1:12" ht="15.75" customHeight="1">
      <c r="A489" s="12"/>
      <c r="B489" s="1269" t="e">
        <f>'0422Master'!#REF!</f>
        <v>#REF!</v>
      </c>
      <c r="C489" s="1270"/>
      <c r="D489" s="201"/>
      <c r="E489" s="201"/>
      <c r="F489" s="201"/>
      <c r="G489" s="201"/>
      <c r="H489" s="201"/>
      <c r="I489" s="201"/>
      <c r="J489" s="201"/>
      <c r="K489" s="201"/>
      <c r="L489" s="222"/>
    </row>
    <row r="490" spans="1:12" ht="22.5" customHeight="1">
      <c r="A490" s="12" t="s">
        <v>304</v>
      </c>
      <c r="B490" s="201" t="s">
        <v>278</v>
      </c>
      <c r="C490" s="201"/>
      <c r="D490" s="201"/>
      <c r="E490" s="201"/>
      <c r="F490" s="201"/>
      <c r="G490" s="201"/>
      <c r="H490" s="201"/>
      <c r="I490" s="201"/>
      <c r="J490" s="201"/>
      <c r="K490" s="201"/>
      <c r="L490" s="222"/>
    </row>
    <row r="491" spans="1:12" ht="19.5" customHeight="1">
      <c r="A491" s="12"/>
      <c r="B491" s="201" t="s">
        <v>303</v>
      </c>
      <c r="C491" s="201"/>
      <c r="D491" s="201"/>
      <c r="E491" s="201"/>
      <c r="F491" s="201"/>
      <c r="G491" s="201"/>
      <c r="H491" s="201"/>
      <c r="I491" s="201"/>
      <c r="J491" s="201"/>
      <c r="K491" s="201"/>
      <c r="L491" s="222"/>
    </row>
    <row r="492" spans="1:12" ht="22.5" customHeight="1">
      <c r="A492" s="12"/>
      <c r="B492" t="s">
        <v>279</v>
      </c>
      <c r="L492" s="13"/>
    </row>
    <row r="493" spans="1:12" ht="18" customHeight="1">
      <c r="A493" s="12"/>
      <c r="B493" s="2" t="s">
        <v>280</v>
      </c>
      <c r="F493" s="153"/>
      <c r="L493" s="13"/>
    </row>
    <row r="494" spans="1:12" ht="16.5" customHeight="1">
      <c r="A494" s="12"/>
      <c r="B494" s="2" t="s">
        <v>281</v>
      </c>
      <c r="L494" s="13"/>
    </row>
    <row r="495" spans="1:12" ht="22.5" customHeight="1">
      <c r="A495" s="12"/>
      <c r="B495" t="s">
        <v>282</v>
      </c>
      <c r="L495" s="13"/>
    </row>
    <row r="496" spans="1:12" ht="19.5" customHeight="1">
      <c r="A496" s="12"/>
      <c r="B496" t="s">
        <v>283</v>
      </c>
      <c r="L496" s="13"/>
    </row>
    <row r="497" spans="1:12" ht="20.25" customHeight="1">
      <c r="A497" s="12" t="s">
        <v>293</v>
      </c>
      <c r="B497" t="s">
        <v>284</v>
      </c>
      <c r="L497" s="13"/>
    </row>
    <row r="498" spans="1:12" ht="20.25" customHeight="1">
      <c r="A498" s="12"/>
      <c r="B498" s="213" t="s">
        <v>305</v>
      </c>
      <c r="L498" s="13"/>
    </row>
    <row r="499" spans="1:12" ht="20.25" customHeight="1">
      <c r="A499" s="12"/>
      <c r="B499" t="s">
        <v>279</v>
      </c>
      <c r="L499" s="13"/>
    </row>
    <row r="500" spans="1:12" ht="20.25" customHeight="1">
      <c r="A500" s="12"/>
      <c r="B500" t="s">
        <v>285</v>
      </c>
      <c r="L500" s="13"/>
    </row>
    <row r="501" spans="1:12" ht="20.25" customHeight="1">
      <c r="A501" s="12"/>
      <c r="B501" t="s">
        <v>286</v>
      </c>
      <c r="L501" s="13"/>
    </row>
    <row r="502" spans="1:12" ht="21" customHeight="1">
      <c r="A502" s="12"/>
      <c r="B502" s="1271" t="s">
        <v>287</v>
      </c>
      <c r="C502" s="1271"/>
      <c r="D502" s="1271"/>
      <c r="E502" s="1271"/>
      <c r="F502" s="1271"/>
      <c r="G502" s="1271"/>
      <c r="H502" s="1271"/>
      <c r="I502" s="1271"/>
      <c r="J502" s="1271"/>
      <c r="K502" s="1271"/>
      <c r="L502" s="1272"/>
    </row>
    <row r="503" spans="1:12" ht="27.95" customHeight="1">
      <c r="A503" s="12"/>
      <c r="B503" t="s">
        <v>199</v>
      </c>
      <c r="C503" s="263" t="e">
        <f>'0422Master'!#REF!</f>
        <v>#REF!</v>
      </c>
      <c r="D503" s="183"/>
      <c r="E503" s="183"/>
      <c r="F503" s="183"/>
      <c r="G503" s="183"/>
      <c r="H503" s="183"/>
      <c r="I503" t="s">
        <v>306</v>
      </c>
      <c r="J503" s="183"/>
      <c r="K503" s="183"/>
      <c r="L503" s="214"/>
    </row>
    <row r="504" spans="1:12" ht="27.95" customHeight="1" thickBot="1">
      <c r="A504" s="24"/>
      <c r="B504" s="1088"/>
      <c r="C504" s="1088"/>
      <c r="D504" s="1088"/>
      <c r="E504" s="1088"/>
      <c r="F504" s="1088"/>
      <c r="G504" s="1088"/>
      <c r="H504" s="1088"/>
      <c r="I504" s="1088"/>
      <c r="J504" s="1088"/>
      <c r="K504" s="1088"/>
      <c r="L504" s="1089"/>
    </row>
    <row r="505" spans="1:12" ht="27.95" customHeight="1">
      <c r="A505" s="73"/>
      <c r="B505" s="74"/>
      <c r="C505" s="74"/>
      <c r="D505" s="74"/>
      <c r="E505" s="74"/>
      <c r="F505" s="74"/>
      <c r="G505" s="74"/>
      <c r="H505" s="74"/>
      <c r="I505" s="78" t="s">
        <v>233</v>
      </c>
      <c r="J505" s="74"/>
      <c r="K505" s="74"/>
      <c r="L505" s="75"/>
    </row>
    <row r="506" spans="1:12">
      <c r="A506" s="12"/>
      <c r="B506" s="1273" t="s">
        <v>288</v>
      </c>
      <c r="C506" s="1273"/>
      <c r="D506" s="1273"/>
      <c r="E506" s="1273"/>
      <c r="F506" s="1273"/>
      <c r="G506" s="1273"/>
      <c r="H506" s="1273"/>
      <c r="I506" s="1273"/>
      <c r="J506" s="1273"/>
      <c r="K506" s="1273"/>
      <c r="L506" s="1274"/>
    </row>
    <row r="507" spans="1:12" ht="23.25">
      <c r="A507" s="12"/>
      <c r="B507" s="183"/>
      <c r="C507" s="183"/>
      <c r="D507" s="191" t="s">
        <v>235</v>
      </c>
      <c r="E507" s="183"/>
      <c r="F507" s="183"/>
      <c r="G507" s="183"/>
      <c r="H507" s="183"/>
      <c r="I507" s="185" t="s">
        <v>289</v>
      </c>
      <c r="J507" s="186"/>
      <c r="K507" s="186"/>
      <c r="L507" s="216"/>
    </row>
    <row r="508" spans="1:12" ht="15.75">
      <c r="A508" s="12"/>
      <c r="B508" s="1"/>
      <c r="C508" s="1" t="s">
        <v>236</v>
      </c>
      <c r="E508" s="1"/>
      <c r="F508" s="1"/>
      <c r="G508" s="1"/>
      <c r="H508" s="1"/>
      <c r="I508" s="184" t="s">
        <v>290</v>
      </c>
      <c r="J508" s="205">
        <f>'0422Master'!F413</f>
        <v>0</v>
      </c>
      <c r="K508" s="187"/>
      <c r="L508" s="217"/>
    </row>
    <row r="509" spans="1:12">
      <c r="A509" s="12"/>
      <c r="B509" s="192"/>
      <c r="C509" s="161" t="s">
        <v>237</v>
      </c>
      <c r="E509" s="192"/>
      <c r="F509" s="192"/>
      <c r="H509" s="162"/>
      <c r="I509" s="208">
        <f>'0422Master'!F414</f>
        <v>0</v>
      </c>
      <c r="J509" s="206"/>
      <c r="K509" s="207"/>
      <c r="L509" s="171"/>
    </row>
    <row r="510" spans="1:12">
      <c r="A510" s="12">
        <v>1</v>
      </c>
      <c r="B510" s="188" t="s">
        <v>238</v>
      </c>
      <c r="C510" s="63"/>
      <c r="D510" s="63"/>
      <c r="E510" s="63"/>
      <c r="F510" s="63"/>
      <c r="G510" s="64"/>
      <c r="H510" s="1250"/>
      <c r="I510" s="1251"/>
      <c r="J510" s="1251"/>
      <c r="K510" s="1251"/>
      <c r="L510" s="1252"/>
    </row>
    <row r="511" spans="1:12" ht="15" customHeight="1">
      <c r="A511" s="12">
        <v>2</v>
      </c>
      <c r="B511" s="1275" t="s">
        <v>239</v>
      </c>
      <c r="C511" s="1276"/>
      <c r="D511" s="1276"/>
      <c r="E511" s="1276"/>
      <c r="F511" s="189" t="s">
        <v>240</v>
      </c>
      <c r="G511" s="173"/>
      <c r="H511" s="1277"/>
      <c r="I511" s="1278"/>
      <c r="J511" s="1278"/>
      <c r="K511" s="1278"/>
      <c r="L511" s="1279"/>
    </row>
    <row r="512" spans="1:12">
      <c r="A512" s="12"/>
      <c r="B512" s="174" t="s">
        <v>241</v>
      </c>
      <c r="C512" s="175"/>
      <c r="D512" s="175"/>
      <c r="E512" s="175"/>
      <c r="F512" s="175" t="s">
        <v>234</v>
      </c>
      <c r="G512" s="176"/>
      <c r="H512" s="1280"/>
      <c r="I512" s="1281"/>
      <c r="J512" s="1281"/>
      <c r="K512" s="1281"/>
      <c r="L512" s="1282"/>
    </row>
    <row r="513" spans="1:12">
      <c r="A513" s="12">
        <v>3</v>
      </c>
      <c r="B513" s="190" t="s">
        <v>242</v>
      </c>
      <c r="C513" s="180"/>
      <c r="D513" s="180"/>
      <c r="E513" s="180"/>
      <c r="F513" s="180"/>
      <c r="G513" s="181"/>
      <c r="H513" s="1255">
        <f>'0422Master'!C144</f>
        <v>0</v>
      </c>
      <c r="I513" s="1256"/>
      <c r="J513" s="1256"/>
      <c r="K513" s="1256"/>
      <c r="L513" s="1257"/>
    </row>
    <row r="514" spans="1:12">
      <c r="A514" s="12">
        <v>4</v>
      </c>
      <c r="B514" s="166" t="s">
        <v>243</v>
      </c>
      <c r="C514" s="63"/>
      <c r="D514" s="63"/>
      <c r="E514" s="63"/>
      <c r="F514" s="63"/>
      <c r="G514" s="64"/>
      <c r="H514" s="1221">
        <f>'0422Master'!D144</f>
        <v>0</v>
      </c>
      <c r="I514" s="1243"/>
      <c r="J514" s="1243"/>
      <c r="K514" s="1243"/>
      <c r="L514" s="1237"/>
    </row>
    <row r="515" spans="1:12">
      <c r="A515" s="12">
        <v>5</v>
      </c>
      <c r="B515" s="1258" t="s">
        <v>291</v>
      </c>
      <c r="C515" s="1259"/>
      <c r="D515" s="1259"/>
      <c r="E515" s="1259"/>
      <c r="F515" s="1259"/>
      <c r="G515" s="64"/>
      <c r="H515" s="1250" t="s">
        <v>370</v>
      </c>
      <c r="I515" s="1251"/>
      <c r="J515" s="1251"/>
      <c r="K515" s="1251"/>
      <c r="L515" s="1252"/>
    </row>
    <row r="516" spans="1:12">
      <c r="A516" s="12">
        <v>6</v>
      </c>
      <c r="B516" s="179" t="s">
        <v>244</v>
      </c>
      <c r="C516" s="180" t="s">
        <v>245</v>
      </c>
      <c r="D516" s="180"/>
      <c r="E516" s="180"/>
      <c r="F516" s="180"/>
      <c r="G516" s="181"/>
      <c r="H516" s="190"/>
      <c r="I516" s="180"/>
      <c r="J516" s="180"/>
      <c r="K516" s="180"/>
      <c r="L516" s="218"/>
    </row>
    <row r="517" spans="1:12">
      <c r="A517" s="12"/>
      <c r="B517" s="179" t="s">
        <v>246</v>
      </c>
      <c r="C517" s="180" t="s">
        <v>247</v>
      </c>
      <c r="D517" s="180"/>
      <c r="E517" s="180"/>
      <c r="F517" s="180"/>
      <c r="G517" s="181"/>
      <c r="H517" s="190"/>
      <c r="I517" s="172"/>
      <c r="J517" s="172"/>
      <c r="K517" s="180"/>
      <c r="L517" s="218"/>
    </row>
    <row r="518" spans="1:12">
      <c r="A518" s="12">
        <v>7</v>
      </c>
      <c r="B518" s="1255" t="s">
        <v>248</v>
      </c>
      <c r="C518" s="1256"/>
      <c r="D518" s="1256"/>
      <c r="E518" s="1256"/>
      <c r="F518" s="1256"/>
      <c r="G518" s="1263"/>
      <c r="H518" s="194" t="s">
        <v>249</v>
      </c>
      <c r="I518" s="195"/>
      <c r="J518" s="196"/>
      <c r="K518" s="194" t="s">
        <v>250</v>
      </c>
      <c r="L518" s="219"/>
    </row>
    <row r="519" spans="1:12">
      <c r="A519" s="12">
        <v>8</v>
      </c>
      <c r="B519" s="1255" t="s">
        <v>292</v>
      </c>
      <c r="C519" s="1256"/>
      <c r="D519" s="1256"/>
      <c r="E519" s="1256"/>
      <c r="F519" s="1256"/>
      <c r="G519" s="1263"/>
      <c r="H519" s="194" t="s">
        <v>249</v>
      </c>
      <c r="I519" s="195"/>
      <c r="J519" s="196"/>
      <c r="K519" s="194" t="s">
        <v>250</v>
      </c>
      <c r="L519" s="219"/>
    </row>
    <row r="520" spans="1:12">
      <c r="A520" s="12"/>
      <c r="B520" s="166"/>
      <c r="C520" s="198"/>
      <c r="D520" s="198"/>
      <c r="E520" s="198"/>
      <c r="F520" s="198" t="s">
        <v>251</v>
      </c>
      <c r="G520" s="198"/>
      <c r="H520" s="198"/>
      <c r="I520" s="198"/>
      <c r="J520" s="198"/>
      <c r="K520" s="198"/>
      <c r="L520" s="220"/>
    </row>
    <row r="521" spans="1:12">
      <c r="A521" s="12">
        <v>9</v>
      </c>
      <c r="B521" s="179" t="s">
        <v>252</v>
      </c>
      <c r="C521" s="180" t="s">
        <v>253</v>
      </c>
      <c r="D521" s="180"/>
      <c r="E521" s="180"/>
      <c r="F521" s="180"/>
      <c r="G521" s="181"/>
      <c r="H521" s="190"/>
      <c r="I521" s="180"/>
      <c r="J521" s="180"/>
      <c r="K521" s="180"/>
      <c r="L521" s="218"/>
    </row>
    <row r="522" spans="1:12">
      <c r="A522" s="84"/>
      <c r="B522" s="179" t="s">
        <v>254</v>
      </c>
      <c r="C522" s="180" t="s">
        <v>255</v>
      </c>
      <c r="D522" s="180"/>
      <c r="E522" s="180"/>
      <c r="F522" s="180"/>
      <c r="G522" s="181"/>
      <c r="H522" s="190"/>
      <c r="I522" s="180"/>
      <c r="J522" s="180"/>
      <c r="K522" s="180"/>
      <c r="L522" s="218"/>
    </row>
    <row r="523" spans="1:12">
      <c r="A523" s="84"/>
      <c r="B523" s="179" t="s">
        <v>293</v>
      </c>
      <c r="C523" s="180" t="s">
        <v>294</v>
      </c>
      <c r="D523" s="180"/>
      <c r="E523" s="180"/>
      <c r="F523" s="180"/>
      <c r="G523" s="181"/>
      <c r="H523" s="190"/>
      <c r="I523" s="180"/>
      <c r="J523" s="180"/>
      <c r="K523" s="180"/>
      <c r="L523" s="218"/>
    </row>
    <row r="524" spans="1:12">
      <c r="A524" s="84"/>
      <c r="B524" s="179" t="s">
        <v>257</v>
      </c>
      <c r="C524" s="180" t="s">
        <v>258</v>
      </c>
      <c r="D524" s="180"/>
      <c r="E524" s="180"/>
      <c r="F524" s="180"/>
      <c r="G524" s="181"/>
      <c r="H524" s="190"/>
      <c r="I524" s="180"/>
      <c r="J524" s="180"/>
      <c r="K524" s="180"/>
      <c r="L524" s="218"/>
    </row>
    <row r="525" spans="1:12">
      <c r="A525" s="84"/>
      <c r="B525" s="179" t="s">
        <v>259</v>
      </c>
      <c r="C525" s="180" t="s">
        <v>260</v>
      </c>
      <c r="D525" s="180"/>
      <c r="E525" s="180"/>
      <c r="F525" s="180"/>
      <c r="G525" s="181"/>
      <c r="H525" s="190"/>
      <c r="I525" s="180"/>
      <c r="J525" s="180"/>
      <c r="K525" s="180"/>
      <c r="L525" s="218"/>
    </row>
    <row r="526" spans="1:12" ht="27.95" customHeight="1">
      <c r="A526" s="84">
        <v>10</v>
      </c>
      <c r="B526" s="179" t="s">
        <v>252</v>
      </c>
      <c r="C526" s="180" t="s">
        <v>295</v>
      </c>
      <c r="D526" s="180"/>
      <c r="E526" s="180"/>
      <c r="F526" s="180"/>
      <c r="G526" s="181"/>
      <c r="H526" s="194" t="s">
        <v>249</v>
      </c>
      <c r="I526" s="195"/>
      <c r="J526" s="196"/>
      <c r="K526" s="194" t="s">
        <v>250</v>
      </c>
      <c r="L526" s="219"/>
    </row>
    <row r="527" spans="1:12" ht="27.95" customHeight="1">
      <c r="A527" s="84"/>
      <c r="B527" s="179" t="s">
        <v>254</v>
      </c>
      <c r="C527" s="180" t="s">
        <v>296</v>
      </c>
      <c r="D527" s="180"/>
      <c r="E527" s="180"/>
      <c r="F527" s="180"/>
      <c r="G527" s="181"/>
      <c r="H527" s="190"/>
      <c r="I527" s="180"/>
      <c r="J527" s="180"/>
      <c r="K527" s="180"/>
      <c r="L527" s="218"/>
    </row>
    <row r="528" spans="1:12" ht="27.95" customHeight="1">
      <c r="A528" s="84"/>
      <c r="B528" s="179" t="s">
        <v>293</v>
      </c>
      <c r="C528" s="180" t="s">
        <v>261</v>
      </c>
      <c r="D528" s="180"/>
      <c r="E528" s="180"/>
      <c r="F528" s="180"/>
      <c r="G528" s="181"/>
      <c r="H528" s="190"/>
      <c r="I528" s="180"/>
      <c r="J528" s="180"/>
      <c r="K528" s="180"/>
      <c r="L528" s="218"/>
    </row>
    <row r="529" spans="1:12" ht="27.95" customHeight="1">
      <c r="A529" s="84"/>
      <c r="B529" s="179" t="s">
        <v>257</v>
      </c>
      <c r="C529" s="180" t="s">
        <v>297</v>
      </c>
      <c r="D529" s="180"/>
      <c r="E529" s="180"/>
      <c r="F529" s="180"/>
      <c r="G529" s="181"/>
      <c r="H529" s="190"/>
      <c r="I529" s="180"/>
      <c r="J529" s="180"/>
      <c r="K529" s="180"/>
      <c r="L529" s="218"/>
    </row>
    <row r="530" spans="1:12" ht="27.95" customHeight="1">
      <c r="A530" s="12"/>
      <c r="B530" s="166"/>
      <c r="C530" s="198"/>
      <c r="D530" s="198"/>
      <c r="E530" s="198" t="s">
        <v>298</v>
      </c>
      <c r="F530" s="198"/>
      <c r="G530" s="198"/>
      <c r="H530" s="198"/>
      <c r="I530" s="198"/>
      <c r="J530" s="198"/>
      <c r="K530" s="198"/>
      <c r="L530" s="220"/>
    </row>
    <row r="531" spans="1:12" ht="27.95" customHeight="1">
      <c r="A531" s="12">
        <v>11</v>
      </c>
      <c r="B531" s="179" t="s">
        <v>252</v>
      </c>
      <c r="C531" s="180" t="s">
        <v>262</v>
      </c>
      <c r="D531" s="180"/>
      <c r="E531" s="180"/>
      <c r="F531" s="180"/>
      <c r="G531" s="181"/>
      <c r="H531" s="190"/>
      <c r="I531" s="180"/>
      <c r="J531" s="180"/>
      <c r="K531" s="180"/>
      <c r="L531" s="218"/>
    </row>
    <row r="532" spans="1:12" ht="27.95" customHeight="1">
      <c r="A532" s="12"/>
      <c r="B532" s="179" t="s">
        <v>254</v>
      </c>
      <c r="C532" s="180" t="s">
        <v>263</v>
      </c>
      <c r="D532" s="180"/>
      <c r="E532" s="180"/>
      <c r="F532" s="180"/>
      <c r="G532" s="181"/>
      <c r="H532" s="190"/>
      <c r="I532" s="180"/>
      <c r="J532" s="180"/>
      <c r="K532" s="180"/>
      <c r="L532" s="218"/>
    </row>
    <row r="533" spans="1:12" ht="27.95" customHeight="1">
      <c r="A533" s="12"/>
      <c r="B533" s="179" t="s">
        <v>256</v>
      </c>
      <c r="C533" s="180" t="s">
        <v>264</v>
      </c>
      <c r="D533" s="180"/>
      <c r="E533" s="180"/>
      <c r="F533" s="180"/>
      <c r="G533" s="181"/>
      <c r="H533" s="190"/>
      <c r="I533" s="180"/>
      <c r="J533" s="180"/>
      <c r="K533" s="180"/>
      <c r="L533" s="218"/>
    </row>
    <row r="534" spans="1:12" ht="27.95" customHeight="1">
      <c r="A534" s="12"/>
      <c r="B534" s="154"/>
      <c r="C534" s="150"/>
      <c r="D534" s="150"/>
      <c r="E534" s="150"/>
      <c r="F534" s="199" t="s">
        <v>265</v>
      </c>
      <c r="G534" s="150"/>
      <c r="H534" s="139"/>
      <c r="I534" s="139"/>
      <c r="J534" s="139"/>
      <c r="K534" s="139"/>
      <c r="L534" s="157"/>
    </row>
    <row r="535" spans="1:12" ht="27.95" customHeight="1">
      <c r="A535" s="12"/>
      <c r="B535" s="211" t="s">
        <v>266</v>
      </c>
      <c r="C535" s="210" t="s">
        <v>267</v>
      </c>
      <c r="D535" s="150"/>
      <c r="E535" s="150"/>
      <c r="F535" s="150"/>
      <c r="G535" s="150"/>
      <c r="H535" s="139"/>
      <c r="I535" s="139"/>
      <c r="J535" s="140"/>
      <c r="K535" s="139"/>
      <c r="L535" s="157"/>
    </row>
    <row r="536" spans="1:12" ht="27.95" customHeight="1">
      <c r="A536" s="12"/>
      <c r="B536" s="211" t="s">
        <v>268</v>
      </c>
      <c r="C536" s="209" t="s">
        <v>269</v>
      </c>
      <c r="D536" s="139"/>
      <c r="E536" s="140"/>
      <c r="G536" s="1264"/>
      <c r="H536" s="1264"/>
      <c r="I536" s="155"/>
      <c r="J536" s="156"/>
      <c r="K536" s="1264"/>
      <c r="L536" s="1265"/>
    </row>
    <row r="537" spans="1:12" ht="27.95" customHeight="1">
      <c r="A537" s="12"/>
      <c r="B537" s="212" t="s">
        <v>270</v>
      </c>
      <c r="C537" s="1266" t="s">
        <v>299</v>
      </c>
      <c r="D537" s="1266"/>
      <c r="E537" s="1266"/>
      <c r="F537" s="1266"/>
      <c r="G537" s="1266"/>
      <c r="H537" s="1266"/>
      <c r="I537" s="1266"/>
      <c r="J537" s="1266"/>
      <c r="K537" s="1266"/>
      <c r="L537" s="1267"/>
    </row>
    <row r="538" spans="1:12" ht="27.95" customHeight="1">
      <c r="A538" s="12"/>
      <c r="B538" s="211" t="s">
        <v>271</v>
      </c>
      <c r="C538" s="210" t="s">
        <v>272</v>
      </c>
      <c r="D538" s="202"/>
      <c r="E538" s="202"/>
      <c r="F538" s="202"/>
      <c r="G538" s="202"/>
      <c r="H538" s="202"/>
      <c r="I538" s="202"/>
      <c r="J538" s="202"/>
      <c r="K538" s="202"/>
      <c r="L538" s="221"/>
    </row>
    <row r="539" spans="1:12" ht="27.95" customHeight="1">
      <c r="A539" s="12"/>
      <c r="B539" s="154"/>
      <c r="C539" t="s">
        <v>300</v>
      </c>
      <c r="D539" s="2"/>
      <c r="E539" s="2"/>
      <c r="F539" s="2"/>
      <c r="G539" s="2"/>
      <c r="L539" s="13"/>
    </row>
    <row r="540" spans="1:12" ht="27.95" customHeight="1">
      <c r="A540" s="12"/>
      <c r="C540" t="s">
        <v>273</v>
      </c>
      <c r="J540" t="s">
        <v>301</v>
      </c>
      <c r="L540" s="13"/>
    </row>
    <row r="541" spans="1:12" ht="27.95" customHeight="1">
      <c r="A541" s="12"/>
      <c r="F541" s="200" t="s">
        <v>274</v>
      </c>
      <c r="L541" s="13"/>
    </row>
    <row r="542" spans="1:12" ht="27.95" customHeight="1">
      <c r="A542" s="12" t="s">
        <v>302</v>
      </c>
      <c r="B542" t="s">
        <v>275</v>
      </c>
      <c r="E542" s="203">
        <f>'0422Master'!B423</f>
        <v>0</v>
      </c>
      <c r="H542" s="1268" t="s">
        <v>276</v>
      </c>
      <c r="I542" s="1268"/>
      <c r="J542" s="204">
        <f>'0422Master'!N423</f>
        <v>0</v>
      </c>
      <c r="K542" t="s">
        <v>277</v>
      </c>
      <c r="L542" s="13"/>
    </row>
    <row r="543" spans="1:12" ht="27.95" customHeight="1">
      <c r="A543" s="12"/>
      <c r="B543" s="1269">
        <f>'0422Master'!S423</f>
        <v>0</v>
      </c>
      <c r="C543" s="1270"/>
      <c r="D543" s="201"/>
      <c r="E543" s="201"/>
      <c r="F543" s="201"/>
      <c r="G543" s="201"/>
      <c r="H543" s="201"/>
      <c r="I543" s="201"/>
      <c r="J543" s="201"/>
      <c r="K543" s="201"/>
      <c r="L543" s="222"/>
    </row>
    <row r="544" spans="1:12">
      <c r="A544" s="12" t="s">
        <v>304</v>
      </c>
      <c r="B544" s="201" t="s">
        <v>278</v>
      </c>
      <c r="C544" s="201"/>
      <c r="D544" s="201"/>
      <c r="E544" s="201"/>
      <c r="F544" s="201"/>
      <c r="G544" s="201"/>
      <c r="H544" s="201"/>
      <c r="I544" s="201"/>
      <c r="J544" s="201"/>
      <c r="K544" s="201"/>
      <c r="L544" s="222"/>
    </row>
    <row r="545" spans="1:12">
      <c r="A545" s="12"/>
      <c r="B545" s="201" t="s">
        <v>303</v>
      </c>
      <c r="C545" s="201"/>
      <c r="D545" s="201"/>
      <c r="E545" s="201"/>
      <c r="F545" s="201"/>
      <c r="G545" s="201"/>
      <c r="H545" s="201"/>
      <c r="I545" s="201"/>
      <c r="J545" s="201"/>
      <c r="K545" s="201"/>
      <c r="L545" s="222"/>
    </row>
    <row r="546" spans="1:12">
      <c r="A546" s="12"/>
      <c r="B546" t="s">
        <v>279</v>
      </c>
      <c r="L546" s="13"/>
    </row>
    <row r="547" spans="1:12" ht="18.75">
      <c r="A547" s="12"/>
      <c r="B547" s="2" t="s">
        <v>280</v>
      </c>
      <c r="F547" s="153"/>
      <c r="L547" s="13"/>
    </row>
    <row r="548" spans="1:12">
      <c r="A548" s="12"/>
      <c r="B548" s="2" t="s">
        <v>281</v>
      </c>
      <c r="L548" s="13"/>
    </row>
    <row r="549" spans="1:12" ht="15" customHeight="1">
      <c r="A549" s="12"/>
      <c r="B549" t="s">
        <v>282</v>
      </c>
      <c r="L549" s="13"/>
    </row>
    <row r="550" spans="1:12">
      <c r="A550" s="12"/>
      <c r="B550" t="s">
        <v>283</v>
      </c>
      <c r="L550" s="13"/>
    </row>
    <row r="551" spans="1:12">
      <c r="A551" s="12" t="s">
        <v>293</v>
      </c>
      <c r="B551" t="s">
        <v>284</v>
      </c>
      <c r="L551" s="13"/>
    </row>
    <row r="552" spans="1:12">
      <c r="A552" s="12"/>
      <c r="B552" s="213" t="s">
        <v>305</v>
      </c>
      <c r="L552" s="13"/>
    </row>
    <row r="553" spans="1:12">
      <c r="A553" s="12"/>
      <c r="B553" t="s">
        <v>279</v>
      </c>
      <c r="L553" s="13"/>
    </row>
    <row r="554" spans="1:12">
      <c r="A554" s="12"/>
      <c r="B554" t="s">
        <v>285</v>
      </c>
      <c r="L554" s="13"/>
    </row>
    <row r="555" spans="1:12">
      <c r="A555" s="12"/>
      <c r="B555" t="s">
        <v>286</v>
      </c>
      <c r="L555" s="13"/>
    </row>
    <row r="556" spans="1:12">
      <c r="A556" s="12"/>
      <c r="B556" s="1271" t="s">
        <v>287</v>
      </c>
      <c r="C556" s="1271"/>
      <c r="D556" s="1271"/>
      <c r="E556" s="1271"/>
      <c r="F556" s="1271"/>
      <c r="G556" s="1271"/>
      <c r="H556" s="1271"/>
      <c r="I556" s="1271"/>
      <c r="J556" s="1271"/>
      <c r="K556" s="1271"/>
      <c r="L556" s="1272"/>
    </row>
    <row r="557" spans="1:12" ht="23.25">
      <c r="A557" s="12"/>
      <c r="B557" t="s">
        <v>199</v>
      </c>
      <c r="C557" s="183"/>
      <c r="D557" s="183"/>
      <c r="E557" s="183"/>
      <c r="F557" s="183"/>
      <c r="G557" s="183"/>
      <c r="H557" s="183"/>
      <c r="I557" t="s">
        <v>306</v>
      </c>
      <c r="J557" s="183"/>
      <c r="K557" s="183"/>
      <c r="L557" s="214"/>
    </row>
    <row r="558" spans="1:12" ht="16.5" thickBot="1">
      <c r="A558" s="24"/>
      <c r="B558" s="1088"/>
      <c r="C558" s="1088"/>
      <c r="D558" s="1088"/>
      <c r="E558" s="1088"/>
      <c r="F558" s="1088"/>
      <c r="G558" s="1088"/>
      <c r="H558" s="1088"/>
      <c r="I558" s="1088"/>
      <c r="J558" s="1088"/>
      <c r="K558" s="1088"/>
      <c r="L558" s="1089"/>
    </row>
    <row r="559" spans="1:12">
      <c r="A559" s="73"/>
      <c r="B559" s="74"/>
      <c r="C559" s="74"/>
      <c r="D559" s="74"/>
      <c r="E559" s="74"/>
      <c r="F559" s="74"/>
      <c r="G559" s="74"/>
      <c r="H559" s="74"/>
      <c r="I559" s="78" t="s">
        <v>233</v>
      </c>
      <c r="J559" s="74"/>
      <c r="K559" s="74"/>
      <c r="L559" s="75"/>
    </row>
    <row r="560" spans="1:12">
      <c r="A560" s="12"/>
      <c r="B560" s="1273" t="s">
        <v>288</v>
      </c>
      <c r="C560" s="1273"/>
      <c r="D560" s="1273"/>
      <c r="E560" s="1273"/>
      <c r="F560" s="1273"/>
      <c r="G560" s="1273"/>
      <c r="H560" s="1273"/>
      <c r="I560" s="1273"/>
      <c r="J560" s="1273"/>
      <c r="K560" s="1273"/>
      <c r="L560" s="1274"/>
    </row>
    <row r="561" spans="1:12" ht="23.25">
      <c r="A561" s="12"/>
      <c r="B561" s="183"/>
      <c r="C561" s="183"/>
      <c r="D561" s="191" t="s">
        <v>235</v>
      </c>
      <c r="E561" s="183"/>
      <c r="F561" s="183"/>
      <c r="G561" s="183"/>
      <c r="H561" s="183"/>
      <c r="I561" s="185" t="s">
        <v>289</v>
      </c>
      <c r="J561" s="186"/>
      <c r="K561" s="186"/>
      <c r="L561" s="216"/>
    </row>
    <row r="562" spans="1:12" ht="15.75">
      <c r="A562" s="12"/>
      <c r="B562" s="1"/>
      <c r="C562" s="1" t="s">
        <v>236</v>
      </c>
      <c r="E562" s="1"/>
      <c r="F562" s="1"/>
      <c r="G562" s="1"/>
      <c r="H562" s="1"/>
      <c r="I562" s="184" t="s">
        <v>290</v>
      </c>
      <c r="J562" s="205">
        <f>'0422Master'!F467</f>
        <v>0</v>
      </c>
      <c r="K562" s="187"/>
      <c r="L562" s="217"/>
    </row>
    <row r="563" spans="1:12">
      <c r="A563" s="12"/>
      <c r="B563" s="192"/>
      <c r="C563" s="161" t="s">
        <v>237</v>
      </c>
      <c r="E563" s="192"/>
      <c r="F563" s="192"/>
      <c r="H563" s="162"/>
      <c r="I563" s="208">
        <f>'0422Master'!F468</f>
        <v>0</v>
      </c>
      <c r="J563" s="206"/>
      <c r="K563" s="207"/>
      <c r="L563" s="171"/>
    </row>
    <row r="564" spans="1:12" ht="23.25" customHeight="1">
      <c r="A564" s="12">
        <v>1</v>
      </c>
      <c r="B564" s="188" t="s">
        <v>238</v>
      </c>
      <c r="C564" s="63"/>
      <c r="D564" s="63"/>
      <c r="E564" s="63"/>
      <c r="F564" s="63"/>
      <c r="G564" s="64"/>
      <c r="H564" s="1250"/>
      <c r="I564" s="1251"/>
      <c r="J564" s="1251"/>
      <c r="K564" s="1251"/>
      <c r="L564" s="1252"/>
    </row>
    <row r="565" spans="1:12" ht="22.5" customHeight="1">
      <c r="A565" s="12">
        <v>2</v>
      </c>
      <c r="B565" s="1275" t="s">
        <v>239</v>
      </c>
      <c r="C565" s="1276"/>
      <c r="D565" s="1276"/>
      <c r="E565" s="1276"/>
      <c r="F565" s="189" t="s">
        <v>240</v>
      </c>
      <c r="G565" s="173"/>
      <c r="H565" s="1277"/>
      <c r="I565" s="1278"/>
      <c r="J565" s="1278"/>
      <c r="K565" s="1278"/>
      <c r="L565" s="1279"/>
    </row>
    <row r="566" spans="1:12" ht="10.5" customHeight="1">
      <c r="A566" s="12"/>
      <c r="B566" s="174" t="s">
        <v>241</v>
      </c>
      <c r="C566" s="175"/>
      <c r="D566" s="175"/>
      <c r="E566" s="175"/>
      <c r="F566" s="175" t="s">
        <v>234</v>
      </c>
      <c r="G566" s="176"/>
      <c r="H566" s="1280"/>
      <c r="I566" s="1281"/>
      <c r="J566" s="1281"/>
      <c r="K566" s="1281"/>
      <c r="L566" s="1282"/>
    </row>
    <row r="567" spans="1:12" ht="24" customHeight="1">
      <c r="A567" s="12">
        <v>3</v>
      </c>
      <c r="B567" s="190" t="s">
        <v>242</v>
      </c>
      <c r="C567" s="180"/>
      <c r="D567" s="180"/>
      <c r="E567" s="180"/>
      <c r="F567" s="180"/>
      <c r="G567" s="181"/>
      <c r="H567" s="190"/>
      <c r="I567" s="180"/>
      <c r="J567" s="180"/>
      <c r="K567" s="180"/>
      <c r="L567" s="218"/>
    </row>
    <row r="568" spans="1:12" ht="27.95" customHeight="1">
      <c r="A568" s="12">
        <v>4</v>
      </c>
      <c r="B568" s="166" t="s">
        <v>243</v>
      </c>
      <c r="C568" s="63"/>
      <c r="D568" s="63"/>
      <c r="E568" s="63"/>
      <c r="F568" s="63"/>
      <c r="G568" s="64"/>
      <c r="H568" s="166"/>
      <c r="I568" s="63"/>
      <c r="J568" s="63"/>
      <c r="K568" s="63"/>
      <c r="L568" s="171"/>
    </row>
    <row r="569" spans="1:12" ht="27.95" customHeight="1">
      <c r="A569" s="12">
        <v>5</v>
      </c>
      <c r="B569" s="1258" t="s">
        <v>291</v>
      </c>
      <c r="C569" s="1259"/>
      <c r="D569" s="1259"/>
      <c r="E569" s="1259"/>
      <c r="F569" s="1259"/>
      <c r="G569" s="64"/>
      <c r="H569" s="1260"/>
      <c r="I569" s="1261"/>
      <c r="J569" s="1261"/>
      <c r="K569" s="1261"/>
      <c r="L569" s="1262"/>
    </row>
    <row r="570" spans="1:12" ht="27.95" customHeight="1">
      <c r="A570" s="12">
        <v>6</v>
      </c>
      <c r="B570" s="179" t="s">
        <v>244</v>
      </c>
      <c r="C570" s="180" t="s">
        <v>245</v>
      </c>
      <c r="D570" s="180"/>
      <c r="E570" s="180"/>
      <c r="F570" s="180"/>
      <c r="G570" s="181"/>
      <c r="H570" s="190"/>
      <c r="I570" s="180"/>
      <c r="J570" s="180"/>
      <c r="K570" s="180"/>
      <c r="L570" s="218"/>
    </row>
    <row r="571" spans="1:12" ht="27.95" customHeight="1">
      <c r="A571" s="12"/>
      <c r="B571" s="179" t="s">
        <v>246</v>
      </c>
      <c r="C571" s="180" t="s">
        <v>247</v>
      </c>
      <c r="D571" s="180"/>
      <c r="E571" s="180"/>
      <c r="F571" s="180"/>
      <c r="G571" s="181"/>
      <c r="H571" s="190"/>
      <c r="I571" s="172"/>
      <c r="J571" s="172"/>
      <c r="K571" s="180"/>
      <c r="L571" s="218"/>
    </row>
    <row r="572" spans="1:12" ht="27.95" customHeight="1">
      <c r="A572" s="12">
        <v>7</v>
      </c>
      <c r="B572" s="1255" t="s">
        <v>248</v>
      </c>
      <c r="C572" s="1256"/>
      <c r="D572" s="1256"/>
      <c r="E572" s="1256"/>
      <c r="F572" s="1256"/>
      <c r="G572" s="1263"/>
      <c r="H572" s="194" t="s">
        <v>249</v>
      </c>
      <c r="I572" s="195"/>
      <c r="J572" s="196"/>
      <c r="K572" s="194" t="s">
        <v>250</v>
      </c>
      <c r="L572" s="219"/>
    </row>
    <row r="573" spans="1:12" ht="27.95" customHeight="1">
      <c r="A573" s="12">
        <v>8</v>
      </c>
      <c r="B573" s="1255" t="s">
        <v>292</v>
      </c>
      <c r="C573" s="1256"/>
      <c r="D573" s="1256"/>
      <c r="E573" s="1256"/>
      <c r="F573" s="1256"/>
      <c r="G573" s="1263"/>
      <c r="H573" s="194" t="s">
        <v>249</v>
      </c>
      <c r="I573" s="195"/>
      <c r="J573" s="196"/>
      <c r="K573" s="194" t="s">
        <v>250</v>
      </c>
      <c r="L573" s="219"/>
    </row>
    <row r="574" spans="1:12" ht="27.95" customHeight="1">
      <c r="A574" s="12"/>
      <c r="B574" s="166"/>
      <c r="C574" s="198"/>
      <c r="D574" s="198"/>
      <c r="E574" s="198"/>
      <c r="F574" s="198" t="s">
        <v>251</v>
      </c>
      <c r="G574" s="198"/>
      <c r="H574" s="198"/>
      <c r="I574" s="198"/>
      <c r="J574" s="198"/>
      <c r="K574" s="198"/>
      <c r="L574" s="220"/>
    </row>
    <row r="575" spans="1:12" ht="27.95" customHeight="1">
      <c r="A575" s="12">
        <v>9</v>
      </c>
      <c r="B575" s="179" t="s">
        <v>252</v>
      </c>
      <c r="C575" s="180" t="s">
        <v>253</v>
      </c>
      <c r="D575" s="180"/>
      <c r="E575" s="180"/>
      <c r="F575" s="180"/>
      <c r="G575" s="181"/>
      <c r="H575" s="190"/>
      <c r="I575" s="180"/>
      <c r="J575" s="180"/>
      <c r="K575" s="180"/>
      <c r="L575" s="218"/>
    </row>
    <row r="576" spans="1:12" ht="24" customHeight="1">
      <c r="A576" s="84"/>
      <c r="B576" s="179" t="s">
        <v>254</v>
      </c>
      <c r="C576" s="180" t="s">
        <v>255</v>
      </c>
      <c r="D576" s="180"/>
      <c r="E576" s="180"/>
      <c r="F576" s="180"/>
      <c r="G576" s="181"/>
      <c r="H576" s="190"/>
      <c r="I576" s="180"/>
      <c r="J576" s="180"/>
      <c r="K576" s="180"/>
      <c r="L576" s="218"/>
    </row>
    <row r="577" spans="1:12" ht="24" customHeight="1">
      <c r="A577" s="84"/>
      <c r="B577" s="179" t="s">
        <v>293</v>
      </c>
      <c r="C577" s="180" t="s">
        <v>294</v>
      </c>
      <c r="D577" s="180"/>
      <c r="E577" s="180"/>
      <c r="F577" s="180"/>
      <c r="G577" s="181"/>
      <c r="H577" s="190"/>
      <c r="I577" s="180"/>
      <c r="J577" s="180"/>
      <c r="K577" s="180"/>
      <c r="L577" s="218"/>
    </row>
    <row r="578" spans="1:12" ht="22.5" customHeight="1">
      <c r="A578" s="84"/>
      <c r="B578" s="179" t="s">
        <v>257</v>
      </c>
      <c r="C578" s="180" t="s">
        <v>258</v>
      </c>
      <c r="D578" s="180"/>
      <c r="E578" s="180"/>
      <c r="F578" s="180"/>
      <c r="G578" s="181"/>
      <c r="H578" s="190"/>
      <c r="I578" s="180"/>
      <c r="J578" s="180"/>
      <c r="K578" s="180"/>
      <c r="L578" s="218"/>
    </row>
    <row r="579" spans="1:12" ht="27.95" customHeight="1">
      <c r="A579" s="84"/>
      <c r="B579" s="179" t="s">
        <v>259</v>
      </c>
      <c r="C579" s="180" t="s">
        <v>260</v>
      </c>
      <c r="D579" s="180"/>
      <c r="E579" s="180"/>
      <c r="F579" s="180"/>
      <c r="G579" s="181"/>
      <c r="H579" s="190"/>
      <c r="I579" s="180"/>
      <c r="J579" s="180"/>
      <c r="K579" s="180"/>
      <c r="L579" s="218"/>
    </row>
    <row r="580" spans="1:12" ht="27.95" customHeight="1">
      <c r="A580" s="84">
        <v>10</v>
      </c>
      <c r="B580" s="179" t="s">
        <v>252</v>
      </c>
      <c r="C580" s="180" t="s">
        <v>295</v>
      </c>
      <c r="D580" s="180"/>
      <c r="E580" s="180"/>
      <c r="F580" s="180"/>
      <c r="G580" s="181"/>
      <c r="H580" s="194" t="s">
        <v>249</v>
      </c>
      <c r="I580" s="195"/>
      <c r="J580" s="196"/>
      <c r="K580" s="194" t="s">
        <v>250</v>
      </c>
      <c r="L580" s="219"/>
    </row>
    <row r="581" spans="1:12" ht="27.95" customHeight="1">
      <c r="A581" s="84"/>
      <c r="B581" s="179" t="s">
        <v>254</v>
      </c>
      <c r="C581" s="180" t="s">
        <v>296</v>
      </c>
      <c r="D581" s="180"/>
      <c r="E581" s="180"/>
      <c r="F581" s="180"/>
      <c r="G581" s="181"/>
      <c r="H581" s="190"/>
      <c r="I581" s="180"/>
      <c r="J581" s="180"/>
      <c r="K581" s="180"/>
      <c r="L581" s="218"/>
    </row>
    <row r="582" spans="1:12">
      <c r="A582" s="84"/>
      <c r="B582" s="179" t="s">
        <v>293</v>
      </c>
      <c r="C582" s="180" t="s">
        <v>261</v>
      </c>
      <c r="D582" s="180"/>
      <c r="E582" s="180"/>
      <c r="F582" s="180"/>
      <c r="G582" s="181"/>
      <c r="H582" s="190"/>
      <c r="I582" s="180"/>
      <c r="J582" s="180"/>
      <c r="K582" s="180"/>
      <c r="L582" s="218"/>
    </row>
    <row r="583" spans="1:12">
      <c r="A583" s="84"/>
      <c r="B583" s="179" t="s">
        <v>257</v>
      </c>
      <c r="C583" s="180" t="s">
        <v>297</v>
      </c>
      <c r="D583" s="180"/>
      <c r="E583" s="180"/>
      <c r="F583" s="180"/>
      <c r="G583" s="181"/>
      <c r="H583" s="190"/>
      <c r="I583" s="180"/>
      <c r="J583" s="180"/>
      <c r="K583" s="180"/>
      <c r="L583" s="218"/>
    </row>
    <row r="584" spans="1:12">
      <c r="A584" s="12"/>
      <c r="B584" s="166"/>
      <c r="C584" s="198"/>
      <c r="D584" s="198"/>
      <c r="E584" s="198" t="s">
        <v>298</v>
      </c>
      <c r="F584" s="198"/>
      <c r="G584" s="198"/>
      <c r="H584" s="198"/>
      <c r="I584" s="198"/>
      <c r="J584" s="198"/>
      <c r="K584" s="198"/>
      <c r="L584" s="220"/>
    </row>
    <row r="585" spans="1:12">
      <c r="A585" s="12">
        <v>11</v>
      </c>
      <c r="B585" s="179" t="s">
        <v>252</v>
      </c>
      <c r="C585" s="180" t="s">
        <v>262</v>
      </c>
      <c r="D585" s="180"/>
      <c r="E585" s="180"/>
      <c r="F585" s="180"/>
      <c r="G585" s="181"/>
      <c r="H585" s="190"/>
      <c r="I585" s="180"/>
      <c r="J585" s="180"/>
      <c r="K585" s="180"/>
      <c r="L585" s="218"/>
    </row>
    <row r="586" spans="1:12">
      <c r="A586" s="12"/>
      <c r="B586" s="179" t="s">
        <v>254</v>
      </c>
      <c r="C586" s="180" t="s">
        <v>263</v>
      </c>
      <c r="D586" s="180"/>
      <c r="E586" s="180"/>
      <c r="F586" s="180"/>
      <c r="G586" s="181"/>
      <c r="H586" s="190"/>
      <c r="I586" s="180"/>
      <c r="J586" s="180"/>
      <c r="K586" s="180"/>
      <c r="L586" s="218"/>
    </row>
    <row r="587" spans="1:12">
      <c r="A587" s="12"/>
      <c r="B587" s="179" t="s">
        <v>256</v>
      </c>
      <c r="C587" s="180" t="s">
        <v>264</v>
      </c>
      <c r="D587" s="180"/>
      <c r="E587" s="180"/>
      <c r="F587" s="180"/>
      <c r="G587" s="181"/>
      <c r="H587" s="190"/>
      <c r="I587" s="180"/>
      <c r="J587" s="180"/>
      <c r="K587" s="180"/>
      <c r="L587" s="218"/>
    </row>
    <row r="588" spans="1:12" ht="15" customHeight="1">
      <c r="A588" s="12"/>
      <c r="B588" s="154"/>
      <c r="C588" s="150"/>
      <c r="D588" s="150"/>
      <c r="E588" s="150"/>
      <c r="F588" s="199" t="s">
        <v>265</v>
      </c>
      <c r="G588" s="150"/>
      <c r="H588" s="139"/>
      <c r="I588" s="139"/>
      <c r="J588" s="139"/>
      <c r="K588" s="139"/>
      <c r="L588" s="157"/>
    </row>
    <row r="589" spans="1:12">
      <c r="A589" s="12"/>
      <c r="B589" s="211" t="s">
        <v>266</v>
      </c>
      <c r="C589" s="210" t="s">
        <v>267</v>
      </c>
      <c r="D589" s="150"/>
      <c r="E589" s="150"/>
      <c r="F589" s="150"/>
      <c r="G589" s="150"/>
      <c r="H589" s="139"/>
      <c r="I589" s="139"/>
      <c r="J589" s="140"/>
      <c r="K589" s="139"/>
      <c r="L589" s="157"/>
    </row>
    <row r="590" spans="1:12">
      <c r="A590" s="12"/>
      <c r="B590" s="211" t="s">
        <v>268</v>
      </c>
      <c r="C590" s="209" t="s">
        <v>269</v>
      </c>
      <c r="D590" s="139"/>
      <c r="E590" s="140"/>
      <c r="G590" s="1264"/>
      <c r="H590" s="1264"/>
      <c r="I590" s="155"/>
      <c r="J590" s="156"/>
      <c r="K590" s="1264"/>
      <c r="L590" s="1265"/>
    </row>
    <row r="591" spans="1:12">
      <c r="A591" s="12"/>
      <c r="B591" s="212" t="s">
        <v>270</v>
      </c>
      <c r="C591" s="1266" t="s">
        <v>299</v>
      </c>
      <c r="D591" s="1266"/>
      <c r="E591" s="1266"/>
      <c r="F591" s="1266"/>
      <c r="G591" s="1266"/>
      <c r="H591" s="1266"/>
      <c r="I591" s="1266"/>
      <c r="J591" s="1266"/>
      <c r="K591" s="1266"/>
      <c r="L591" s="1267"/>
    </row>
    <row r="592" spans="1:12">
      <c r="A592" s="12"/>
      <c r="B592" s="211" t="s">
        <v>271</v>
      </c>
      <c r="C592" s="210" t="s">
        <v>272</v>
      </c>
      <c r="D592" s="202"/>
      <c r="E592" s="202"/>
      <c r="F592" s="202"/>
      <c r="G592" s="202"/>
      <c r="H592" s="202"/>
      <c r="I592" s="202"/>
      <c r="J592" s="202"/>
      <c r="K592" s="202"/>
      <c r="L592" s="221"/>
    </row>
    <row r="593" spans="1:12">
      <c r="A593" s="12"/>
      <c r="B593" s="154"/>
      <c r="C593" t="s">
        <v>300</v>
      </c>
      <c r="D593" s="2"/>
      <c r="E593" s="2"/>
      <c r="F593" s="2"/>
      <c r="G593" s="2"/>
      <c r="L593" s="13"/>
    </row>
    <row r="594" spans="1:12">
      <c r="A594" s="12"/>
      <c r="C594" t="s">
        <v>273</v>
      </c>
      <c r="J594" t="s">
        <v>301</v>
      </c>
      <c r="L594" s="13"/>
    </row>
    <row r="595" spans="1:12">
      <c r="A595" s="12"/>
      <c r="F595" s="200" t="s">
        <v>274</v>
      </c>
      <c r="L595" s="13"/>
    </row>
    <row r="596" spans="1:12">
      <c r="A596" s="12" t="s">
        <v>302</v>
      </c>
      <c r="B596" t="s">
        <v>275</v>
      </c>
      <c r="E596" s="203">
        <f>'0422Master'!B477</f>
        <v>0</v>
      </c>
      <c r="H596" s="1268" t="s">
        <v>276</v>
      </c>
      <c r="I596" s="1268"/>
      <c r="J596" s="204">
        <f>'0422Master'!N477</f>
        <v>0</v>
      </c>
      <c r="K596" t="s">
        <v>277</v>
      </c>
      <c r="L596" s="13"/>
    </row>
    <row r="597" spans="1:12">
      <c r="A597" s="12"/>
      <c r="B597" s="1269">
        <f>'0422Master'!S477</f>
        <v>0</v>
      </c>
      <c r="C597" s="1270"/>
      <c r="D597" s="201"/>
      <c r="E597" s="201"/>
      <c r="F597" s="201"/>
      <c r="G597" s="201"/>
      <c r="H597" s="201"/>
      <c r="I597" s="201"/>
      <c r="J597" s="201"/>
      <c r="K597" s="201"/>
      <c r="L597" s="222"/>
    </row>
    <row r="598" spans="1:12">
      <c r="A598" s="12" t="s">
        <v>304</v>
      </c>
      <c r="B598" s="201" t="s">
        <v>278</v>
      </c>
      <c r="C598" s="201"/>
      <c r="D598" s="201"/>
      <c r="E598" s="201"/>
      <c r="F598" s="201"/>
      <c r="G598" s="201"/>
      <c r="H598" s="201"/>
      <c r="I598" s="201"/>
      <c r="J598" s="201"/>
      <c r="K598" s="201"/>
      <c r="L598" s="222"/>
    </row>
    <row r="599" spans="1:12">
      <c r="A599" s="12"/>
      <c r="B599" s="201" t="s">
        <v>303</v>
      </c>
      <c r="C599" s="201"/>
      <c r="D599" s="201"/>
      <c r="E599" s="201"/>
      <c r="F599" s="201"/>
      <c r="G599" s="201"/>
      <c r="H599" s="201"/>
      <c r="I599" s="201"/>
      <c r="J599" s="201"/>
      <c r="K599" s="201"/>
      <c r="L599" s="222"/>
    </row>
    <row r="600" spans="1:12">
      <c r="A600" s="12"/>
      <c r="B600" t="s">
        <v>279</v>
      </c>
      <c r="L600" s="13"/>
    </row>
    <row r="601" spans="1:12" ht="18.75">
      <c r="A601" s="12"/>
      <c r="B601" s="2" t="s">
        <v>280</v>
      </c>
      <c r="F601" s="153"/>
      <c r="L601" s="13"/>
    </row>
    <row r="602" spans="1:12">
      <c r="A602" s="12"/>
      <c r="B602" s="2" t="s">
        <v>281</v>
      </c>
      <c r="L602" s="13"/>
    </row>
    <row r="603" spans="1:12" ht="21.75" customHeight="1">
      <c r="A603" s="12"/>
      <c r="B603" t="s">
        <v>282</v>
      </c>
      <c r="L603" s="13"/>
    </row>
    <row r="604" spans="1:12" ht="18" customHeight="1">
      <c r="A604" s="12"/>
      <c r="B604" t="s">
        <v>283</v>
      </c>
      <c r="L604" s="13"/>
    </row>
    <row r="605" spans="1:12" ht="17.25" customHeight="1">
      <c r="A605" s="12" t="s">
        <v>293</v>
      </c>
      <c r="B605" t="s">
        <v>284</v>
      </c>
      <c r="L605" s="13"/>
    </row>
    <row r="606" spans="1:12" ht="19.5" customHeight="1">
      <c r="A606" s="12"/>
      <c r="B606" s="213" t="s">
        <v>305</v>
      </c>
      <c r="L606" s="13"/>
    </row>
    <row r="607" spans="1:12" ht="18.75" customHeight="1">
      <c r="A607" s="12"/>
      <c r="B607" t="s">
        <v>279</v>
      </c>
      <c r="L607" s="13"/>
    </row>
    <row r="608" spans="1:12" ht="15" customHeight="1">
      <c r="A608" s="12"/>
      <c r="B608" t="s">
        <v>285</v>
      </c>
      <c r="L608" s="13"/>
    </row>
    <row r="609" spans="1:12" ht="20.25" customHeight="1">
      <c r="A609" s="12"/>
      <c r="B609" t="s">
        <v>286</v>
      </c>
      <c r="L609" s="13"/>
    </row>
    <row r="610" spans="1:12" ht="21" customHeight="1">
      <c r="A610" s="12"/>
      <c r="B610" s="1271" t="s">
        <v>287</v>
      </c>
      <c r="C610" s="1271"/>
      <c r="D610" s="1271"/>
      <c r="E610" s="1271"/>
      <c r="F610" s="1271"/>
      <c r="G610" s="1271"/>
      <c r="H610" s="1271"/>
      <c r="I610" s="1271"/>
      <c r="J610" s="1271"/>
      <c r="K610" s="1271"/>
      <c r="L610" s="1272"/>
    </row>
    <row r="611" spans="1:12" ht="27.95" customHeight="1">
      <c r="A611" s="12"/>
      <c r="B611" t="s">
        <v>199</v>
      </c>
      <c r="C611" s="183"/>
      <c r="D611" s="183"/>
      <c r="E611" s="183"/>
      <c r="F611" s="183"/>
      <c r="G611" s="183"/>
      <c r="H611" s="183"/>
      <c r="I611" t="s">
        <v>306</v>
      </c>
      <c r="J611" s="183"/>
      <c r="K611" s="183"/>
      <c r="L611" s="214"/>
    </row>
    <row r="612" spans="1:12" ht="27.95" customHeight="1" thickBot="1">
      <c r="A612" s="24"/>
      <c r="B612" s="1088"/>
      <c r="C612" s="1088"/>
      <c r="D612" s="1088"/>
      <c r="E612" s="1088"/>
      <c r="F612" s="1088"/>
      <c r="G612" s="1088"/>
      <c r="H612" s="1088"/>
      <c r="I612" s="1088"/>
      <c r="J612" s="1088"/>
      <c r="K612" s="1088"/>
      <c r="L612" s="1089"/>
    </row>
    <row r="613" spans="1:12" ht="27.95" customHeight="1">
      <c r="B613" s="154"/>
      <c r="C613" s="150"/>
      <c r="D613" s="150"/>
      <c r="E613" s="150"/>
      <c r="F613" s="150"/>
      <c r="G613" s="150"/>
      <c r="H613" s="139"/>
      <c r="I613" s="139"/>
      <c r="J613" s="139"/>
      <c r="K613" s="139"/>
      <c r="L613" s="139"/>
    </row>
    <row r="614" spans="1:12" ht="27.95" customHeight="1">
      <c r="B614" s="154"/>
      <c r="C614" s="150"/>
      <c r="D614" s="150"/>
      <c r="E614" s="150"/>
      <c r="F614" s="150"/>
      <c r="G614" s="150"/>
      <c r="H614" s="139"/>
      <c r="I614" s="139"/>
      <c r="J614" s="140"/>
      <c r="K614" s="139"/>
      <c r="L614" s="139"/>
    </row>
    <row r="615" spans="1:12" ht="27.95" customHeight="1">
      <c r="B615" s="154"/>
      <c r="C615" s="150"/>
      <c r="D615" s="150"/>
      <c r="E615" s="150"/>
      <c r="F615" s="150"/>
      <c r="G615" s="150"/>
      <c r="H615" s="139"/>
      <c r="I615" s="139"/>
      <c r="J615" s="139"/>
      <c r="K615" s="139"/>
      <c r="L615" s="139"/>
    </row>
    <row r="616" spans="1:12" ht="27.95" customHeight="1">
      <c r="B616" s="154"/>
      <c r="C616" s="150"/>
      <c r="D616" s="150"/>
      <c r="E616" s="150"/>
      <c r="F616" s="150"/>
      <c r="G616" s="150"/>
      <c r="H616" s="139"/>
      <c r="I616" s="139"/>
      <c r="J616" s="140"/>
      <c r="K616" s="139"/>
      <c r="L616" s="139"/>
    </row>
    <row r="617" spans="1:12" ht="27.95" customHeight="1">
      <c r="B617" s="154"/>
      <c r="C617" s="150"/>
      <c r="D617" s="139"/>
      <c r="E617" s="140"/>
      <c r="F617" s="139"/>
      <c r="G617" s="140"/>
      <c r="H617" s="139"/>
      <c r="I617" s="140"/>
      <c r="J617" s="139"/>
      <c r="K617" s="140"/>
      <c r="L617" s="140"/>
    </row>
    <row r="618" spans="1:12" ht="27.95" customHeight="1">
      <c r="B618" s="154"/>
      <c r="C618" s="150"/>
      <c r="D618" s="150"/>
      <c r="E618" s="150"/>
      <c r="F618" s="150"/>
      <c r="G618" s="150"/>
      <c r="H618" s="139"/>
      <c r="I618" s="139"/>
      <c r="J618" s="224"/>
      <c r="K618" s="139"/>
      <c r="L618" s="139"/>
    </row>
    <row r="619" spans="1:12" ht="27.95" customHeight="1">
      <c r="B619" s="154"/>
      <c r="C619" s="2"/>
      <c r="D619" s="2"/>
      <c r="E619" s="2"/>
      <c r="F619" s="2"/>
      <c r="G619" s="2"/>
    </row>
    <row r="620" spans="1:12" ht="27.95" customHeight="1">
      <c r="B620" s="154"/>
      <c r="C620" s="2"/>
      <c r="D620" s="2"/>
      <c r="E620" s="2"/>
      <c r="F620" s="2"/>
      <c r="G620" s="2"/>
    </row>
    <row r="623" spans="1:12" ht="32.25">
      <c r="B623" s="1242"/>
      <c r="C623" s="1152"/>
      <c r="D623" s="1152"/>
      <c r="E623" s="1152"/>
      <c r="F623" s="1152"/>
      <c r="G623" s="1152"/>
      <c r="H623" s="1152"/>
      <c r="I623" s="1152"/>
      <c r="J623" s="1152"/>
      <c r="K623" s="1152"/>
      <c r="L623" s="1152"/>
    </row>
    <row r="624" spans="1:12" ht="23.25">
      <c r="B624" s="1223"/>
      <c r="C624" s="1223"/>
      <c r="D624" s="1223"/>
      <c r="E624" s="1223"/>
      <c r="F624" s="1223"/>
      <c r="G624" s="1223"/>
      <c r="H624" s="1223"/>
      <c r="I624" s="1223"/>
      <c r="J624" s="1223"/>
      <c r="K624" s="1223"/>
      <c r="L624" s="1223"/>
    </row>
    <row r="625" spans="2:12" ht="15.75">
      <c r="B625" s="1240"/>
      <c r="C625" s="1240"/>
      <c r="D625" s="1240"/>
      <c r="E625" s="1240"/>
      <c r="F625" s="1240"/>
      <c r="G625" s="1240"/>
      <c r="H625" s="1240"/>
      <c r="I625" s="1240"/>
      <c r="J625" s="1240"/>
      <c r="K625" s="1240"/>
      <c r="L625" s="1240"/>
    </row>
    <row r="626" spans="2:12" ht="15" customHeight="1">
      <c r="B626" s="1224"/>
      <c r="C626" s="1224"/>
      <c r="D626" s="1224"/>
      <c r="E626" s="1224"/>
      <c r="F626" s="1224"/>
      <c r="H626" s="1225"/>
      <c r="I626" s="1225"/>
      <c r="J626" s="1225"/>
      <c r="K626" s="1225"/>
      <c r="L626" s="1225"/>
    </row>
    <row r="627" spans="2:12">
      <c r="B627" s="1224"/>
      <c r="C627" s="1224"/>
      <c r="D627" s="1224"/>
      <c r="E627" s="1224"/>
      <c r="F627" s="1224"/>
      <c r="H627" s="1225"/>
      <c r="I627" s="1225"/>
      <c r="J627" s="1225"/>
      <c r="K627" s="1225"/>
      <c r="L627" s="1225"/>
    </row>
    <row r="629" spans="2:12">
      <c r="B629" s="2"/>
      <c r="H629" s="2"/>
    </row>
    <row r="631" spans="2:12">
      <c r="B631" s="2"/>
      <c r="H631" s="2"/>
    </row>
    <row r="634" spans="2:12">
      <c r="B634" s="1226"/>
      <c r="C634" s="1226"/>
      <c r="D634" s="1226"/>
      <c r="E634" s="1226"/>
      <c r="F634" s="1226"/>
      <c r="H634" s="1226"/>
      <c r="I634" s="1226"/>
      <c r="J634" s="1226"/>
      <c r="K634" s="1226"/>
      <c r="L634" s="1226"/>
    </row>
    <row r="636" spans="2:12">
      <c r="H636" s="2"/>
      <c r="I636" s="2"/>
      <c r="J636" s="2"/>
      <c r="K636" s="2"/>
      <c r="L636" s="2"/>
    </row>
    <row r="637" spans="2:12">
      <c r="H637" s="2"/>
      <c r="I637" s="2"/>
      <c r="J637" s="2"/>
      <c r="K637" s="2"/>
      <c r="L637" s="2"/>
    </row>
    <row r="638" spans="2:12">
      <c r="B638" s="2"/>
      <c r="H638" s="2"/>
      <c r="I638" s="2"/>
      <c r="J638" s="2"/>
      <c r="K638" s="2"/>
      <c r="L638" s="2"/>
    </row>
    <row r="639" spans="2:12">
      <c r="H639" s="2"/>
      <c r="I639" s="2"/>
      <c r="J639" s="2"/>
      <c r="K639" s="2"/>
      <c r="L639" s="2"/>
    </row>
    <row r="640" spans="2:12">
      <c r="H640" s="2"/>
      <c r="I640" s="2"/>
      <c r="J640" s="2"/>
      <c r="K640" s="2"/>
      <c r="L640" s="2"/>
    </row>
    <row r="641" spans="1:12" ht="27.95" customHeight="1">
      <c r="A641" s="9"/>
      <c r="B641" s="1238"/>
      <c r="C641" s="1238"/>
      <c r="D641" s="1238"/>
      <c r="E641" s="1238"/>
      <c r="F641" s="1238"/>
      <c r="G641" s="1238"/>
      <c r="H641" s="1235"/>
      <c r="I641" s="1236"/>
      <c r="J641" s="1236"/>
      <c r="K641" s="1236"/>
      <c r="L641" s="1236"/>
    </row>
    <row r="642" spans="1:12" ht="27.95" customHeight="1">
      <c r="A642" s="9"/>
      <c r="B642" s="1225"/>
      <c r="C642" s="1225"/>
      <c r="D642" s="1225"/>
      <c r="E642" s="1225"/>
      <c r="F642" s="1225"/>
      <c r="G642" s="1225"/>
      <c r="H642" s="1235"/>
      <c r="I642" s="1236"/>
      <c r="J642" s="1236"/>
      <c r="K642" s="1236"/>
      <c r="L642" s="1236"/>
    </row>
    <row r="643" spans="1:12" ht="27.95" customHeight="1">
      <c r="A643" s="9"/>
      <c r="B643" s="1238"/>
      <c r="C643" s="1238"/>
      <c r="D643" s="1238"/>
      <c r="E643" s="1238"/>
      <c r="F643" s="1238"/>
      <c r="G643" s="1238"/>
      <c r="H643" s="1235"/>
      <c r="I643" s="1236"/>
      <c r="J643" s="1236"/>
      <c r="K643" s="1236"/>
      <c r="L643" s="1236"/>
    </row>
    <row r="644" spans="1:12" ht="27.95" customHeight="1">
      <c r="A644" s="9"/>
      <c r="B644" s="1238"/>
      <c r="C644" s="1238"/>
      <c r="D644" s="1238"/>
      <c r="E644" s="1238"/>
      <c r="F644" s="1238"/>
      <c r="G644" s="1238"/>
      <c r="H644" s="1239"/>
      <c r="I644" s="1236"/>
      <c r="J644" s="1236"/>
      <c r="K644" s="1236"/>
      <c r="L644" s="1236"/>
    </row>
    <row r="645" spans="1:12" ht="27.95" customHeight="1">
      <c r="A645" s="9"/>
      <c r="B645" s="154"/>
      <c r="C645" s="150"/>
      <c r="D645" s="150"/>
      <c r="E645" s="150"/>
      <c r="F645" s="150"/>
      <c r="G645" s="150"/>
      <c r="H645" s="139"/>
      <c r="I645" s="9"/>
      <c r="J645" s="223"/>
      <c r="K645" s="139"/>
      <c r="L645" s="139"/>
    </row>
    <row r="646" spans="1:12" ht="27.95" customHeight="1">
      <c r="A646" s="9"/>
      <c r="B646" s="154"/>
      <c r="C646" s="150"/>
      <c r="D646" s="150"/>
      <c r="E646" s="150"/>
      <c r="F646" s="150"/>
      <c r="G646" s="150"/>
      <c r="H646" s="139"/>
      <c r="I646" s="139"/>
      <c r="J646" s="223"/>
      <c r="K646" s="139"/>
      <c r="L646" s="139"/>
    </row>
    <row r="647" spans="1:12" ht="27.95" customHeight="1">
      <c r="A647" s="9"/>
      <c r="B647" s="1225"/>
      <c r="C647" s="1225"/>
      <c r="D647" s="1225"/>
      <c r="E647" s="1225"/>
      <c r="F647" s="1225"/>
      <c r="G647" s="1225"/>
      <c r="H647" s="1235"/>
      <c r="I647" s="1236"/>
      <c r="J647" s="1236"/>
      <c r="K647" s="1236"/>
      <c r="L647" s="1236"/>
    </row>
    <row r="648" spans="1:12" ht="27.95" customHeight="1">
      <c r="A648" s="9"/>
      <c r="B648" s="1238"/>
      <c r="C648" s="1238"/>
      <c r="D648" s="1238"/>
      <c r="E648" s="1238"/>
      <c r="F648" s="1238"/>
      <c r="G648" s="1238"/>
      <c r="H648" s="1241"/>
      <c r="I648" s="1236"/>
      <c r="J648" s="1236"/>
      <c r="K648" s="1236"/>
      <c r="L648" s="1236"/>
    </row>
    <row r="649" spans="1:12" ht="27.95" customHeight="1">
      <c r="B649" s="1238"/>
      <c r="C649" s="1238"/>
      <c r="D649" s="1238"/>
      <c r="E649" s="1238"/>
      <c r="F649" s="1238"/>
      <c r="G649" s="1238"/>
      <c r="H649" s="1236"/>
      <c r="I649" s="1236"/>
      <c r="J649" s="1236"/>
      <c r="K649" s="1236"/>
      <c r="L649" s="1236"/>
    </row>
    <row r="650" spans="1:12" ht="27.95" customHeight="1">
      <c r="B650" s="154"/>
      <c r="C650" s="150"/>
      <c r="D650" s="150"/>
      <c r="E650" s="150"/>
      <c r="F650" s="150"/>
      <c r="G650" s="150"/>
      <c r="H650" s="139"/>
      <c r="I650" s="139"/>
      <c r="J650" s="139"/>
      <c r="K650" s="139"/>
      <c r="L650" s="139"/>
    </row>
    <row r="651" spans="1:12" ht="27.95" customHeight="1">
      <c r="B651" s="154"/>
      <c r="C651" s="150"/>
      <c r="D651" s="150"/>
      <c r="E651" s="150"/>
      <c r="F651" s="150"/>
      <c r="G651" s="150"/>
      <c r="H651" s="139"/>
      <c r="I651" s="139"/>
      <c r="J651" s="139"/>
      <c r="K651" s="139"/>
      <c r="L651" s="139"/>
    </row>
    <row r="652" spans="1:12" ht="27.95" customHeight="1">
      <c r="B652" s="154"/>
      <c r="C652" s="150"/>
      <c r="D652" s="150"/>
      <c r="E652" s="150"/>
      <c r="F652" s="150"/>
      <c r="G652" s="150"/>
      <c r="H652" s="139"/>
      <c r="I652" s="139"/>
      <c r="J652" s="140"/>
      <c r="K652" s="139"/>
      <c r="L652" s="139"/>
    </row>
    <row r="653" spans="1:12" ht="27.95" customHeight="1">
      <c r="B653" s="154"/>
      <c r="C653" s="150"/>
      <c r="D653" s="150"/>
      <c r="E653" s="150"/>
      <c r="F653" s="150"/>
      <c r="G653" s="150"/>
      <c r="H653" s="139"/>
      <c r="I653" s="139"/>
      <c r="J653" s="139"/>
      <c r="K653" s="139"/>
      <c r="L653" s="139"/>
    </row>
    <row r="654" spans="1:12" ht="27.95" customHeight="1">
      <c r="B654" s="154"/>
      <c r="C654" s="150"/>
      <c r="D654" s="150"/>
      <c r="E654" s="150"/>
      <c r="F654" s="150"/>
      <c r="G654" s="150"/>
      <c r="H654" s="139"/>
      <c r="I654" s="139"/>
      <c r="J654" s="140"/>
      <c r="K654" s="139"/>
      <c r="L654" s="139"/>
    </row>
    <row r="655" spans="1:12" ht="27.95" customHeight="1">
      <c r="B655" s="154"/>
      <c r="C655" s="150"/>
      <c r="D655" s="139"/>
      <c r="E655" s="140"/>
      <c r="F655" s="139"/>
      <c r="G655" s="140"/>
      <c r="H655" s="139"/>
      <c r="I655" s="140"/>
      <c r="J655" s="139"/>
      <c r="K655" s="140"/>
      <c r="L655" s="140"/>
    </row>
    <row r="656" spans="1:12" ht="27.95" customHeight="1">
      <c r="B656" s="154"/>
      <c r="C656" s="150"/>
      <c r="D656" s="150"/>
      <c r="E656" s="150"/>
      <c r="F656" s="150"/>
      <c r="G656" s="150"/>
      <c r="H656" s="139"/>
      <c r="I656" s="139"/>
      <c r="J656" s="224"/>
      <c r="K656" s="139"/>
      <c r="L656" s="139"/>
    </row>
    <row r="657" spans="2:12" ht="27.95" customHeight="1">
      <c r="B657" s="154"/>
      <c r="C657" s="2"/>
      <c r="D657" s="2"/>
      <c r="E657" s="2"/>
      <c r="F657" s="2"/>
      <c r="G657" s="2"/>
    </row>
    <row r="658" spans="2:12" ht="27.95" customHeight="1">
      <c r="B658" s="154"/>
      <c r="C658" s="2"/>
      <c r="D658" s="2"/>
      <c r="E658" s="2"/>
      <c r="F658" s="2"/>
      <c r="G658" s="2"/>
    </row>
    <row r="662" spans="2:12" ht="32.25">
      <c r="B662" s="1242"/>
      <c r="C662" s="1152"/>
      <c r="D662" s="1152"/>
      <c r="E662" s="1152"/>
      <c r="F662" s="1152"/>
      <c r="G662" s="1152"/>
      <c r="H662" s="1152"/>
      <c r="I662" s="1152"/>
      <c r="J662" s="1152"/>
      <c r="K662" s="1152"/>
      <c r="L662" s="1152"/>
    </row>
    <row r="663" spans="2:12" ht="23.25">
      <c r="B663" s="1223"/>
      <c r="C663" s="1223"/>
      <c r="D663" s="1223"/>
      <c r="E663" s="1223"/>
      <c r="F663" s="1223"/>
      <c r="G663" s="1223"/>
      <c r="H663" s="1223"/>
      <c r="I663" s="1223"/>
      <c r="J663" s="1223"/>
      <c r="K663" s="1223"/>
      <c r="L663" s="1223"/>
    </row>
    <row r="664" spans="2:12" ht="15.75">
      <c r="B664" s="1240"/>
      <c r="C664" s="1240"/>
      <c r="D664" s="1240"/>
      <c r="E664" s="1240"/>
      <c r="F664" s="1240"/>
      <c r="G664" s="1240"/>
      <c r="H664" s="1240"/>
      <c r="I664" s="1240"/>
      <c r="J664" s="1240"/>
      <c r="K664" s="1240"/>
      <c r="L664" s="1240"/>
    </row>
    <row r="665" spans="2:12" ht="15" customHeight="1">
      <c r="B665" s="1224"/>
      <c r="C665" s="1224"/>
      <c r="D665" s="1224"/>
      <c r="E665" s="1224"/>
      <c r="F665" s="1224"/>
      <c r="H665" s="1225"/>
      <c r="I665" s="1225"/>
      <c r="J665" s="1225"/>
      <c r="K665" s="1225"/>
      <c r="L665" s="1225"/>
    </row>
    <row r="666" spans="2:12">
      <c r="B666" s="1224"/>
      <c r="C666" s="1224"/>
      <c r="D666" s="1224"/>
      <c r="E666" s="1224"/>
      <c r="F666" s="1224"/>
      <c r="H666" s="1225"/>
      <c r="I666" s="1225"/>
      <c r="J666" s="1225"/>
      <c r="K666" s="1225"/>
      <c r="L666" s="1225"/>
    </row>
    <row r="668" spans="2:12">
      <c r="B668" s="2"/>
      <c r="H668" s="2"/>
    </row>
    <row r="670" spans="2:12">
      <c r="B670" s="2"/>
      <c r="H670" s="2"/>
    </row>
    <row r="673" spans="1:12">
      <c r="B673" s="1226"/>
      <c r="C673" s="1226"/>
      <c r="D673" s="1226"/>
      <c r="E673" s="1226"/>
      <c r="F673" s="1226"/>
      <c r="H673" s="1226"/>
      <c r="I673" s="1226"/>
      <c r="J673" s="1226"/>
      <c r="K673" s="1226"/>
      <c r="L673" s="1226"/>
    </row>
    <row r="675" spans="1:12">
      <c r="H675" s="2"/>
      <c r="I675" s="2"/>
      <c r="J675" s="2"/>
      <c r="K675" s="2"/>
      <c r="L675" s="2"/>
    </row>
    <row r="676" spans="1:12">
      <c r="H676" s="2"/>
      <c r="I676" s="2"/>
      <c r="J676" s="2"/>
      <c r="K676" s="2"/>
      <c r="L676" s="2"/>
    </row>
    <row r="677" spans="1:12">
      <c r="B677" s="2"/>
      <c r="H677" s="2"/>
      <c r="I677" s="2"/>
      <c r="J677" s="2"/>
      <c r="K677" s="2"/>
      <c r="L677" s="2"/>
    </row>
    <row r="678" spans="1:12">
      <c r="H678" s="2"/>
      <c r="I678" s="2"/>
      <c r="J678" s="2"/>
      <c r="K678" s="2"/>
      <c r="L678" s="2"/>
    </row>
    <row r="679" spans="1:12">
      <c r="H679" s="2"/>
      <c r="I679" s="2"/>
      <c r="J679" s="2"/>
      <c r="K679" s="2"/>
      <c r="L679" s="2"/>
    </row>
    <row r="680" spans="1:12" ht="27.95" customHeight="1">
      <c r="A680" s="9"/>
      <c r="B680" s="1238"/>
      <c r="C680" s="1238"/>
      <c r="D680" s="1238"/>
      <c r="E680" s="1238"/>
      <c r="F680" s="1238"/>
      <c r="G680" s="1238"/>
      <c r="H680" s="1235"/>
      <c r="I680" s="1236"/>
      <c r="J680" s="1236"/>
      <c r="K680" s="1236"/>
      <c r="L680" s="1236"/>
    </row>
    <row r="681" spans="1:12" ht="27.95" customHeight="1">
      <c r="A681" s="9"/>
      <c r="B681" s="1225"/>
      <c r="C681" s="1225"/>
      <c r="D681" s="1225"/>
      <c r="E681" s="1225"/>
      <c r="F681" s="1225"/>
      <c r="G681" s="1225"/>
      <c r="H681" s="1235"/>
      <c r="I681" s="1236"/>
      <c r="J681" s="1236"/>
      <c r="K681" s="1236"/>
      <c r="L681" s="1236"/>
    </row>
    <row r="682" spans="1:12" ht="27.95" customHeight="1">
      <c r="A682" s="9"/>
      <c r="B682" s="1238"/>
      <c r="C682" s="1238"/>
      <c r="D682" s="1238"/>
      <c r="E682" s="1238"/>
      <c r="F682" s="1238"/>
      <c r="G682" s="1238"/>
      <c r="H682" s="1235"/>
      <c r="I682" s="1236"/>
      <c r="J682" s="1236"/>
      <c r="K682" s="1236"/>
      <c r="L682" s="1236"/>
    </row>
    <row r="683" spans="1:12" ht="27.95" customHeight="1">
      <c r="A683" s="9"/>
      <c r="B683" s="1238"/>
      <c r="C683" s="1238"/>
      <c r="D683" s="1238"/>
      <c r="E683" s="1238"/>
      <c r="F683" s="1238"/>
      <c r="G683" s="1238"/>
      <c r="H683" s="1239"/>
      <c r="I683" s="1236"/>
      <c r="J683" s="1236"/>
      <c r="K683" s="1236"/>
      <c r="L683" s="1236"/>
    </row>
    <row r="684" spans="1:12" ht="27.95" customHeight="1">
      <c r="A684" s="9"/>
      <c r="B684" s="154"/>
      <c r="C684" s="150"/>
      <c r="D684" s="150"/>
      <c r="E684" s="150"/>
      <c r="F684" s="150"/>
      <c r="G684" s="150"/>
      <c r="H684" s="139"/>
      <c r="I684" s="9"/>
      <c r="J684" s="223"/>
      <c r="K684" s="139"/>
      <c r="L684" s="139"/>
    </row>
    <row r="685" spans="1:12" ht="27.95" customHeight="1">
      <c r="A685" s="9"/>
      <c r="B685" s="154"/>
      <c r="C685" s="150"/>
      <c r="D685" s="150"/>
      <c r="E685" s="150"/>
      <c r="F685" s="150"/>
      <c r="G685" s="150"/>
      <c r="H685" s="139"/>
      <c r="I685" s="139"/>
      <c r="J685" s="223"/>
      <c r="K685" s="139"/>
      <c r="L685" s="139"/>
    </row>
    <row r="686" spans="1:12" ht="27.95" customHeight="1">
      <c r="A686" s="9"/>
      <c r="B686" s="1225"/>
      <c r="C686" s="1225"/>
      <c r="D686" s="1225"/>
      <c r="E686" s="1225"/>
      <c r="F686" s="1225"/>
      <c r="G686" s="1225"/>
      <c r="H686" s="1235"/>
      <c r="I686" s="1236"/>
      <c r="J686" s="1236"/>
      <c r="K686" s="1236"/>
      <c r="L686" s="1236"/>
    </row>
    <row r="687" spans="1:12" ht="27.95" customHeight="1">
      <c r="A687" s="9"/>
      <c r="B687" s="1238"/>
      <c r="C687" s="1238"/>
      <c r="D687" s="1238"/>
      <c r="E687" s="1238"/>
      <c r="F687" s="1238"/>
      <c r="G687" s="1238"/>
      <c r="H687" s="1241"/>
      <c r="I687" s="1236"/>
      <c r="J687" s="1236"/>
      <c r="K687" s="1236"/>
      <c r="L687" s="1236"/>
    </row>
    <row r="688" spans="1:12" ht="27.95" customHeight="1">
      <c r="B688" s="1238"/>
      <c r="C688" s="1238"/>
      <c r="D688" s="1238"/>
      <c r="E688" s="1238"/>
      <c r="F688" s="1238"/>
      <c r="G688" s="1238"/>
      <c r="H688" s="1236"/>
      <c r="I688" s="1236"/>
      <c r="J688" s="1236"/>
      <c r="K688" s="1236"/>
      <c r="L688" s="1236"/>
    </row>
    <row r="689" spans="2:12" ht="27.95" customHeight="1">
      <c r="B689" s="154"/>
      <c r="C689" s="150"/>
      <c r="D689" s="150"/>
      <c r="E689" s="150"/>
      <c r="F689" s="150"/>
      <c r="G689" s="150"/>
      <c r="H689" s="139"/>
      <c r="I689" s="139"/>
      <c r="J689" s="139"/>
      <c r="K689" s="139"/>
      <c r="L689" s="139"/>
    </row>
    <row r="690" spans="2:12" ht="27.95" customHeight="1">
      <c r="B690" s="154"/>
      <c r="C690" s="150"/>
      <c r="D690" s="150"/>
      <c r="E690" s="150"/>
      <c r="F690" s="150"/>
      <c r="G690" s="150"/>
      <c r="H690" s="139"/>
      <c r="I690" s="139"/>
      <c r="J690" s="139"/>
      <c r="K690" s="139"/>
      <c r="L690" s="139"/>
    </row>
    <row r="691" spans="2:12" ht="27.95" customHeight="1">
      <c r="B691" s="154"/>
      <c r="C691" s="150"/>
      <c r="D691" s="150"/>
      <c r="E691" s="150"/>
      <c r="F691" s="150"/>
      <c r="G691" s="150"/>
      <c r="H691" s="139"/>
      <c r="I691" s="139"/>
      <c r="J691" s="140"/>
      <c r="K691" s="139"/>
      <c r="L691" s="139"/>
    </row>
    <row r="692" spans="2:12" ht="27.95" customHeight="1">
      <c r="B692" s="154"/>
      <c r="C692" s="150"/>
      <c r="D692" s="150"/>
      <c r="E692" s="150"/>
      <c r="F692" s="150"/>
      <c r="G692" s="150"/>
      <c r="H692" s="139"/>
      <c r="I692" s="139"/>
      <c r="J692" s="139"/>
      <c r="K692" s="139"/>
      <c r="L692" s="139"/>
    </row>
    <row r="693" spans="2:12" ht="27.95" customHeight="1">
      <c r="B693" s="154"/>
      <c r="C693" s="150"/>
      <c r="D693" s="150"/>
      <c r="E693" s="150"/>
      <c r="F693" s="150"/>
      <c r="G693" s="150"/>
      <c r="H693" s="139"/>
      <c r="I693" s="139"/>
      <c r="J693" s="140"/>
      <c r="K693" s="139"/>
      <c r="L693" s="139"/>
    </row>
    <row r="694" spans="2:12" ht="27.95" customHeight="1">
      <c r="B694" s="154"/>
      <c r="C694" s="150"/>
      <c r="D694" s="139"/>
      <c r="E694" s="140"/>
      <c r="F694" s="139"/>
      <c r="G694" s="140"/>
      <c r="H694" s="139"/>
      <c r="I694" s="140"/>
      <c r="J694" s="139"/>
      <c r="K694" s="140"/>
      <c r="L694" s="140"/>
    </row>
    <row r="695" spans="2:12" ht="27.95" customHeight="1">
      <c r="B695" s="154"/>
      <c r="C695" s="150"/>
      <c r="D695" s="150"/>
      <c r="E695" s="150"/>
      <c r="F695" s="150"/>
      <c r="G695" s="150"/>
      <c r="H695" s="139"/>
      <c r="I695" s="139"/>
      <c r="J695" s="224"/>
      <c r="K695" s="139"/>
      <c r="L695" s="139"/>
    </row>
    <row r="696" spans="2:12" ht="27.95" customHeight="1">
      <c r="B696" s="154"/>
      <c r="C696" s="2"/>
      <c r="D696" s="2"/>
      <c r="E696" s="2"/>
      <c r="F696" s="2"/>
      <c r="G696" s="2"/>
    </row>
    <row r="697" spans="2:12" ht="27.95" customHeight="1">
      <c r="B697" s="154"/>
      <c r="C697" s="2"/>
      <c r="D697" s="2"/>
      <c r="E697" s="2"/>
      <c r="F697" s="2"/>
      <c r="G697" s="2"/>
    </row>
    <row r="701" spans="2:12" ht="32.25">
      <c r="B701" s="1242"/>
      <c r="C701" s="1152"/>
      <c r="D701" s="1152"/>
      <c r="E701" s="1152"/>
      <c r="F701" s="1152"/>
      <c r="G701" s="1152"/>
      <c r="H701" s="1152"/>
      <c r="I701" s="1152"/>
      <c r="J701" s="1152"/>
      <c r="K701" s="1152"/>
      <c r="L701" s="1152"/>
    </row>
    <row r="702" spans="2:12" ht="23.25">
      <c r="B702" s="1223"/>
      <c r="C702" s="1223"/>
      <c r="D702" s="1223"/>
      <c r="E702" s="1223"/>
      <c r="F702" s="1223"/>
      <c r="G702" s="1223"/>
      <c r="H702" s="1223"/>
      <c r="I702" s="1223"/>
      <c r="J702" s="1223"/>
      <c r="K702" s="1223"/>
      <c r="L702" s="1223"/>
    </row>
    <row r="703" spans="2:12" ht="15.75">
      <c r="B703" s="1240"/>
      <c r="C703" s="1240"/>
      <c r="D703" s="1240"/>
      <c r="E703" s="1240"/>
      <c r="F703" s="1240"/>
      <c r="G703" s="1240"/>
      <c r="H703" s="1240"/>
      <c r="I703" s="1240"/>
      <c r="J703" s="1240"/>
      <c r="K703" s="1240"/>
      <c r="L703" s="1240"/>
    </row>
    <row r="704" spans="2:12" ht="15" customHeight="1">
      <c r="B704" s="1224"/>
      <c r="C704" s="1224"/>
      <c r="D704" s="1224"/>
      <c r="E704" s="1224"/>
      <c r="F704" s="1224"/>
      <c r="H704" s="1225"/>
      <c r="I704" s="1225"/>
      <c r="J704" s="1225"/>
      <c r="K704" s="1225"/>
      <c r="L704" s="1225"/>
    </row>
    <row r="705" spans="1:12">
      <c r="B705" s="1224"/>
      <c r="C705" s="1224"/>
      <c r="D705" s="1224"/>
      <c r="E705" s="1224"/>
      <c r="F705" s="1224"/>
      <c r="H705" s="1225"/>
      <c r="I705" s="1225"/>
      <c r="J705" s="1225"/>
      <c r="K705" s="1225"/>
      <c r="L705" s="1225"/>
    </row>
    <row r="707" spans="1:12">
      <c r="B707" s="2"/>
      <c r="H707" s="2"/>
    </row>
    <row r="709" spans="1:12">
      <c r="B709" s="2"/>
      <c r="H709" s="2"/>
    </row>
    <row r="712" spans="1:12">
      <c r="B712" s="1226"/>
      <c r="C712" s="1226"/>
      <c r="D712" s="1226"/>
      <c r="E712" s="1226"/>
      <c r="F712" s="1226"/>
      <c r="H712" s="1226"/>
      <c r="I712" s="1226"/>
      <c r="J712" s="1226"/>
      <c r="K712" s="1226"/>
      <c r="L712" s="1226"/>
    </row>
    <row r="714" spans="1:12">
      <c r="H714" s="2"/>
      <c r="I714" s="2"/>
      <c r="J714" s="2"/>
      <c r="K714" s="2"/>
      <c r="L714" s="2"/>
    </row>
    <row r="715" spans="1:12">
      <c r="H715" s="2"/>
      <c r="I715" s="2"/>
      <c r="J715" s="2"/>
      <c r="K715" s="2"/>
      <c r="L715" s="2"/>
    </row>
    <row r="716" spans="1:12">
      <c r="B716" s="2"/>
      <c r="H716" s="2"/>
      <c r="I716" s="2"/>
      <c r="J716" s="2"/>
      <c r="K716" s="2"/>
      <c r="L716" s="2"/>
    </row>
    <row r="717" spans="1:12">
      <c r="H717" s="2"/>
      <c r="I717" s="2"/>
      <c r="J717" s="2"/>
      <c r="K717" s="2"/>
      <c r="L717" s="2"/>
    </row>
    <row r="718" spans="1:12">
      <c r="H718" s="2"/>
      <c r="I718" s="2"/>
      <c r="J718" s="2"/>
      <c r="K718" s="2"/>
      <c r="L718" s="2"/>
    </row>
    <row r="719" spans="1:12" ht="27.95" customHeight="1">
      <c r="A719" s="9"/>
      <c r="B719" s="1238"/>
      <c r="C719" s="1238"/>
      <c r="D719" s="1238"/>
      <c r="E719" s="1238"/>
      <c r="F719" s="1238"/>
      <c r="G719" s="1238"/>
      <c r="H719" s="1235"/>
      <c r="I719" s="1236"/>
      <c r="J719" s="1236"/>
      <c r="K719" s="1236"/>
      <c r="L719" s="1236"/>
    </row>
    <row r="720" spans="1:12" ht="27.95" customHeight="1">
      <c r="A720" s="9"/>
      <c r="B720" s="1225"/>
      <c r="C720" s="1225"/>
      <c r="D720" s="1225"/>
      <c r="E720" s="1225"/>
      <c r="F720" s="1225"/>
      <c r="G720" s="1225"/>
      <c r="H720" s="1235"/>
      <c r="I720" s="1236"/>
      <c r="J720" s="1236"/>
      <c r="K720" s="1236"/>
      <c r="L720" s="1236"/>
    </row>
    <row r="721" spans="1:12" ht="27.95" customHeight="1">
      <c r="A721" s="9"/>
      <c r="B721" s="1238"/>
      <c r="C721" s="1238"/>
      <c r="D721" s="1238"/>
      <c r="E721" s="1238"/>
      <c r="F721" s="1238"/>
      <c r="G721" s="1238"/>
      <c r="H721" s="1235"/>
      <c r="I721" s="1236"/>
      <c r="J721" s="1236"/>
      <c r="K721" s="1236"/>
      <c r="L721" s="1236"/>
    </row>
    <row r="722" spans="1:12" ht="27.95" customHeight="1">
      <c r="A722" s="9"/>
      <c r="B722" s="1238"/>
      <c r="C722" s="1238"/>
      <c r="D722" s="1238"/>
      <c r="E722" s="1238"/>
      <c r="F722" s="1238"/>
      <c r="G722" s="1238"/>
      <c r="H722" s="1239"/>
      <c r="I722" s="1236"/>
      <c r="J722" s="1236"/>
      <c r="K722" s="1236"/>
      <c r="L722" s="1236"/>
    </row>
    <row r="723" spans="1:12" ht="27.95" customHeight="1">
      <c r="A723" s="9"/>
      <c r="B723" s="154"/>
      <c r="C723" s="150"/>
      <c r="D723" s="150"/>
      <c r="E723" s="150"/>
      <c r="F723" s="150"/>
      <c r="G723" s="150"/>
      <c r="H723" s="139"/>
      <c r="I723" s="9"/>
      <c r="J723" s="223"/>
      <c r="K723" s="139"/>
      <c r="L723" s="139"/>
    </row>
    <row r="724" spans="1:12" ht="27.95" customHeight="1">
      <c r="A724" s="9"/>
      <c r="B724" s="154"/>
      <c r="C724" s="150"/>
      <c r="D724" s="150"/>
      <c r="E724" s="150"/>
      <c r="F724" s="150"/>
      <c r="G724" s="150"/>
      <c r="H724" s="139"/>
      <c r="I724" s="139"/>
      <c r="J724" s="223"/>
      <c r="K724" s="139"/>
      <c r="L724" s="139"/>
    </row>
    <row r="725" spans="1:12" ht="27.95" customHeight="1">
      <c r="A725" s="9"/>
      <c r="B725" s="1225"/>
      <c r="C725" s="1225"/>
      <c r="D725" s="1225"/>
      <c r="E725" s="1225"/>
      <c r="F725" s="1225"/>
      <c r="G725" s="1225"/>
      <c r="H725" s="1235"/>
      <c r="I725" s="1236"/>
      <c r="J725" s="1236"/>
      <c r="K725" s="1236"/>
      <c r="L725" s="1236"/>
    </row>
    <row r="726" spans="1:12" ht="27.95" customHeight="1">
      <c r="A726" s="9"/>
      <c r="B726" s="1238"/>
      <c r="C726" s="1238"/>
      <c r="D726" s="1238"/>
      <c r="E726" s="1238"/>
      <c r="F726" s="1238"/>
      <c r="G726" s="1238"/>
      <c r="H726" s="1241"/>
      <c r="I726" s="1236"/>
      <c r="J726" s="1236"/>
      <c r="K726" s="1236"/>
      <c r="L726" s="1236"/>
    </row>
    <row r="727" spans="1:12" ht="27.95" customHeight="1">
      <c r="B727" s="1238"/>
      <c r="C727" s="1238"/>
      <c r="D727" s="1238"/>
      <c r="E727" s="1238"/>
      <c r="F727" s="1238"/>
      <c r="G727" s="1238"/>
      <c r="H727" s="1236"/>
      <c r="I727" s="1236"/>
      <c r="J727" s="1236"/>
      <c r="K727" s="1236"/>
      <c r="L727" s="1236"/>
    </row>
    <row r="728" spans="1:12" ht="27.95" customHeight="1">
      <c r="B728" s="154"/>
      <c r="C728" s="150"/>
      <c r="D728" s="150"/>
      <c r="E728" s="150"/>
      <c r="F728" s="150"/>
      <c r="G728" s="150"/>
      <c r="H728" s="139"/>
      <c r="I728" s="139"/>
      <c r="J728" s="139"/>
      <c r="K728" s="139"/>
      <c r="L728" s="139"/>
    </row>
    <row r="729" spans="1:12" ht="27.95" customHeight="1">
      <c r="B729" s="154"/>
      <c r="C729" s="150"/>
      <c r="D729" s="150"/>
      <c r="E729" s="150"/>
      <c r="F729" s="150"/>
      <c r="G729" s="150"/>
      <c r="H729" s="139"/>
      <c r="I729" s="139"/>
      <c r="J729" s="139"/>
      <c r="K729" s="139"/>
      <c r="L729" s="139"/>
    </row>
    <row r="730" spans="1:12" ht="27.95" customHeight="1">
      <c r="B730" s="154"/>
      <c r="C730" s="150"/>
      <c r="D730" s="150"/>
      <c r="E730" s="150"/>
      <c r="F730" s="150"/>
      <c r="G730" s="150"/>
      <c r="H730" s="139"/>
      <c r="I730" s="139"/>
      <c r="J730" s="140"/>
      <c r="K730" s="139"/>
      <c r="L730" s="139"/>
    </row>
    <row r="731" spans="1:12" ht="27.95" customHeight="1">
      <c r="B731" s="154"/>
      <c r="C731" s="150"/>
      <c r="D731" s="150"/>
      <c r="E731" s="150"/>
      <c r="F731" s="150"/>
      <c r="G731" s="150"/>
      <c r="H731" s="139"/>
      <c r="I731" s="139"/>
      <c r="J731" s="139"/>
      <c r="K731" s="139"/>
      <c r="L731" s="139"/>
    </row>
    <row r="732" spans="1:12" ht="27.95" customHeight="1">
      <c r="B732" s="154"/>
      <c r="C732" s="150"/>
      <c r="D732" s="150"/>
      <c r="E732" s="150"/>
      <c r="F732" s="150"/>
      <c r="G732" s="150"/>
      <c r="H732" s="139"/>
      <c r="I732" s="139"/>
      <c r="J732" s="140"/>
      <c r="K732" s="139"/>
      <c r="L732" s="139"/>
    </row>
    <row r="733" spans="1:12" ht="27.95" customHeight="1">
      <c r="B733" s="154"/>
      <c r="C733" s="150"/>
      <c r="D733" s="139"/>
      <c r="E733" s="140"/>
      <c r="F733" s="139"/>
      <c r="G733" s="140"/>
      <c r="H733" s="139"/>
      <c r="I733" s="140"/>
      <c r="J733" s="139"/>
      <c r="K733" s="140"/>
      <c r="L733" s="140"/>
    </row>
    <row r="734" spans="1:12" ht="27.95" customHeight="1">
      <c r="B734" s="154"/>
      <c r="C734" s="150"/>
      <c r="D734" s="150"/>
      <c r="E734" s="150"/>
      <c r="F734" s="150"/>
      <c r="G734" s="150"/>
      <c r="H734" s="139"/>
      <c r="I734" s="139"/>
      <c r="J734" s="224"/>
      <c r="K734" s="139"/>
      <c r="L734" s="139"/>
    </row>
    <row r="735" spans="1:12" ht="27.95" customHeight="1">
      <c r="B735" s="154"/>
      <c r="C735" s="2"/>
      <c r="D735" s="2"/>
      <c r="E735" s="2"/>
      <c r="F735" s="2"/>
      <c r="G735" s="2"/>
    </row>
    <row r="736" spans="1:12" ht="27.95" customHeight="1">
      <c r="B736" s="154"/>
      <c r="C736" s="2"/>
      <c r="D736" s="2"/>
      <c r="E736" s="2"/>
      <c r="F736" s="2"/>
      <c r="G736" s="2"/>
    </row>
    <row r="740" spans="2:12" ht="32.25">
      <c r="B740" s="1242"/>
      <c r="C740" s="1152"/>
      <c r="D740" s="1152"/>
      <c r="E740" s="1152"/>
      <c r="F740" s="1152"/>
      <c r="G740" s="1152"/>
      <c r="H740" s="1152"/>
      <c r="I740" s="1152"/>
      <c r="J740" s="1152"/>
      <c r="K740" s="1152"/>
      <c r="L740" s="1152"/>
    </row>
    <row r="741" spans="2:12" ht="23.25">
      <c r="B741" s="1223"/>
      <c r="C741" s="1223"/>
      <c r="D741" s="1223"/>
      <c r="E741" s="1223"/>
      <c r="F741" s="1223"/>
      <c r="G741" s="1223"/>
      <c r="H741" s="1223"/>
      <c r="I741" s="1223"/>
      <c r="J741" s="1223"/>
      <c r="K741" s="1223"/>
      <c r="L741" s="1223"/>
    </row>
    <row r="742" spans="2:12" ht="15.75">
      <c r="B742" s="1240"/>
      <c r="C742" s="1240"/>
      <c r="D742" s="1240"/>
      <c r="E742" s="1240"/>
      <c r="F742" s="1240"/>
      <c r="G742" s="1240"/>
      <c r="H742" s="1240"/>
      <c r="I742" s="1240"/>
      <c r="J742" s="1240"/>
      <c r="K742" s="1240"/>
      <c r="L742" s="1240"/>
    </row>
    <row r="743" spans="2:12" ht="15" customHeight="1">
      <c r="B743" s="1224"/>
      <c r="C743" s="1224"/>
      <c r="D743" s="1224"/>
      <c r="E743" s="1224"/>
      <c r="F743" s="1224"/>
      <c r="H743" s="1225"/>
      <c r="I743" s="1225"/>
      <c r="J743" s="1225"/>
      <c r="K743" s="1225"/>
      <c r="L743" s="1225"/>
    </row>
    <row r="744" spans="2:12">
      <c r="B744" s="1224"/>
      <c r="C744" s="1224"/>
      <c r="D744" s="1224"/>
      <c r="E744" s="1224"/>
      <c r="F744" s="1224"/>
      <c r="H744" s="1225"/>
      <c r="I744" s="1225"/>
      <c r="J744" s="1225"/>
      <c r="K744" s="1225"/>
      <c r="L744" s="1225"/>
    </row>
    <row r="746" spans="2:12">
      <c r="B746" s="2"/>
      <c r="H746" s="2"/>
    </row>
    <row r="748" spans="2:12">
      <c r="B748" s="2"/>
      <c r="H748" s="2"/>
    </row>
    <row r="749" spans="2:12" ht="15" customHeight="1"/>
    <row r="751" spans="2:12">
      <c r="B751" s="1226"/>
      <c r="C751" s="1226"/>
      <c r="D751" s="1226"/>
      <c r="E751" s="1226"/>
      <c r="F751" s="1226"/>
      <c r="H751" s="1226"/>
      <c r="I751" s="1226"/>
      <c r="J751" s="1226"/>
      <c r="K751" s="1226"/>
      <c r="L751" s="1226"/>
    </row>
    <row r="753" spans="1:12">
      <c r="H753" s="2"/>
      <c r="I753" s="2"/>
      <c r="J753" s="2"/>
      <c r="K753" s="2"/>
      <c r="L753" s="2"/>
    </row>
    <row r="754" spans="1:12">
      <c r="H754" s="2"/>
      <c r="I754" s="2"/>
      <c r="J754" s="2"/>
      <c r="K754" s="2"/>
      <c r="L754" s="2"/>
    </row>
    <row r="755" spans="1:12">
      <c r="B755" s="2"/>
      <c r="H755" s="2"/>
      <c r="I755" s="2"/>
      <c r="J755" s="2"/>
      <c r="K755" s="2"/>
      <c r="L755" s="2"/>
    </row>
    <row r="756" spans="1:12">
      <c r="H756" s="2"/>
      <c r="I756" s="2"/>
      <c r="J756" s="2"/>
      <c r="K756" s="2"/>
      <c r="L756" s="2"/>
    </row>
    <row r="757" spans="1:12">
      <c r="H757" s="2"/>
      <c r="I757" s="2"/>
      <c r="J757" s="2"/>
      <c r="K757" s="2"/>
      <c r="L757" s="2"/>
    </row>
    <row r="758" spans="1:12" ht="27.95" customHeight="1">
      <c r="A758" s="9"/>
      <c r="B758" s="1238"/>
      <c r="C758" s="1238"/>
      <c r="D758" s="1238"/>
      <c r="E758" s="1238"/>
      <c r="F758" s="1238"/>
      <c r="G758" s="1238"/>
      <c r="H758" s="1235"/>
      <c r="I758" s="1236"/>
      <c r="J758" s="1236"/>
      <c r="K758" s="1236"/>
      <c r="L758" s="1236"/>
    </row>
    <row r="759" spans="1:12" ht="27.95" customHeight="1">
      <c r="A759" s="9"/>
      <c r="B759" s="1225"/>
      <c r="C759" s="1225"/>
      <c r="D759" s="1225"/>
      <c r="E759" s="1225"/>
      <c r="F759" s="1225"/>
      <c r="G759" s="1225"/>
      <c r="H759" s="1235"/>
      <c r="I759" s="1236"/>
      <c r="J759" s="1236"/>
      <c r="K759" s="1236"/>
      <c r="L759" s="1236"/>
    </row>
    <row r="760" spans="1:12" ht="27.95" customHeight="1">
      <c r="A760" s="9"/>
      <c r="B760" s="1238"/>
      <c r="C760" s="1238"/>
      <c r="D760" s="1238"/>
      <c r="E760" s="1238"/>
      <c r="F760" s="1238"/>
      <c r="G760" s="1238"/>
      <c r="H760" s="1235"/>
      <c r="I760" s="1236"/>
      <c r="J760" s="1236"/>
      <c r="K760" s="1236"/>
      <c r="L760" s="1236"/>
    </row>
    <row r="761" spans="1:12" ht="27.95" customHeight="1">
      <c r="A761" s="9"/>
      <c r="B761" s="1238"/>
      <c r="C761" s="1238"/>
      <c r="D761" s="1238"/>
      <c r="E761" s="1238"/>
      <c r="F761" s="1238"/>
      <c r="G761" s="1238"/>
      <c r="H761" s="1239"/>
      <c r="I761" s="1236"/>
      <c r="J761" s="1236"/>
      <c r="K761" s="1236"/>
      <c r="L761" s="1236"/>
    </row>
    <row r="762" spans="1:12" ht="27.95" customHeight="1">
      <c r="A762" s="9"/>
      <c r="B762" s="154"/>
      <c r="C762" s="150"/>
      <c r="D762" s="150"/>
      <c r="E762" s="150"/>
      <c r="F762" s="150"/>
      <c r="G762" s="150"/>
      <c r="H762" s="139"/>
      <c r="I762" s="9"/>
      <c r="J762" s="223"/>
      <c r="K762" s="139"/>
      <c r="L762" s="139"/>
    </row>
    <row r="763" spans="1:12" ht="27.95" customHeight="1">
      <c r="A763" s="9"/>
      <c r="B763" s="154"/>
      <c r="C763" s="150"/>
      <c r="D763" s="150"/>
      <c r="E763" s="150"/>
      <c r="F763" s="150"/>
      <c r="G763" s="150"/>
      <c r="H763" s="139"/>
      <c r="I763" s="139"/>
      <c r="J763" s="223"/>
      <c r="K763" s="139"/>
      <c r="L763" s="139"/>
    </row>
    <row r="764" spans="1:12" ht="27.95" customHeight="1">
      <c r="A764" s="9"/>
      <c r="B764" s="1225"/>
      <c r="C764" s="1225"/>
      <c r="D764" s="1225"/>
      <c r="E764" s="1225"/>
      <c r="F764" s="1225"/>
      <c r="G764" s="1225"/>
      <c r="H764" s="1235"/>
      <c r="I764" s="1236"/>
      <c r="J764" s="1236"/>
      <c r="K764" s="1236"/>
      <c r="L764" s="1236"/>
    </row>
    <row r="765" spans="1:12" ht="27.95" customHeight="1">
      <c r="A765" s="9"/>
      <c r="B765" s="1238"/>
      <c r="C765" s="1238"/>
      <c r="D765" s="1238"/>
      <c r="E765" s="1238"/>
      <c r="F765" s="1238"/>
      <c r="G765" s="1238"/>
      <c r="H765" s="1241"/>
      <c r="I765" s="1236"/>
      <c r="J765" s="1236"/>
      <c r="K765" s="1236"/>
      <c r="L765" s="1236"/>
    </row>
    <row r="766" spans="1:12" ht="27.95" customHeight="1">
      <c r="B766" s="1238"/>
      <c r="C766" s="1238"/>
      <c r="D766" s="1238"/>
      <c r="E766" s="1238"/>
      <c r="F766" s="1238"/>
      <c r="G766" s="1238"/>
      <c r="H766" s="1236"/>
      <c r="I766" s="1236"/>
      <c r="J766" s="1236"/>
      <c r="K766" s="1236"/>
      <c r="L766" s="1236"/>
    </row>
    <row r="767" spans="1:12" ht="27.95" customHeight="1">
      <c r="B767" s="154"/>
      <c r="C767" s="150"/>
      <c r="D767" s="150"/>
      <c r="E767" s="150"/>
      <c r="F767" s="150"/>
      <c r="G767" s="150"/>
      <c r="H767" s="139"/>
      <c r="I767" s="139"/>
      <c r="J767" s="139"/>
      <c r="K767" s="139"/>
      <c r="L767" s="139"/>
    </row>
    <row r="768" spans="1:12" ht="27.95" customHeight="1">
      <c r="B768" s="154"/>
      <c r="C768" s="150"/>
      <c r="D768" s="150"/>
      <c r="E768" s="150"/>
      <c r="F768" s="150"/>
      <c r="G768" s="150"/>
      <c r="H768" s="139"/>
      <c r="I768" s="139"/>
      <c r="J768" s="139"/>
      <c r="K768" s="139"/>
      <c r="L768" s="139"/>
    </row>
    <row r="769" spans="2:12" ht="27.95" customHeight="1">
      <c r="B769" s="154"/>
      <c r="C769" s="150"/>
      <c r="D769" s="150"/>
      <c r="E769" s="150"/>
      <c r="F769" s="150"/>
      <c r="G769" s="150"/>
      <c r="H769" s="139"/>
      <c r="I769" s="139"/>
      <c r="J769" s="140"/>
      <c r="K769" s="139"/>
      <c r="L769" s="139"/>
    </row>
    <row r="770" spans="2:12" ht="27.95" customHeight="1">
      <c r="B770" s="154"/>
      <c r="C770" s="150"/>
      <c r="D770" s="150"/>
      <c r="E770" s="150"/>
      <c r="F770" s="150"/>
      <c r="G770" s="150"/>
      <c r="H770" s="139"/>
      <c r="I770" s="139"/>
      <c r="J770" s="139"/>
      <c r="K770" s="139"/>
      <c r="L770" s="139"/>
    </row>
    <row r="771" spans="2:12" ht="27.95" customHeight="1">
      <c r="B771" s="154"/>
      <c r="C771" s="150"/>
      <c r="D771" s="150"/>
      <c r="E771" s="150"/>
      <c r="F771" s="150"/>
      <c r="G771" s="150"/>
      <c r="H771" s="139"/>
      <c r="I771" s="139"/>
      <c r="J771" s="140"/>
      <c r="K771" s="139"/>
      <c r="L771" s="139"/>
    </row>
    <row r="772" spans="2:12" ht="27.95" customHeight="1">
      <c r="B772" s="154"/>
      <c r="C772" s="150"/>
      <c r="D772" s="139"/>
      <c r="E772" s="140"/>
      <c r="F772" s="139"/>
      <c r="G772" s="140"/>
      <c r="H772" s="139"/>
      <c r="I772" s="140"/>
      <c r="J772" s="139"/>
      <c r="K772" s="140"/>
      <c r="L772" s="140"/>
    </row>
    <row r="773" spans="2:12" ht="27.95" customHeight="1">
      <c r="B773" s="154"/>
      <c r="C773" s="150"/>
      <c r="D773" s="150"/>
      <c r="E773" s="150"/>
      <c r="F773" s="150"/>
      <c r="G773" s="150"/>
      <c r="H773" s="139"/>
      <c r="I773" s="139"/>
      <c r="J773" s="224"/>
      <c r="K773" s="139"/>
      <c r="L773" s="139"/>
    </row>
    <row r="774" spans="2:12" ht="27.95" customHeight="1">
      <c r="B774" s="154"/>
      <c r="C774" s="2"/>
      <c r="D774" s="2"/>
      <c r="E774" s="2"/>
      <c r="F774" s="2"/>
      <c r="G774" s="2"/>
    </row>
    <row r="775" spans="2:12" ht="27.95" customHeight="1">
      <c r="B775" s="154"/>
      <c r="C775" s="2"/>
      <c r="D775" s="2"/>
      <c r="E775" s="2"/>
      <c r="F775" s="2"/>
      <c r="G775" s="2"/>
    </row>
  </sheetData>
  <mergeCells count="27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 ref="B765:G765"/>
    <mergeCell ref="H765:L765"/>
    <mergeCell ref="B766:G766"/>
    <mergeCell ref="H766:L766"/>
    <mergeCell ref="B760:G760"/>
    <mergeCell ref="H760:L760"/>
    <mergeCell ref="B761:G761"/>
    <mergeCell ref="H761:L761"/>
    <mergeCell ref="B764:G764"/>
    <mergeCell ref="H764:L764"/>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464:G464"/>
    <mergeCell ref="B465:G465"/>
    <mergeCell ref="H511:L512"/>
    <mergeCell ref="H510:L510"/>
    <mergeCell ref="B511:E511"/>
    <mergeCell ref="B515:F515"/>
    <mergeCell ref="H515:L515"/>
    <mergeCell ref="B518:G518"/>
    <mergeCell ref="B519:G519"/>
    <mergeCell ref="H513:L513"/>
    <mergeCell ref="H514:L514"/>
    <mergeCell ref="B435:C435"/>
    <mergeCell ref="B448:L448"/>
    <mergeCell ref="B450:L450"/>
    <mergeCell ref="B452:L452"/>
    <mergeCell ref="H456:L456"/>
    <mergeCell ref="B457:E457"/>
    <mergeCell ref="H457:L458"/>
    <mergeCell ref="B461:F461"/>
    <mergeCell ref="H461:L461"/>
    <mergeCell ref="H460:L460"/>
    <mergeCell ref="B354:G354"/>
    <mergeCell ref="B355:G355"/>
    <mergeCell ref="B394:L394"/>
    <mergeCell ref="B298:G298"/>
    <mergeCell ref="B299:G299"/>
    <mergeCell ref="G316:H316"/>
    <mergeCell ref="K316:L316"/>
    <mergeCell ref="C317:L317"/>
    <mergeCell ref="H323:I323"/>
    <mergeCell ref="B324:C324"/>
    <mergeCell ref="B337:L337"/>
    <mergeCell ref="B339:L339"/>
    <mergeCell ref="B169:L169"/>
    <mergeCell ref="B171:L171"/>
    <mergeCell ref="B173:L173"/>
    <mergeCell ref="H178:L178"/>
    <mergeCell ref="B179:E179"/>
    <mergeCell ref="H179:L180"/>
    <mergeCell ref="B183:F183"/>
    <mergeCell ref="H183:L183"/>
    <mergeCell ref="B186:G186"/>
    <mergeCell ref="B99:C99"/>
    <mergeCell ref="B115:G115"/>
    <mergeCell ref="H115:L115"/>
    <mergeCell ref="B112:L112"/>
    <mergeCell ref="B114:L114"/>
    <mergeCell ref="B117:L117"/>
    <mergeCell ref="H122:L122"/>
    <mergeCell ref="B123:E123"/>
    <mergeCell ref="H123:L124"/>
    <mergeCell ref="H58:L58"/>
    <mergeCell ref="B13:F13"/>
    <mergeCell ref="H13:L13"/>
    <mergeCell ref="B55:L55"/>
    <mergeCell ref="B57:L57"/>
    <mergeCell ref="B42:C42"/>
    <mergeCell ref="H65:L65"/>
    <mergeCell ref="C92:L92"/>
    <mergeCell ref="H98:I98"/>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B127:F127"/>
    <mergeCell ref="H127:L127"/>
    <mergeCell ref="B130:G130"/>
    <mergeCell ref="B131:G131"/>
    <mergeCell ref="G148:H148"/>
    <mergeCell ref="K148:L148"/>
    <mergeCell ref="C149:L149"/>
    <mergeCell ref="H155:I155"/>
    <mergeCell ref="B156:C156"/>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744"/>
  <sheetViews>
    <sheetView topLeftCell="A469" workbookViewId="0">
      <selection activeCell="A409" sqref="A409:D409"/>
    </sheetView>
  </sheetViews>
  <sheetFormatPr defaultRowHeight="15"/>
  <cols>
    <col min="1" max="1" width="20.140625" customWidth="1"/>
    <col min="2" max="2" width="30.42578125" customWidth="1"/>
    <col min="3" max="3" width="19.7109375" customWidth="1"/>
    <col min="4" max="4" width="63.28515625" customWidth="1"/>
  </cols>
  <sheetData>
    <row r="1" spans="1:4" ht="20.25">
      <c r="A1" s="1305" t="s">
        <v>307</v>
      </c>
      <c r="B1" s="1306"/>
      <c r="C1" s="1306"/>
      <c r="D1" s="1307"/>
    </row>
    <row r="2" spans="1:4">
      <c r="A2" s="1308" t="s">
        <v>308</v>
      </c>
      <c r="B2" s="1309"/>
      <c r="C2" s="1309"/>
      <c r="D2" s="1310"/>
    </row>
    <row r="3" spans="1:4" ht="18">
      <c r="A3" s="1311" t="s">
        <v>309</v>
      </c>
      <c r="B3" s="1312"/>
      <c r="C3" s="1312"/>
      <c r="D3" s="1313"/>
    </row>
    <row r="4" spans="1:4">
      <c r="A4" s="12" t="s">
        <v>134</v>
      </c>
      <c r="D4" s="13"/>
    </row>
    <row r="5" spans="1:4" ht="18">
      <c r="A5" s="248" t="str">
        <f>'0422Master'!F5</f>
        <v>Burgeon IT Services Pvt.Ltd.</v>
      </c>
      <c r="B5" s="225"/>
      <c r="D5" s="13"/>
    </row>
    <row r="6" spans="1:4" ht="18">
      <c r="A6" s="248" t="str">
        <f>'0422Master'!F6</f>
        <v>Siri Mansion LIGB 436 Dr.A S Rao Nagar,Hyderabad</v>
      </c>
      <c r="B6" s="225"/>
      <c r="D6" s="13"/>
    </row>
    <row r="7" spans="1:4" ht="18">
      <c r="A7" s="227"/>
      <c r="B7" s="4"/>
      <c r="D7" s="13"/>
    </row>
    <row r="8" spans="1:4" ht="15.75">
      <c r="A8" s="226" t="s">
        <v>310</v>
      </c>
      <c r="B8" s="249"/>
      <c r="C8" s="250" t="e">
        <f>'0422Master'!#REF!</f>
        <v>#REF!</v>
      </c>
      <c r="D8" s="80"/>
    </row>
    <row r="9" spans="1:4">
      <c r="A9" s="1302" t="s">
        <v>311</v>
      </c>
      <c r="B9" s="1303"/>
      <c r="C9" s="1303"/>
      <c r="D9" s="1304"/>
    </row>
    <row r="10" spans="1:4">
      <c r="A10" s="12"/>
      <c r="D10" s="13"/>
    </row>
    <row r="11" spans="1:4">
      <c r="A11" s="1302" t="s">
        <v>312</v>
      </c>
      <c r="B11" s="1303"/>
      <c r="C11" s="1303"/>
      <c r="D11" s="1304"/>
    </row>
    <row r="12" spans="1:4">
      <c r="A12" s="228"/>
      <c r="B12" s="229"/>
      <c r="C12" s="229"/>
      <c r="D12" s="230"/>
    </row>
    <row r="13" spans="1:4">
      <c r="A13" s="1296" t="s">
        <v>313</v>
      </c>
      <c r="B13" s="1297"/>
      <c r="C13" s="1297"/>
      <c r="D13" s="1298"/>
    </row>
    <row r="14" spans="1:4">
      <c r="A14" s="12"/>
      <c r="D14" s="13"/>
    </row>
    <row r="15" spans="1:4">
      <c r="A15" s="1296" t="s">
        <v>314</v>
      </c>
      <c r="B15" s="1297"/>
      <c r="C15" s="1297"/>
      <c r="D15" s="1298"/>
    </row>
    <row r="16" spans="1:4">
      <c r="A16" s="1296" t="s">
        <v>315</v>
      </c>
      <c r="B16" s="1297"/>
      <c r="C16" s="1297"/>
      <c r="D16" s="1298"/>
    </row>
    <row r="17" spans="1:4">
      <c r="A17" s="226"/>
      <c r="B17" s="231"/>
      <c r="C17" s="231"/>
      <c r="D17" s="232"/>
    </row>
    <row r="18" spans="1:4">
      <c r="A18" s="1302" t="s">
        <v>316</v>
      </c>
      <c r="B18" s="1303"/>
      <c r="C18" s="1303"/>
      <c r="D18" s="1304"/>
    </row>
    <row r="19" spans="1:4">
      <c r="A19" s="226"/>
      <c r="B19" s="231"/>
      <c r="C19" s="231"/>
      <c r="D19" s="232"/>
    </row>
    <row r="20" spans="1:4">
      <c r="A20" s="1296" t="s">
        <v>317</v>
      </c>
      <c r="B20" s="1297"/>
      <c r="C20" s="1297"/>
      <c r="D20" s="1298"/>
    </row>
    <row r="21" spans="1:4">
      <c r="A21" s="12"/>
      <c r="D21" s="13"/>
    </row>
    <row r="22" spans="1:4">
      <c r="A22" s="1293" t="s">
        <v>318</v>
      </c>
      <c r="B22" s="1294"/>
      <c r="C22" s="1294"/>
      <c r="D22" s="1295"/>
    </row>
    <row r="23" spans="1:4" ht="42.75">
      <c r="A23" s="233" t="s">
        <v>319</v>
      </c>
      <c r="B23" s="234" t="s">
        <v>320</v>
      </c>
      <c r="C23" s="234" t="s">
        <v>321</v>
      </c>
      <c r="D23" s="235" t="s">
        <v>322</v>
      </c>
    </row>
    <row r="24" spans="1:4">
      <c r="A24" s="236">
        <v>1</v>
      </c>
      <c r="B24" s="237">
        <v>2</v>
      </c>
      <c r="C24" s="237">
        <v>3</v>
      </c>
      <c r="D24" s="238">
        <v>4</v>
      </c>
    </row>
    <row r="25" spans="1:4">
      <c r="A25" s="12" t="e">
        <f>'0422Master'!#REF!</f>
        <v>#REF!</v>
      </c>
      <c r="B25" s="10" t="s">
        <v>364</v>
      </c>
      <c r="C25" s="10" t="s">
        <v>371</v>
      </c>
      <c r="D25" s="270">
        <v>1</v>
      </c>
    </row>
    <row r="26" spans="1:4">
      <c r="A26" s="254"/>
      <c r="B26" s="10"/>
      <c r="C26" s="10"/>
      <c r="D26" s="239"/>
    </row>
    <row r="27" spans="1:4">
      <c r="A27" s="251"/>
      <c r="B27" s="10"/>
      <c r="C27" s="10"/>
      <c r="D27" s="239"/>
    </row>
    <row r="28" spans="1:4">
      <c r="A28" s="12"/>
      <c r="D28" s="13"/>
    </row>
    <row r="29" spans="1:4">
      <c r="A29" s="1293" t="s">
        <v>323</v>
      </c>
      <c r="B29" s="1294"/>
      <c r="C29" s="1294"/>
      <c r="D29" s="1295"/>
    </row>
    <row r="30" spans="1:4">
      <c r="A30" s="142"/>
      <c r="B30" s="5"/>
      <c r="C30" s="5"/>
      <c r="D30" s="143"/>
    </row>
    <row r="31" spans="1:4">
      <c r="A31" s="1299" t="s">
        <v>324</v>
      </c>
      <c r="B31" s="1300"/>
      <c r="C31" s="1314" t="e">
        <f>'0422Master'!#REF!</f>
        <v>#REF!</v>
      </c>
      <c r="D31" s="1301"/>
    </row>
    <row r="32" spans="1:4">
      <c r="A32" s="1299" t="s">
        <v>325</v>
      </c>
      <c r="B32" s="1300"/>
      <c r="C32" s="1162" t="e">
        <f>'0422Master'!#REF!</f>
        <v>#REF!</v>
      </c>
      <c r="D32" s="1301"/>
    </row>
    <row r="33" spans="1:4">
      <c r="A33" s="1299" t="s">
        <v>326</v>
      </c>
      <c r="B33" s="1300"/>
      <c r="C33" s="1162" t="s">
        <v>373</v>
      </c>
      <c r="D33" s="1301"/>
    </row>
    <row r="34" spans="1:4">
      <c r="A34" s="1299" t="s">
        <v>327</v>
      </c>
      <c r="B34" s="1300"/>
      <c r="C34" s="1162" t="s">
        <v>370</v>
      </c>
      <c r="D34" s="1301"/>
    </row>
    <row r="35" spans="1:4">
      <c r="A35" s="1299" t="s">
        <v>328</v>
      </c>
      <c r="B35" s="1300"/>
      <c r="C35" s="1314" t="e">
        <f>'0422Master'!#REF!</f>
        <v>#REF!</v>
      </c>
      <c r="D35" s="1301"/>
    </row>
    <row r="36" spans="1:4">
      <c r="A36" s="1299" t="s">
        <v>329</v>
      </c>
      <c r="B36" s="1300"/>
      <c r="C36" s="1314" t="e">
        <f>'0422Master'!#REF!</f>
        <v>#REF!</v>
      </c>
      <c r="D36" s="1301"/>
    </row>
    <row r="37" spans="1:4">
      <c r="A37" s="1299" t="s">
        <v>330</v>
      </c>
      <c r="B37" s="1300"/>
      <c r="C37" s="1315" t="e">
        <f>'0422Master'!#REF!</f>
        <v>#REF!</v>
      </c>
      <c r="D37" s="1301"/>
    </row>
    <row r="38" spans="1:4">
      <c r="A38" s="1299" t="s">
        <v>331</v>
      </c>
      <c r="B38" s="1300"/>
      <c r="C38" s="1162"/>
      <c r="D38" s="1301"/>
    </row>
    <row r="39" spans="1:4">
      <c r="A39" s="1299"/>
      <c r="B39" s="1300"/>
      <c r="C39" s="1314" t="e">
        <f>'0422Master'!#REF!</f>
        <v>#REF!</v>
      </c>
      <c r="D39" s="1301"/>
    </row>
    <row r="40" spans="1:4">
      <c r="A40" s="1299"/>
      <c r="B40" s="1300"/>
      <c r="C40" s="1314" t="e">
        <f>'0422Master'!#REF!</f>
        <v>#REF!</v>
      </c>
      <c r="D40" s="1301"/>
    </row>
    <row r="41" spans="1:4">
      <c r="A41" s="1299"/>
      <c r="B41" s="1300"/>
      <c r="C41" s="1314" t="e">
        <f>'0422Master'!#REF!</f>
        <v>#REF!</v>
      </c>
      <c r="D41" s="1301"/>
    </row>
    <row r="42" spans="1:4">
      <c r="A42" s="226" t="s">
        <v>273</v>
      </c>
      <c r="B42" s="231" t="s">
        <v>362</v>
      </c>
      <c r="C42" s="231"/>
      <c r="D42" s="232"/>
    </row>
    <row r="43" spans="1:4">
      <c r="A43" s="226" t="s">
        <v>332</v>
      </c>
      <c r="B43" s="271" t="e">
        <f>'0422Master'!#REF!</f>
        <v>#REF!</v>
      </c>
      <c r="C43" s="240" t="s">
        <v>333</v>
      </c>
      <c r="D43" s="232"/>
    </row>
    <row r="44" spans="1:4">
      <c r="A44" s="226"/>
      <c r="B44" s="231"/>
      <c r="C44" s="231"/>
      <c r="D44" s="232"/>
    </row>
    <row r="45" spans="1:4">
      <c r="A45" s="1293" t="s">
        <v>334</v>
      </c>
      <c r="B45" s="1294"/>
      <c r="C45" s="1294"/>
      <c r="D45" s="1295"/>
    </row>
    <row r="46" spans="1:4">
      <c r="A46" s="226" t="s">
        <v>335</v>
      </c>
      <c r="B46" s="231"/>
      <c r="C46" s="231"/>
      <c r="D46" s="232"/>
    </row>
    <row r="47" spans="1:4">
      <c r="A47" s="226"/>
      <c r="B47" s="231"/>
      <c r="C47" s="231"/>
      <c r="D47" s="232"/>
    </row>
    <row r="48" spans="1:4">
      <c r="A48" s="1296" t="s">
        <v>336</v>
      </c>
      <c r="B48" s="1297"/>
      <c r="C48" s="1297" t="s">
        <v>337</v>
      </c>
      <c r="D48" s="1298"/>
    </row>
    <row r="49" spans="1:4">
      <c r="A49" s="1283">
        <v>1</v>
      </c>
      <c r="B49" s="1284"/>
      <c r="C49" s="1284">
        <v>1</v>
      </c>
      <c r="D49" s="1285"/>
    </row>
    <row r="50" spans="1:4">
      <c r="A50" s="1283">
        <v>2</v>
      </c>
      <c r="B50" s="1284"/>
      <c r="C50" s="1284">
        <v>2</v>
      </c>
      <c r="D50" s="1285"/>
    </row>
    <row r="51" spans="1:4">
      <c r="A51" s="241"/>
      <c r="C51" s="1286" t="s">
        <v>342</v>
      </c>
      <c r="D51" s="1287"/>
    </row>
    <row r="52" spans="1:4">
      <c r="A52" s="1288" t="s">
        <v>338</v>
      </c>
      <c r="B52" s="1289"/>
      <c r="C52" s="1289"/>
      <c r="D52" s="1290"/>
    </row>
    <row r="53" spans="1:4">
      <c r="A53" s="244" t="s">
        <v>339</v>
      </c>
      <c r="B53" s="245"/>
      <c r="C53" s="245"/>
      <c r="D53" s="246"/>
    </row>
    <row r="54" spans="1:4">
      <c r="A54" s="244"/>
      <c r="B54" s="245"/>
      <c r="C54" s="245"/>
      <c r="D54" s="246"/>
    </row>
    <row r="55" spans="1:4">
      <c r="A55" s="244"/>
      <c r="B55" s="245"/>
      <c r="C55" s="245" t="s">
        <v>340</v>
      </c>
      <c r="D55" s="246"/>
    </row>
    <row r="56" spans="1:4">
      <c r="A56" s="241"/>
      <c r="B56" s="242"/>
      <c r="C56" s="141" t="s">
        <v>144</v>
      </c>
      <c r="D56" s="243"/>
    </row>
    <row r="57" spans="1:4">
      <c r="A57" s="241"/>
      <c r="C57" t="s">
        <v>341</v>
      </c>
      <c r="D57" s="247"/>
    </row>
    <row r="58" spans="1:4" ht="25.5" customHeight="1">
      <c r="A58" s="241"/>
      <c r="C58" s="1291" t="str">
        <f>'0422Master'!F5</f>
        <v>Burgeon IT Services Pvt.Ltd.</v>
      </c>
      <c r="D58" s="1292"/>
    </row>
    <row r="59" spans="1:4">
      <c r="A59" s="226" t="s">
        <v>273</v>
      </c>
      <c r="B59" t="str">
        <f>B42</f>
        <v>Hyderabad</v>
      </c>
      <c r="C59" s="2" t="str">
        <f>'0422Master'!F6</f>
        <v>Siri Mansion LIGB 436 Dr.A S Rao Nagar,Hyderabad</v>
      </c>
      <c r="D59" s="13"/>
    </row>
    <row r="60" spans="1:4" ht="15.75" thickBot="1">
      <c r="A60" s="226" t="s">
        <v>332</v>
      </c>
      <c r="B60" s="263" t="e">
        <f>B43</f>
        <v>#REF!</v>
      </c>
      <c r="C60" s="2"/>
      <c r="D60" s="13"/>
    </row>
    <row r="61" spans="1:4" ht="15.75" thickBot="1">
      <c r="A61" s="252"/>
      <c r="B61" s="253" t="s">
        <v>345</v>
      </c>
      <c r="C61" s="253"/>
      <c r="D61" s="28"/>
    </row>
    <row r="62" spans="1:4">
      <c r="A62" s="226" t="s">
        <v>343</v>
      </c>
      <c r="C62" s="2"/>
      <c r="D62" s="13"/>
    </row>
    <row r="63" spans="1:4">
      <c r="A63" s="226" t="s">
        <v>332</v>
      </c>
      <c r="B63" s="263" t="e">
        <f>B60</f>
        <v>#REF!</v>
      </c>
      <c r="C63" s="2"/>
      <c r="D63" s="13"/>
    </row>
    <row r="64" spans="1:4" ht="15.75" thickBot="1">
      <c r="A64" s="255" t="s">
        <v>344</v>
      </c>
      <c r="B64" s="22"/>
      <c r="C64" s="22"/>
      <c r="D64" s="23" t="s">
        <v>135</v>
      </c>
    </row>
    <row r="68" spans="1:4" ht="15.75" thickBot="1"/>
    <row r="69" spans="1:4" ht="20.25">
      <c r="A69" s="1305" t="s">
        <v>307</v>
      </c>
      <c r="B69" s="1306"/>
      <c r="C69" s="1306"/>
      <c r="D69" s="1307"/>
    </row>
    <row r="70" spans="1:4">
      <c r="A70" s="1308" t="s">
        <v>308</v>
      </c>
      <c r="B70" s="1309"/>
      <c r="C70" s="1309"/>
      <c r="D70" s="1310"/>
    </row>
    <row r="71" spans="1:4" ht="18">
      <c r="A71" s="1311" t="s">
        <v>309</v>
      </c>
      <c r="B71" s="1312"/>
      <c r="C71" s="1312"/>
      <c r="D71" s="1313"/>
    </row>
    <row r="72" spans="1:4">
      <c r="A72" s="12" t="s">
        <v>134</v>
      </c>
      <c r="D72" s="13"/>
    </row>
    <row r="73" spans="1:4" ht="18">
      <c r="A73" s="248" t="str">
        <f>'0422Master'!F5</f>
        <v>Burgeon IT Services Pvt.Ltd.</v>
      </c>
      <c r="B73" s="225"/>
      <c r="D73" s="13"/>
    </row>
    <row r="74" spans="1:4" ht="18">
      <c r="A74" s="248" t="str">
        <f>'0422Master'!F6</f>
        <v>Siri Mansion LIGB 436 Dr.A S Rao Nagar,Hyderabad</v>
      </c>
      <c r="B74" s="225"/>
      <c r="D74" s="13"/>
    </row>
    <row r="75" spans="1:4" ht="18">
      <c r="A75" s="227"/>
      <c r="B75" s="4"/>
      <c r="D75" s="13"/>
    </row>
    <row r="76" spans="1:4" ht="15.75">
      <c r="A76" s="226" t="s">
        <v>310</v>
      </c>
      <c r="B76" s="249"/>
      <c r="C76" s="250" t="e">
        <f>'0422Master'!#REF!</f>
        <v>#REF!</v>
      </c>
      <c r="D76" s="80"/>
    </row>
    <row r="77" spans="1:4">
      <c r="A77" s="1302" t="s">
        <v>311</v>
      </c>
      <c r="B77" s="1303"/>
      <c r="C77" s="1303"/>
      <c r="D77" s="1304"/>
    </row>
    <row r="78" spans="1:4">
      <c r="A78" s="12"/>
      <c r="D78" s="13"/>
    </row>
    <row r="79" spans="1:4">
      <c r="A79" s="1302" t="s">
        <v>312</v>
      </c>
      <c r="B79" s="1303"/>
      <c r="C79" s="1303"/>
      <c r="D79" s="1304"/>
    </row>
    <row r="80" spans="1:4">
      <c r="A80" s="228"/>
      <c r="B80" s="229"/>
      <c r="C80" s="229"/>
      <c r="D80" s="230"/>
    </row>
    <row r="81" spans="1:4">
      <c r="A81" s="1296" t="s">
        <v>313</v>
      </c>
      <c r="B81" s="1297"/>
      <c r="C81" s="1297"/>
      <c r="D81" s="1298"/>
    </row>
    <row r="82" spans="1:4">
      <c r="A82" s="12"/>
      <c r="D82" s="13"/>
    </row>
    <row r="83" spans="1:4">
      <c r="A83" s="1296" t="s">
        <v>314</v>
      </c>
      <c r="B83" s="1297"/>
      <c r="C83" s="1297"/>
      <c r="D83" s="1298"/>
    </row>
    <row r="84" spans="1:4">
      <c r="A84" s="1296" t="s">
        <v>315</v>
      </c>
      <c r="B84" s="1297"/>
      <c r="C84" s="1297"/>
      <c r="D84" s="1298"/>
    </row>
    <row r="85" spans="1:4">
      <c r="A85" s="226"/>
      <c r="B85" s="231"/>
      <c r="C85" s="231"/>
      <c r="D85" s="232"/>
    </row>
    <row r="86" spans="1:4">
      <c r="A86" s="1302" t="s">
        <v>316</v>
      </c>
      <c r="B86" s="1303"/>
      <c r="C86" s="1303"/>
      <c r="D86" s="1304"/>
    </row>
    <row r="87" spans="1:4">
      <c r="A87" s="226"/>
      <c r="B87" s="231"/>
      <c r="C87" s="231"/>
      <c r="D87" s="232"/>
    </row>
    <row r="88" spans="1:4">
      <c r="A88" s="1296" t="s">
        <v>317</v>
      </c>
      <c r="B88" s="1297"/>
      <c r="C88" s="1297"/>
      <c r="D88" s="1298"/>
    </row>
    <row r="89" spans="1:4">
      <c r="A89" s="12"/>
      <c r="D89" s="13"/>
    </row>
    <row r="90" spans="1:4">
      <c r="A90" s="1293" t="s">
        <v>318</v>
      </c>
      <c r="B90" s="1294"/>
      <c r="C90" s="1294"/>
      <c r="D90" s="1295"/>
    </row>
    <row r="91" spans="1:4" ht="42.75">
      <c r="A91" s="233" t="s">
        <v>319</v>
      </c>
      <c r="B91" s="234" t="s">
        <v>320</v>
      </c>
      <c r="C91" s="234" t="s">
        <v>321</v>
      </c>
      <c r="D91" s="235" t="s">
        <v>322</v>
      </c>
    </row>
    <row r="92" spans="1:4">
      <c r="A92" s="236">
        <v>1</v>
      </c>
      <c r="B92" s="237">
        <v>2</v>
      </c>
      <c r="C92" s="237">
        <v>3</v>
      </c>
      <c r="D92" s="238">
        <v>4</v>
      </c>
    </row>
    <row r="93" spans="1:4">
      <c r="A93" s="12" t="e">
        <f>'0422Master'!#REF!</f>
        <v>#REF!</v>
      </c>
      <c r="B93" s="10" t="s">
        <v>364</v>
      </c>
      <c r="C93" s="10" t="s">
        <v>371</v>
      </c>
      <c r="D93" s="270">
        <v>1</v>
      </c>
    </row>
    <row r="94" spans="1:4">
      <c r="A94" s="254"/>
      <c r="B94" s="10"/>
      <c r="C94" s="10"/>
      <c r="D94" s="239"/>
    </row>
    <row r="95" spans="1:4">
      <c r="A95" s="251"/>
      <c r="B95" s="10"/>
      <c r="C95" s="10"/>
      <c r="D95" s="239"/>
    </row>
    <row r="96" spans="1:4">
      <c r="A96" s="12"/>
      <c r="D96" s="13"/>
    </row>
    <row r="97" spans="1:4">
      <c r="A97" s="1293" t="s">
        <v>323</v>
      </c>
      <c r="B97" s="1294"/>
      <c r="C97" s="1294"/>
      <c r="D97" s="1295"/>
    </row>
    <row r="98" spans="1:4">
      <c r="A98" s="142"/>
      <c r="B98" s="5"/>
      <c r="C98" s="5"/>
      <c r="D98" s="143"/>
    </row>
    <row r="99" spans="1:4">
      <c r="A99" s="1299" t="s">
        <v>324</v>
      </c>
      <c r="B99" s="1300"/>
      <c r="C99" s="1314" t="e">
        <f>'0422Master'!#REF!</f>
        <v>#REF!</v>
      </c>
      <c r="D99" s="1301"/>
    </row>
    <row r="100" spans="1:4">
      <c r="A100" s="1299" t="s">
        <v>325</v>
      </c>
      <c r="B100" s="1300"/>
      <c r="C100" s="1162" t="e">
        <f>'0422Master'!#REF!</f>
        <v>#REF!</v>
      </c>
      <c r="D100" s="1301"/>
    </row>
    <row r="101" spans="1:4">
      <c r="A101" s="1299" t="s">
        <v>326</v>
      </c>
      <c r="B101" s="1300"/>
      <c r="C101" s="1162" t="s">
        <v>372</v>
      </c>
      <c r="D101" s="1301"/>
    </row>
    <row r="102" spans="1:4">
      <c r="A102" s="1299" t="s">
        <v>327</v>
      </c>
      <c r="B102" s="1300"/>
      <c r="C102" s="1162" t="s">
        <v>370</v>
      </c>
      <c r="D102" s="1301"/>
    </row>
    <row r="103" spans="1:4">
      <c r="A103" s="1299" t="s">
        <v>328</v>
      </c>
      <c r="B103" s="1300"/>
      <c r="C103" s="1314" t="e">
        <f>'0422Master'!#REF!</f>
        <v>#REF!</v>
      </c>
      <c r="D103" s="1301"/>
    </row>
    <row r="104" spans="1:4">
      <c r="A104" s="1299" t="s">
        <v>329</v>
      </c>
      <c r="B104" s="1300"/>
      <c r="C104" s="1314" t="e">
        <f>'0422Master'!#REF!</f>
        <v>#REF!</v>
      </c>
      <c r="D104" s="1301"/>
    </row>
    <row r="105" spans="1:4">
      <c r="A105" s="1299" t="s">
        <v>330</v>
      </c>
      <c r="B105" s="1300"/>
      <c r="C105" s="1315" t="e">
        <f>'0422Master'!#REF!</f>
        <v>#REF!</v>
      </c>
      <c r="D105" s="1301"/>
    </row>
    <row r="106" spans="1:4">
      <c r="A106" s="1299" t="s">
        <v>331</v>
      </c>
      <c r="B106" s="1300"/>
      <c r="C106" s="1162"/>
      <c r="D106" s="1301"/>
    </row>
    <row r="107" spans="1:4">
      <c r="A107" s="1299"/>
      <c r="B107" s="1300"/>
      <c r="C107" s="1314" t="e">
        <f>'0422Master'!#REF!</f>
        <v>#REF!</v>
      </c>
      <c r="D107" s="1301"/>
    </row>
    <row r="108" spans="1:4">
      <c r="A108" s="1299"/>
      <c r="B108" s="1300"/>
      <c r="C108" s="1314" t="e">
        <f>'0422Master'!#REF!</f>
        <v>#REF!</v>
      </c>
      <c r="D108" s="1301"/>
    </row>
    <row r="109" spans="1:4">
      <c r="A109" s="1299"/>
      <c r="B109" s="1300"/>
      <c r="C109" s="1314" t="e">
        <f>'0422Master'!#REF!</f>
        <v>#REF!</v>
      </c>
      <c r="D109" s="1301"/>
    </row>
    <row r="110" spans="1:4">
      <c r="A110" s="226" t="s">
        <v>273</v>
      </c>
      <c r="B110" s="231" t="s">
        <v>362</v>
      </c>
      <c r="C110" s="231"/>
      <c r="D110" s="232"/>
    </row>
    <row r="111" spans="1:4">
      <c r="A111" s="226" t="s">
        <v>332</v>
      </c>
      <c r="B111" s="271" t="e">
        <f>'0422Master'!#REF!</f>
        <v>#REF!</v>
      </c>
      <c r="C111" s="240" t="s">
        <v>333</v>
      </c>
      <c r="D111" s="232"/>
    </row>
    <row r="112" spans="1:4">
      <c r="A112" s="226"/>
      <c r="B112" s="231"/>
      <c r="C112" s="231"/>
      <c r="D112" s="232"/>
    </row>
    <row r="113" spans="1:4">
      <c r="A113" s="1293" t="s">
        <v>334</v>
      </c>
      <c r="B113" s="1294"/>
      <c r="C113" s="1294"/>
      <c r="D113" s="1295"/>
    </row>
    <row r="114" spans="1:4">
      <c r="A114" s="226" t="s">
        <v>335</v>
      </c>
      <c r="B114" s="231"/>
      <c r="C114" s="231"/>
      <c r="D114" s="232"/>
    </row>
    <row r="115" spans="1:4">
      <c r="A115" s="226"/>
      <c r="B115" s="231"/>
      <c r="C115" s="231"/>
      <c r="D115" s="232"/>
    </row>
    <row r="116" spans="1:4">
      <c r="A116" s="1296" t="s">
        <v>336</v>
      </c>
      <c r="B116" s="1297"/>
      <c r="C116" s="1297" t="s">
        <v>337</v>
      </c>
      <c r="D116" s="1298"/>
    </row>
    <row r="117" spans="1:4">
      <c r="A117" s="1283">
        <v>1</v>
      </c>
      <c r="B117" s="1284"/>
      <c r="C117" s="1284">
        <v>1</v>
      </c>
      <c r="D117" s="1285"/>
    </row>
    <row r="118" spans="1:4">
      <c r="A118" s="1283">
        <v>2</v>
      </c>
      <c r="B118" s="1284"/>
      <c r="C118" s="1284">
        <v>2</v>
      </c>
      <c r="D118" s="1285"/>
    </row>
    <row r="119" spans="1:4">
      <c r="A119" s="241"/>
      <c r="C119" s="1286" t="s">
        <v>342</v>
      </c>
      <c r="D119" s="1287"/>
    </row>
    <row r="120" spans="1:4">
      <c r="A120" s="1288" t="s">
        <v>338</v>
      </c>
      <c r="B120" s="1289"/>
      <c r="C120" s="1289"/>
      <c r="D120" s="1290"/>
    </row>
    <row r="121" spans="1:4">
      <c r="A121" s="244" t="s">
        <v>339</v>
      </c>
      <c r="B121" s="245"/>
      <c r="C121" s="245"/>
      <c r="D121" s="246"/>
    </row>
    <row r="122" spans="1:4">
      <c r="A122" s="244"/>
      <c r="B122" s="245"/>
      <c r="C122" s="245"/>
      <c r="D122" s="246"/>
    </row>
    <row r="123" spans="1:4">
      <c r="A123" s="244"/>
      <c r="B123" s="245"/>
      <c r="C123" s="245" t="s">
        <v>340</v>
      </c>
      <c r="D123" s="246"/>
    </row>
    <row r="124" spans="1:4">
      <c r="A124" s="241"/>
      <c r="B124" s="242"/>
      <c r="C124" s="141" t="s">
        <v>144</v>
      </c>
      <c r="D124" s="243"/>
    </row>
    <row r="125" spans="1:4">
      <c r="A125" s="241"/>
      <c r="C125" t="s">
        <v>341</v>
      </c>
      <c r="D125" s="247"/>
    </row>
    <row r="126" spans="1:4">
      <c r="A126" s="241"/>
      <c r="C126" s="1291" t="str">
        <f>'0422Master'!F5</f>
        <v>Burgeon IT Services Pvt.Ltd.</v>
      </c>
      <c r="D126" s="1292"/>
    </row>
    <row r="127" spans="1:4">
      <c r="A127" s="226" t="s">
        <v>273</v>
      </c>
      <c r="B127" t="str">
        <f>B110</f>
        <v>Hyderabad</v>
      </c>
      <c r="C127" s="2" t="str">
        <f>'0422Master'!F6</f>
        <v>Siri Mansion LIGB 436 Dr.A S Rao Nagar,Hyderabad</v>
      </c>
      <c r="D127" s="13"/>
    </row>
    <row r="128" spans="1:4" ht="15.75" thickBot="1">
      <c r="A128" s="226" t="s">
        <v>332</v>
      </c>
      <c r="B128" s="263" t="e">
        <f>B111</f>
        <v>#REF!</v>
      </c>
      <c r="C128" s="2"/>
      <c r="D128" s="13"/>
    </row>
    <row r="129" spans="1:4" ht="15.75" thickBot="1">
      <c r="A129" s="252"/>
      <c r="B129" s="253" t="s">
        <v>345</v>
      </c>
      <c r="C129" s="253"/>
      <c r="D129" s="28"/>
    </row>
    <row r="130" spans="1:4">
      <c r="A130" s="226" t="s">
        <v>343</v>
      </c>
      <c r="C130" s="2"/>
      <c r="D130" s="13"/>
    </row>
    <row r="131" spans="1:4">
      <c r="A131" s="226" t="s">
        <v>332</v>
      </c>
      <c r="B131" s="263" t="e">
        <f>B128</f>
        <v>#REF!</v>
      </c>
      <c r="C131" s="2"/>
      <c r="D131" s="13"/>
    </row>
    <row r="132" spans="1:4" ht="15.75" thickBot="1">
      <c r="A132" s="255" t="s">
        <v>344</v>
      </c>
      <c r="B132" s="22"/>
      <c r="C132" s="22"/>
      <c r="D132" s="23" t="s">
        <v>135</v>
      </c>
    </row>
    <row r="136" spans="1:4" ht="15.75" thickBot="1"/>
    <row r="137" spans="1:4" ht="20.25">
      <c r="A137" s="1305" t="s">
        <v>307</v>
      </c>
      <c r="B137" s="1306"/>
      <c r="C137" s="1306"/>
      <c r="D137" s="1307"/>
    </row>
    <row r="138" spans="1:4">
      <c r="A138" s="1308" t="s">
        <v>308</v>
      </c>
      <c r="B138" s="1309"/>
      <c r="C138" s="1309"/>
      <c r="D138" s="1310"/>
    </row>
    <row r="139" spans="1:4" ht="18">
      <c r="A139" s="1311" t="s">
        <v>309</v>
      </c>
      <c r="B139" s="1312"/>
      <c r="C139" s="1312"/>
      <c r="D139" s="1313"/>
    </row>
    <row r="140" spans="1:4">
      <c r="A140" s="12" t="s">
        <v>134</v>
      </c>
      <c r="D140" s="13"/>
    </row>
    <row r="141" spans="1:4" ht="18">
      <c r="A141" s="248" t="str">
        <f>'0422Master'!F5</f>
        <v>Burgeon IT Services Pvt.Ltd.</v>
      </c>
      <c r="B141" s="225"/>
      <c r="D141" s="13"/>
    </row>
    <row r="142" spans="1:4" ht="18">
      <c r="A142" s="248" t="str">
        <f>'0422Master'!F6</f>
        <v>Siri Mansion LIGB 436 Dr.A S Rao Nagar,Hyderabad</v>
      </c>
      <c r="B142" s="225"/>
      <c r="D142" s="13"/>
    </row>
    <row r="143" spans="1:4" ht="18">
      <c r="A143" s="227"/>
      <c r="B143" s="4"/>
      <c r="D143" s="13"/>
    </row>
    <row r="144" spans="1:4" ht="15.75">
      <c r="A144" s="226" t="s">
        <v>310</v>
      </c>
      <c r="B144" s="249"/>
      <c r="C144" s="250" t="e">
        <f>'0422Master'!#REF!</f>
        <v>#REF!</v>
      </c>
      <c r="D144" s="80"/>
    </row>
    <row r="145" spans="1:4">
      <c r="A145" s="1302" t="s">
        <v>311</v>
      </c>
      <c r="B145" s="1303"/>
      <c r="C145" s="1303"/>
      <c r="D145" s="1304"/>
    </row>
    <row r="146" spans="1:4">
      <c r="A146" s="12"/>
      <c r="D146" s="13"/>
    </row>
    <row r="147" spans="1:4">
      <c r="A147" s="1302" t="s">
        <v>312</v>
      </c>
      <c r="B147" s="1303"/>
      <c r="C147" s="1303"/>
      <c r="D147" s="1304"/>
    </row>
    <row r="148" spans="1:4">
      <c r="A148" s="228"/>
      <c r="B148" s="229"/>
      <c r="C148" s="229"/>
      <c r="D148" s="230"/>
    </row>
    <row r="149" spans="1:4">
      <c r="A149" s="1296" t="s">
        <v>313</v>
      </c>
      <c r="B149" s="1297"/>
      <c r="C149" s="1297"/>
      <c r="D149" s="1298"/>
    </row>
    <row r="150" spans="1:4">
      <c r="A150" s="12"/>
      <c r="D150" s="13"/>
    </row>
    <row r="151" spans="1:4">
      <c r="A151" s="1296" t="s">
        <v>314</v>
      </c>
      <c r="B151" s="1297"/>
      <c r="C151" s="1297"/>
      <c r="D151" s="1298"/>
    </row>
    <row r="152" spans="1:4">
      <c r="A152" s="1296" t="s">
        <v>315</v>
      </c>
      <c r="B152" s="1297"/>
      <c r="C152" s="1297"/>
      <c r="D152" s="1298"/>
    </row>
    <row r="153" spans="1:4">
      <c r="A153" s="226"/>
      <c r="B153" s="231"/>
      <c r="C153" s="231"/>
      <c r="D153" s="232"/>
    </row>
    <row r="154" spans="1:4">
      <c r="A154" s="1302" t="s">
        <v>316</v>
      </c>
      <c r="B154" s="1303"/>
      <c r="C154" s="1303"/>
      <c r="D154" s="1304"/>
    </row>
    <row r="155" spans="1:4">
      <c r="A155" s="226"/>
      <c r="B155" s="231"/>
      <c r="C155" s="231"/>
      <c r="D155" s="232"/>
    </row>
    <row r="156" spans="1:4">
      <c r="A156" s="1296" t="s">
        <v>317</v>
      </c>
      <c r="B156" s="1297"/>
      <c r="C156" s="1297"/>
      <c r="D156" s="1298"/>
    </row>
    <row r="157" spans="1:4">
      <c r="A157" s="12"/>
      <c r="D157" s="13"/>
    </row>
    <row r="158" spans="1:4">
      <c r="A158" s="1293" t="s">
        <v>318</v>
      </c>
      <c r="B158" s="1294"/>
      <c r="C158" s="1294"/>
      <c r="D158" s="1295"/>
    </row>
    <row r="159" spans="1:4" ht="42.75">
      <c r="A159" s="233" t="s">
        <v>319</v>
      </c>
      <c r="B159" s="234" t="s">
        <v>320</v>
      </c>
      <c r="C159" s="234" t="s">
        <v>321</v>
      </c>
      <c r="D159" s="235" t="s">
        <v>322</v>
      </c>
    </row>
    <row r="160" spans="1:4">
      <c r="A160" s="236">
        <v>1</v>
      </c>
      <c r="B160" s="237">
        <v>2</v>
      </c>
      <c r="C160" s="237">
        <v>3</v>
      </c>
      <c r="D160" s="238">
        <v>4</v>
      </c>
    </row>
    <row r="161" spans="1:4">
      <c r="A161" s="272" t="e">
        <f>'0422Master'!#REF!</f>
        <v>#REF!</v>
      </c>
      <c r="B161" s="10" t="s">
        <v>364</v>
      </c>
      <c r="C161" s="10" t="s">
        <v>371</v>
      </c>
      <c r="D161" s="270">
        <v>1</v>
      </c>
    </row>
    <row r="162" spans="1:4">
      <c r="A162" s="254"/>
      <c r="B162" s="10"/>
      <c r="C162" s="10"/>
      <c r="D162" s="239"/>
    </row>
    <row r="163" spans="1:4">
      <c r="A163" s="251"/>
      <c r="B163" s="10"/>
      <c r="C163" s="10"/>
      <c r="D163" s="239"/>
    </row>
    <row r="164" spans="1:4">
      <c r="A164" s="12"/>
      <c r="D164" s="13"/>
    </row>
    <row r="165" spans="1:4">
      <c r="A165" s="1293" t="s">
        <v>323</v>
      </c>
      <c r="B165" s="1294"/>
      <c r="C165" s="1294"/>
      <c r="D165" s="1295"/>
    </row>
    <row r="166" spans="1:4">
      <c r="A166" s="142"/>
      <c r="B166" s="5"/>
      <c r="C166" s="5"/>
      <c r="D166" s="143"/>
    </row>
    <row r="167" spans="1:4">
      <c r="A167" s="1299" t="s">
        <v>324</v>
      </c>
      <c r="B167" s="1300"/>
      <c r="C167" s="1314" t="e">
        <f>'0422Master'!#REF!</f>
        <v>#REF!</v>
      </c>
      <c r="D167" s="1301"/>
    </row>
    <row r="168" spans="1:4">
      <c r="A168" s="1299" t="s">
        <v>325</v>
      </c>
      <c r="B168" s="1300"/>
      <c r="C168" s="1162" t="e">
        <f>'0422Master'!#REF!</f>
        <v>#REF!</v>
      </c>
      <c r="D168" s="1301"/>
    </row>
    <row r="169" spans="1:4">
      <c r="A169" s="1299" t="s">
        <v>326</v>
      </c>
      <c r="B169" s="1300"/>
      <c r="C169" s="1162" t="s">
        <v>373</v>
      </c>
      <c r="D169" s="1301"/>
    </row>
    <row r="170" spans="1:4">
      <c r="A170" s="1299" t="s">
        <v>327</v>
      </c>
      <c r="B170" s="1300"/>
      <c r="C170" s="1162" t="s">
        <v>370</v>
      </c>
      <c r="D170" s="1301"/>
    </row>
    <row r="171" spans="1:4">
      <c r="A171" s="1299" t="s">
        <v>328</v>
      </c>
      <c r="B171" s="1300"/>
      <c r="C171" s="1314" t="e">
        <f>'0422Master'!#REF!</f>
        <v>#REF!</v>
      </c>
      <c r="D171" s="1301"/>
    </row>
    <row r="172" spans="1:4">
      <c r="A172" s="1299" t="s">
        <v>329</v>
      </c>
      <c r="B172" s="1300"/>
      <c r="C172" s="1314" t="e">
        <f>'0422Master'!#REF!</f>
        <v>#REF!</v>
      </c>
      <c r="D172" s="1301"/>
    </row>
    <row r="173" spans="1:4">
      <c r="A173" s="1299" t="s">
        <v>330</v>
      </c>
      <c r="B173" s="1300"/>
      <c r="C173" s="1315" t="e">
        <f>'0422Master'!#REF!</f>
        <v>#REF!</v>
      </c>
      <c r="D173" s="1301"/>
    </row>
    <row r="174" spans="1:4">
      <c r="A174" s="1299" t="s">
        <v>331</v>
      </c>
      <c r="B174" s="1300"/>
      <c r="C174" s="1162"/>
      <c r="D174" s="1301"/>
    </row>
    <row r="175" spans="1:4">
      <c r="A175" s="1299"/>
      <c r="B175" s="1300"/>
      <c r="C175" s="1314" t="e">
        <f>'0422Master'!#REF!</f>
        <v>#REF!</v>
      </c>
      <c r="D175" s="1301"/>
    </row>
    <row r="176" spans="1:4">
      <c r="A176" s="1299"/>
      <c r="B176" s="1300"/>
      <c r="C176" s="1314" t="e">
        <f>'0422Master'!#REF!</f>
        <v>#REF!</v>
      </c>
      <c r="D176" s="1301"/>
    </row>
    <row r="177" spans="1:4">
      <c r="A177" s="1299"/>
      <c r="B177" s="1300"/>
      <c r="C177" s="1314" t="e">
        <f>'0422Master'!#REF!</f>
        <v>#REF!</v>
      </c>
      <c r="D177" s="1301"/>
    </row>
    <row r="178" spans="1:4">
      <c r="A178" s="226" t="s">
        <v>273</v>
      </c>
      <c r="B178" s="231" t="s">
        <v>362</v>
      </c>
      <c r="C178" s="231"/>
      <c r="D178" s="232"/>
    </row>
    <row r="179" spans="1:4">
      <c r="A179" s="226" t="s">
        <v>332</v>
      </c>
      <c r="B179" s="271" t="e">
        <f>'0422Master'!#REF!</f>
        <v>#REF!</v>
      </c>
      <c r="C179" s="240" t="s">
        <v>333</v>
      </c>
      <c r="D179" s="232"/>
    </row>
    <row r="180" spans="1:4">
      <c r="A180" s="226"/>
      <c r="B180" s="231"/>
      <c r="C180" s="231"/>
      <c r="D180" s="232"/>
    </row>
    <row r="181" spans="1:4">
      <c r="A181" s="1293" t="s">
        <v>334</v>
      </c>
      <c r="B181" s="1294"/>
      <c r="C181" s="1294"/>
      <c r="D181" s="1295"/>
    </row>
    <row r="182" spans="1:4">
      <c r="A182" s="226" t="s">
        <v>335</v>
      </c>
      <c r="B182" s="231"/>
      <c r="C182" s="231"/>
      <c r="D182" s="232"/>
    </row>
    <row r="183" spans="1:4">
      <c r="A183" s="226"/>
      <c r="B183" s="231"/>
      <c r="C183" s="231"/>
      <c r="D183" s="232"/>
    </row>
    <row r="184" spans="1:4">
      <c r="A184" s="1296" t="s">
        <v>336</v>
      </c>
      <c r="B184" s="1297"/>
      <c r="C184" s="1297" t="s">
        <v>337</v>
      </c>
      <c r="D184" s="1298"/>
    </row>
    <row r="185" spans="1:4">
      <c r="A185" s="1283">
        <v>1</v>
      </c>
      <c r="B185" s="1284"/>
      <c r="C185" s="1284">
        <v>1</v>
      </c>
      <c r="D185" s="1285"/>
    </row>
    <row r="186" spans="1:4">
      <c r="A186" s="1283">
        <v>2</v>
      </c>
      <c r="B186" s="1284"/>
      <c r="C186" s="1284">
        <v>2</v>
      </c>
      <c r="D186" s="1285"/>
    </row>
    <row r="187" spans="1:4">
      <c r="A187" s="241"/>
      <c r="C187" s="1286" t="s">
        <v>342</v>
      </c>
      <c r="D187" s="1287"/>
    </row>
    <row r="188" spans="1:4">
      <c r="A188" s="1288" t="s">
        <v>338</v>
      </c>
      <c r="B188" s="1289"/>
      <c r="C188" s="1289"/>
      <c r="D188" s="1290"/>
    </row>
    <row r="189" spans="1:4">
      <c r="A189" s="244" t="s">
        <v>339</v>
      </c>
      <c r="B189" s="245"/>
      <c r="C189" s="245"/>
      <c r="D189" s="246"/>
    </row>
    <row r="190" spans="1:4">
      <c r="A190" s="244"/>
      <c r="B190" s="245"/>
      <c r="C190" s="245"/>
      <c r="D190" s="246"/>
    </row>
    <row r="191" spans="1:4">
      <c r="A191" s="244"/>
      <c r="B191" s="245"/>
      <c r="C191" s="245" t="s">
        <v>340</v>
      </c>
      <c r="D191" s="246"/>
    </row>
    <row r="192" spans="1:4">
      <c r="A192" s="241"/>
      <c r="B192" s="242"/>
      <c r="C192" s="141" t="s">
        <v>144</v>
      </c>
      <c r="D192" s="243"/>
    </row>
    <row r="193" spans="1:4">
      <c r="A193" s="241"/>
      <c r="C193" t="s">
        <v>341</v>
      </c>
      <c r="D193" s="247"/>
    </row>
    <row r="194" spans="1:4">
      <c r="A194" s="241"/>
      <c r="C194" s="1291" t="str">
        <f>'0422Master'!F5</f>
        <v>Burgeon IT Services Pvt.Ltd.</v>
      </c>
      <c r="D194" s="1292"/>
    </row>
    <row r="195" spans="1:4">
      <c r="A195" s="226" t="s">
        <v>273</v>
      </c>
      <c r="B195" t="str">
        <f>B178</f>
        <v>Hyderabad</v>
      </c>
      <c r="C195" s="2" t="str">
        <f>'0422Master'!F6</f>
        <v>Siri Mansion LIGB 436 Dr.A S Rao Nagar,Hyderabad</v>
      </c>
      <c r="D195" s="13"/>
    </row>
    <row r="196" spans="1:4" ht="15.75" thickBot="1">
      <c r="A196" s="226" t="s">
        <v>332</v>
      </c>
      <c r="B196" s="263" t="e">
        <f>B179</f>
        <v>#REF!</v>
      </c>
      <c r="C196" s="2"/>
      <c r="D196" s="13"/>
    </row>
    <row r="197" spans="1:4" ht="15.75" thickBot="1">
      <c r="A197" s="252"/>
      <c r="B197" s="253" t="s">
        <v>345</v>
      </c>
      <c r="C197" s="253"/>
      <c r="D197" s="28"/>
    </row>
    <row r="198" spans="1:4">
      <c r="A198" s="226" t="s">
        <v>343</v>
      </c>
      <c r="C198" s="2"/>
      <c r="D198" s="13"/>
    </row>
    <row r="199" spans="1:4">
      <c r="A199" s="226" t="s">
        <v>332</v>
      </c>
      <c r="B199" s="263" t="e">
        <f>B196</f>
        <v>#REF!</v>
      </c>
      <c r="C199" s="2"/>
      <c r="D199" s="13"/>
    </row>
    <row r="200" spans="1:4" ht="15.75" thickBot="1">
      <c r="A200" s="255" t="s">
        <v>344</v>
      </c>
      <c r="B200" s="22"/>
      <c r="C200" s="22"/>
      <c r="D200" s="23" t="s">
        <v>135</v>
      </c>
    </row>
    <row r="204" spans="1:4" ht="15.75" thickBot="1"/>
    <row r="205" spans="1:4" ht="20.25">
      <c r="A205" s="1305" t="s">
        <v>307</v>
      </c>
      <c r="B205" s="1306"/>
      <c r="C205" s="1306"/>
      <c r="D205" s="1307"/>
    </row>
    <row r="206" spans="1:4">
      <c r="A206" s="1308" t="s">
        <v>308</v>
      </c>
      <c r="B206" s="1309"/>
      <c r="C206" s="1309"/>
      <c r="D206" s="1310"/>
    </row>
    <row r="207" spans="1:4" ht="18">
      <c r="A207" s="1311" t="s">
        <v>309</v>
      </c>
      <c r="B207" s="1312"/>
      <c r="C207" s="1312"/>
      <c r="D207" s="1313"/>
    </row>
    <row r="208" spans="1:4">
      <c r="A208" s="12" t="s">
        <v>134</v>
      </c>
      <c r="D208" s="13"/>
    </row>
    <row r="209" spans="1:4" ht="18">
      <c r="A209" s="248" t="str">
        <f>'0422Master'!F5</f>
        <v>Burgeon IT Services Pvt.Ltd.</v>
      </c>
      <c r="B209" s="225"/>
      <c r="D209" s="13"/>
    </row>
    <row r="210" spans="1:4" ht="18">
      <c r="A210" s="248" t="str">
        <f>'0422Master'!F6</f>
        <v>Siri Mansion LIGB 436 Dr.A S Rao Nagar,Hyderabad</v>
      </c>
      <c r="B210" s="225"/>
      <c r="D210" s="13"/>
    </row>
    <row r="211" spans="1:4" ht="18">
      <c r="A211" s="227"/>
      <c r="B211" s="4"/>
      <c r="D211" s="13"/>
    </row>
    <row r="212" spans="1:4" ht="15.75">
      <c r="A212" s="226" t="s">
        <v>310</v>
      </c>
      <c r="B212" s="249"/>
      <c r="C212" s="250" t="e">
        <f>'0422Master'!#REF!</f>
        <v>#REF!</v>
      </c>
      <c r="D212" s="80"/>
    </row>
    <row r="213" spans="1:4">
      <c r="A213" s="1302" t="s">
        <v>311</v>
      </c>
      <c r="B213" s="1303"/>
      <c r="C213" s="1303"/>
      <c r="D213" s="1304"/>
    </row>
    <row r="214" spans="1:4">
      <c r="A214" s="12"/>
      <c r="D214" s="13"/>
    </row>
    <row r="215" spans="1:4">
      <c r="A215" s="1302" t="s">
        <v>312</v>
      </c>
      <c r="B215" s="1303"/>
      <c r="C215" s="1303"/>
      <c r="D215" s="1304"/>
    </row>
    <row r="216" spans="1:4">
      <c r="A216" s="228"/>
      <c r="B216" s="229"/>
      <c r="C216" s="229"/>
      <c r="D216" s="230"/>
    </row>
    <row r="217" spans="1:4">
      <c r="A217" s="1296" t="s">
        <v>313</v>
      </c>
      <c r="B217" s="1297"/>
      <c r="C217" s="1297"/>
      <c r="D217" s="1298"/>
    </row>
    <row r="218" spans="1:4">
      <c r="A218" s="12"/>
      <c r="D218" s="13"/>
    </row>
    <row r="219" spans="1:4">
      <c r="A219" s="1296" t="s">
        <v>314</v>
      </c>
      <c r="B219" s="1297"/>
      <c r="C219" s="1297"/>
      <c r="D219" s="1298"/>
    </row>
    <row r="220" spans="1:4">
      <c r="A220" s="1296" t="s">
        <v>315</v>
      </c>
      <c r="B220" s="1297"/>
      <c r="C220" s="1297"/>
      <c r="D220" s="1298"/>
    </row>
    <row r="221" spans="1:4">
      <c r="A221" s="226"/>
      <c r="B221" s="231"/>
      <c r="C221" s="231"/>
      <c r="D221" s="232"/>
    </row>
    <row r="222" spans="1:4">
      <c r="A222" s="1302" t="s">
        <v>316</v>
      </c>
      <c r="B222" s="1303"/>
      <c r="C222" s="1303"/>
      <c r="D222" s="1304"/>
    </row>
    <row r="223" spans="1:4">
      <c r="A223" s="226"/>
      <c r="B223" s="231"/>
      <c r="C223" s="231"/>
      <c r="D223" s="232"/>
    </row>
    <row r="224" spans="1:4">
      <c r="A224" s="1296" t="s">
        <v>317</v>
      </c>
      <c r="B224" s="1297"/>
      <c r="C224" s="1297"/>
      <c r="D224" s="1298"/>
    </row>
    <row r="225" spans="1:4">
      <c r="A225" s="12"/>
      <c r="D225" s="13"/>
    </row>
    <row r="226" spans="1:4">
      <c r="A226" s="1293" t="s">
        <v>318</v>
      </c>
      <c r="B226" s="1294"/>
      <c r="C226" s="1294"/>
      <c r="D226" s="1295"/>
    </row>
    <row r="227" spans="1:4" ht="42.75">
      <c r="A227" s="233" t="s">
        <v>319</v>
      </c>
      <c r="B227" s="234" t="s">
        <v>320</v>
      </c>
      <c r="C227" s="234" t="s">
        <v>321</v>
      </c>
      <c r="D227" s="235" t="s">
        <v>322</v>
      </c>
    </row>
    <row r="228" spans="1:4">
      <c r="A228" s="236">
        <v>1</v>
      </c>
      <c r="B228" s="237">
        <v>2</v>
      </c>
      <c r="C228" s="237">
        <v>3</v>
      </c>
      <c r="D228" s="238">
        <v>4</v>
      </c>
    </row>
    <row r="229" spans="1:4">
      <c r="A229" s="12" t="e">
        <f>'0422Master'!#REF!</f>
        <v>#REF!</v>
      </c>
      <c r="B229" s="10" t="s">
        <v>364</v>
      </c>
      <c r="C229" s="10" t="s">
        <v>371</v>
      </c>
      <c r="D229" s="270">
        <v>1</v>
      </c>
    </row>
    <row r="230" spans="1:4">
      <c r="A230" s="254"/>
      <c r="B230" s="10"/>
      <c r="C230" s="10"/>
      <c r="D230" s="239"/>
    </row>
    <row r="231" spans="1:4">
      <c r="A231" s="251"/>
      <c r="B231" s="10"/>
      <c r="C231" s="10"/>
      <c r="D231" s="239"/>
    </row>
    <row r="232" spans="1:4">
      <c r="A232" s="12"/>
      <c r="D232" s="13"/>
    </row>
    <row r="233" spans="1:4">
      <c r="A233" s="1293" t="s">
        <v>323</v>
      </c>
      <c r="B233" s="1294"/>
      <c r="C233" s="1294"/>
      <c r="D233" s="1295"/>
    </row>
    <row r="234" spans="1:4">
      <c r="A234" s="142"/>
      <c r="B234" s="5"/>
      <c r="C234" s="5"/>
      <c r="D234" s="143"/>
    </row>
    <row r="235" spans="1:4">
      <c r="A235" s="1299" t="s">
        <v>324</v>
      </c>
      <c r="B235" s="1300"/>
      <c r="C235" s="1314" t="e">
        <f>'0422Master'!#REF!</f>
        <v>#REF!</v>
      </c>
      <c r="D235" s="1301"/>
    </row>
    <row r="236" spans="1:4">
      <c r="A236" s="1299" t="s">
        <v>325</v>
      </c>
      <c r="B236" s="1300"/>
      <c r="C236" s="1162" t="e">
        <f>'0422Master'!#REF!</f>
        <v>#REF!</v>
      </c>
      <c r="D236" s="1301"/>
    </row>
    <row r="237" spans="1:4">
      <c r="A237" s="1299" t="s">
        <v>326</v>
      </c>
      <c r="B237" s="1300"/>
      <c r="C237" s="1162" t="s">
        <v>372</v>
      </c>
      <c r="D237" s="1301"/>
    </row>
    <row r="238" spans="1:4">
      <c r="A238" s="1299" t="s">
        <v>327</v>
      </c>
      <c r="B238" s="1300"/>
      <c r="C238" s="1162" t="s">
        <v>370</v>
      </c>
      <c r="D238" s="1301"/>
    </row>
    <row r="239" spans="1:4">
      <c r="A239" s="1299" t="s">
        <v>328</v>
      </c>
      <c r="B239" s="1300"/>
      <c r="C239" s="1314" t="e">
        <f>'0422Master'!#REF!</f>
        <v>#REF!</v>
      </c>
      <c r="D239" s="1301"/>
    </row>
    <row r="240" spans="1:4">
      <c r="A240" s="1299" t="s">
        <v>329</v>
      </c>
      <c r="B240" s="1300"/>
      <c r="C240" s="1314" t="e">
        <f>'0422Master'!#REF!</f>
        <v>#REF!</v>
      </c>
      <c r="D240" s="1301"/>
    </row>
    <row r="241" spans="1:4">
      <c r="A241" s="1299" t="s">
        <v>330</v>
      </c>
      <c r="B241" s="1300"/>
      <c r="C241" s="1315" t="e">
        <f>'0422Master'!#REF!</f>
        <v>#REF!</v>
      </c>
      <c r="D241" s="1301"/>
    </row>
    <row r="242" spans="1:4">
      <c r="A242" s="1299" t="s">
        <v>331</v>
      </c>
      <c r="B242" s="1300"/>
      <c r="C242" s="1162"/>
      <c r="D242" s="1301"/>
    </row>
    <row r="243" spans="1:4">
      <c r="A243" s="1299"/>
      <c r="B243" s="1300"/>
      <c r="C243" s="1314" t="e">
        <f>'0422Master'!#REF!</f>
        <v>#REF!</v>
      </c>
      <c r="D243" s="1301"/>
    </row>
    <row r="244" spans="1:4">
      <c r="A244" s="1299"/>
      <c r="B244" s="1300"/>
      <c r="C244" s="1314" t="e">
        <f>'0422Master'!#REF!</f>
        <v>#REF!</v>
      </c>
      <c r="D244" s="1301"/>
    </row>
    <row r="245" spans="1:4">
      <c r="A245" s="1299"/>
      <c r="B245" s="1300"/>
      <c r="C245" s="1314" t="e">
        <f>'0422Master'!#REF!</f>
        <v>#REF!</v>
      </c>
      <c r="D245" s="1301"/>
    </row>
    <row r="246" spans="1:4">
      <c r="A246" s="226" t="s">
        <v>273</v>
      </c>
      <c r="B246" s="231" t="s">
        <v>362</v>
      </c>
      <c r="C246" s="231"/>
      <c r="D246" s="232"/>
    </row>
    <row r="247" spans="1:4">
      <c r="A247" s="226" t="s">
        <v>332</v>
      </c>
      <c r="B247" s="271" t="e">
        <f>'0422Master'!#REF!</f>
        <v>#REF!</v>
      </c>
      <c r="C247" s="240" t="s">
        <v>333</v>
      </c>
      <c r="D247" s="232"/>
    </row>
    <row r="248" spans="1:4">
      <c r="A248" s="226"/>
      <c r="B248" s="231"/>
      <c r="C248" s="231"/>
      <c r="D248" s="232"/>
    </row>
    <row r="249" spans="1:4">
      <c r="A249" s="1293" t="s">
        <v>334</v>
      </c>
      <c r="B249" s="1294"/>
      <c r="C249" s="1294"/>
      <c r="D249" s="1295"/>
    </row>
    <row r="250" spans="1:4">
      <c r="A250" s="226" t="s">
        <v>335</v>
      </c>
      <c r="B250" s="231"/>
      <c r="C250" s="231"/>
      <c r="D250" s="232"/>
    </row>
    <row r="251" spans="1:4">
      <c r="A251" s="226"/>
      <c r="B251" s="231"/>
      <c r="C251" s="231"/>
      <c r="D251" s="232"/>
    </row>
    <row r="252" spans="1:4">
      <c r="A252" s="1296" t="s">
        <v>336</v>
      </c>
      <c r="B252" s="1297"/>
      <c r="C252" s="1297" t="s">
        <v>337</v>
      </c>
      <c r="D252" s="1298"/>
    </row>
    <row r="253" spans="1:4">
      <c r="A253" s="1283">
        <v>1</v>
      </c>
      <c r="B253" s="1284"/>
      <c r="C253" s="1284">
        <v>1</v>
      </c>
      <c r="D253" s="1285"/>
    </row>
    <row r="254" spans="1:4">
      <c r="A254" s="1283">
        <v>2</v>
      </c>
      <c r="B254" s="1284"/>
      <c r="C254" s="1284">
        <v>2</v>
      </c>
      <c r="D254" s="1285"/>
    </row>
    <row r="255" spans="1:4">
      <c r="A255" s="241"/>
      <c r="C255" s="1286" t="s">
        <v>342</v>
      </c>
      <c r="D255" s="1287"/>
    </row>
    <row r="256" spans="1:4">
      <c r="A256" s="1288" t="s">
        <v>338</v>
      </c>
      <c r="B256" s="1289"/>
      <c r="C256" s="1289"/>
      <c r="D256" s="1290"/>
    </row>
    <row r="257" spans="1:4">
      <c r="A257" s="244" t="s">
        <v>339</v>
      </c>
      <c r="B257" s="245"/>
      <c r="C257" s="245"/>
      <c r="D257" s="246"/>
    </row>
    <row r="258" spans="1:4">
      <c r="A258" s="244"/>
      <c r="B258" s="245"/>
      <c r="C258" s="245"/>
      <c r="D258" s="246"/>
    </row>
    <row r="259" spans="1:4">
      <c r="A259" s="244"/>
      <c r="B259" s="245"/>
      <c r="C259" s="245" t="s">
        <v>340</v>
      </c>
      <c r="D259" s="246"/>
    </row>
    <row r="260" spans="1:4">
      <c r="A260" s="241"/>
      <c r="B260" s="242"/>
      <c r="C260" s="141" t="s">
        <v>144</v>
      </c>
      <c r="D260" s="243"/>
    </row>
    <row r="261" spans="1:4">
      <c r="A261" s="241"/>
      <c r="C261" t="s">
        <v>341</v>
      </c>
      <c r="D261" s="247"/>
    </row>
    <row r="262" spans="1:4">
      <c r="A262" s="241"/>
      <c r="C262" s="1291" t="str">
        <f>'0422Master'!F5</f>
        <v>Burgeon IT Services Pvt.Ltd.</v>
      </c>
      <c r="D262" s="1292"/>
    </row>
    <row r="263" spans="1:4">
      <c r="A263" s="226" t="s">
        <v>273</v>
      </c>
      <c r="B263" t="str">
        <f>B246</f>
        <v>Hyderabad</v>
      </c>
      <c r="C263" s="2" t="str">
        <f>'0422Master'!F6</f>
        <v>Siri Mansion LIGB 436 Dr.A S Rao Nagar,Hyderabad</v>
      </c>
      <c r="D263" s="13"/>
    </row>
    <row r="264" spans="1:4" ht="15.75" thickBot="1">
      <c r="A264" s="226" t="s">
        <v>332</v>
      </c>
      <c r="B264" s="263" t="e">
        <f>B247</f>
        <v>#REF!</v>
      </c>
      <c r="C264" s="2"/>
      <c r="D264" s="13"/>
    </row>
    <row r="265" spans="1:4" ht="15.75" thickBot="1">
      <c r="A265" s="252"/>
      <c r="B265" s="253" t="s">
        <v>345</v>
      </c>
      <c r="C265" s="253"/>
      <c r="D265" s="28"/>
    </row>
    <row r="266" spans="1:4">
      <c r="A266" s="226" t="s">
        <v>343</v>
      </c>
      <c r="C266" s="2"/>
      <c r="D266" s="13"/>
    </row>
    <row r="267" spans="1:4">
      <c r="A267" s="226" t="s">
        <v>332</v>
      </c>
      <c r="B267" s="263" t="e">
        <f>B264</f>
        <v>#REF!</v>
      </c>
      <c r="C267" s="2"/>
      <c r="D267" s="13"/>
    </row>
    <row r="268" spans="1:4" ht="15.75" thickBot="1">
      <c r="A268" s="255" t="s">
        <v>344</v>
      </c>
      <c r="B268" s="22"/>
      <c r="C268" s="22"/>
      <c r="D268" s="23" t="s">
        <v>135</v>
      </c>
    </row>
    <row r="272" spans="1:4" ht="15.75" thickBot="1"/>
    <row r="273" spans="1:4" ht="20.25">
      <c r="A273" s="1305" t="s">
        <v>307</v>
      </c>
      <c r="B273" s="1306"/>
      <c r="C273" s="1306"/>
      <c r="D273" s="1307"/>
    </row>
    <row r="274" spans="1:4">
      <c r="A274" s="1308" t="s">
        <v>308</v>
      </c>
      <c r="B274" s="1309"/>
      <c r="C274" s="1309"/>
      <c r="D274" s="1310"/>
    </row>
    <row r="275" spans="1:4" ht="18">
      <c r="A275" s="1311" t="s">
        <v>309</v>
      </c>
      <c r="B275" s="1312"/>
      <c r="C275" s="1312"/>
      <c r="D275" s="1313"/>
    </row>
    <row r="276" spans="1:4">
      <c r="A276" s="12" t="s">
        <v>134</v>
      </c>
      <c r="D276" s="13"/>
    </row>
    <row r="277" spans="1:4" ht="18">
      <c r="A277" s="248" t="str">
        <f>'0422Master'!F5</f>
        <v>Burgeon IT Services Pvt.Ltd.</v>
      </c>
      <c r="B277" s="225"/>
      <c r="D277" s="13"/>
    </row>
    <row r="278" spans="1:4" ht="18">
      <c r="A278" s="248" t="str">
        <f>'0422Master'!F6</f>
        <v>Siri Mansion LIGB 436 Dr.A S Rao Nagar,Hyderabad</v>
      </c>
      <c r="B278" s="225"/>
      <c r="D278" s="13"/>
    </row>
    <row r="279" spans="1:4" ht="18">
      <c r="A279" s="227"/>
      <c r="B279" s="4"/>
      <c r="D279" s="13"/>
    </row>
    <row r="280" spans="1:4" ht="15.75">
      <c r="A280" s="226" t="s">
        <v>310</v>
      </c>
      <c r="B280" s="249"/>
      <c r="C280" s="250" t="e">
        <f>'0422Master'!#REF!</f>
        <v>#REF!</v>
      </c>
      <c r="D280" s="80"/>
    </row>
    <row r="281" spans="1:4">
      <c r="A281" s="1302" t="s">
        <v>311</v>
      </c>
      <c r="B281" s="1303"/>
      <c r="C281" s="1303"/>
      <c r="D281" s="1304"/>
    </row>
    <row r="282" spans="1:4">
      <c r="A282" s="12"/>
      <c r="D282" s="13"/>
    </row>
    <row r="283" spans="1:4">
      <c r="A283" s="1302" t="s">
        <v>312</v>
      </c>
      <c r="B283" s="1303"/>
      <c r="C283" s="1303"/>
      <c r="D283" s="1304"/>
    </row>
    <row r="284" spans="1:4">
      <c r="A284" s="228"/>
      <c r="B284" s="229"/>
      <c r="C284" s="229"/>
      <c r="D284" s="230"/>
    </row>
    <row r="285" spans="1:4">
      <c r="A285" s="1296" t="s">
        <v>313</v>
      </c>
      <c r="B285" s="1297"/>
      <c r="C285" s="1297"/>
      <c r="D285" s="1298"/>
    </row>
    <row r="286" spans="1:4">
      <c r="A286" s="12"/>
      <c r="D286" s="13"/>
    </row>
    <row r="287" spans="1:4">
      <c r="A287" s="1296" t="s">
        <v>314</v>
      </c>
      <c r="B287" s="1297"/>
      <c r="C287" s="1297"/>
      <c r="D287" s="1298"/>
    </row>
    <row r="288" spans="1:4">
      <c r="A288" s="1296" t="s">
        <v>315</v>
      </c>
      <c r="B288" s="1297"/>
      <c r="C288" s="1297"/>
      <c r="D288" s="1298"/>
    </row>
    <row r="289" spans="1:4">
      <c r="A289" s="226"/>
      <c r="B289" s="231"/>
      <c r="C289" s="231"/>
      <c r="D289" s="232"/>
    </row>
    <row r="290" spans="1:4">
      <c r="A290" s="1302" t="s">
        <v>316</v>
      </c>
      <c r="B290" s="1303"/>
      <c r="C290" s="1303"/>
      <c r="D290" s="1304"/>
    </row>
    <row r="291" spans="1:4">
      <c r="A291" s="226"/>
      <c r="B291" s="231"/>
      <c r="C291" s="231"/>
      <c r="D291" s="232"/>
    </row>
    <row r="292" spans="1:4">
      <c r="A292" s="1296" t="s">
        <v>317</v>
      </c>
      <c r="B292" s="1297"/>
      <c r="C292" s="1297"/>
      <c r="D292" s="1298"/>
    </row>
    <row r="293" spans="1:4">
      <c r="A293" s="12"/>
      <c r="D293" s="13"/>
    </row>
    <row r="294" spans="1:4">
      <c r="A294" s="1293" t="s">
        <v>318</v>
      </c>
      <c r="B294" s="1294"/>
      <c r="C294" s="1294"/>
      <c r="D294" s="1295"/>
    </row>
    <row r="295" spans="1:4" ht="42.75">
      <c r="A295" s="233" t="s">
        <v>319</v>
      </c>
      <c r="B295" s="234" t="s">
        <v>320</v>
      </c>
      <c r="C295" s="234" t="s">
        <v>321</v>
      </c>
      <c r="D295" s="235" t="s">
        <v>322</v>
      </c>
    </row>
    <row r="296" spans="1:4">
      <c r="A296" s="236">
        <v>1</v>
      </c>
      <c r="B296" s="237">
        <v>2</v>
      </c>
      <c r="C296" s="237">
        <v>3</v>
      </c>
      <c r="D296" s="238">
        <v>4</v>
      </c>
    </row>
    <row r="297" spans="1:4">
      <c r="A297" s="12" t="e">
        <f>'0422Master'!#REF!</f>
        <v>#REF!</v>
      </c>
      <c r="B297" s="10" t="s">
        <v>364</v>
      </c>
      <c r="C297" s="10" t="s">
        <v>371</v>
      </c>
      <c r="D297" s="270">
        <v>1</v>
      </c>
    </row>
    <row r="298" spans="1:4">
      <c r="A298" s="254"/>
      <c r="B298" s="10"/>
      <c r="C298" s="10"/>
      <c r="D298" s="239"/>
    </row>
    <row r="299" spans="1:4">
      <c r="A299" s="251"/>
      <c r="B299" s="10"/>
      <c r="C299" s="10"/>
      <c r="D299" s="239"/>
    </row>
    <row r="300" spans="1:4">
      <c r="A300" s="12"/>
      <c r="D300" s="13"/>
    </row>
    <row r="301" spans="1:4">
      <c r="A301" s="1293" t="s">
        <v>323</v>
      </c>
      <c r="B301" s="1294"/>
      <c r="C301" s="1294"/>
      <c r="D301" s="1295"/>
    </row>
    <row r="302" spans="1:4">
      <c r="A302" s="142"/>
      <c r="B302" s="5"/>
      <c r="C302" s="5"/>
      <c r="D302" s="143"/>
    </row>
    <row r="303" spans="1:4">
      <c r="A303" s="1299" t="s">
        <v>324</v>
      </c>
      <c r="B303" s="1300"/>
      <c r="C303" s="1314" t="e">
        <f>'0422Master'!#REF!</f>
        <v>#REF!</v>
      </c>
      <c r="D303" s="1301"/>
    </row>
    <row r="304" spans="1:4">
      <c r="A304" s="1299" t="s">
        <v>325</v>
      </c>
      <c r="B304" s="1300"/>
      <c r="C304" s="1162" t="e">
        <f>'0422Master'!#REF!</f>
        <v>#REF!</v>
      </c>
      <c r="D304" s="1301"/>
    </row>
    <row r="305" spans="1:4">
      <c r="A305" s="1299" t="s">
        <v>326</v>
      </c>
      <c r="B305" s="1300"/>
      <c r="C305" s="1162" t="s">
        <v>372</v>
      </c>
      <c r="D305" s="1301"/>
    </row>
    <row r="306" spans="1:4">
      <c r="A306" s="1299" t="s">
        <v>327</v>
      </c>
      <c r="B306" s="1300"/>
      <c r="C306" s="1162" t="s">
        <v>370</v>
      </c>
      <c r="D306" s="1301"/>
    </row>
    <row r="307" spans="1:4">
      <c r="A307" s="1299" t="s">
        <v>328</v>
      </c>
      <c r="B307" s="1300"/>
      <c r="C307" s="1314" t="e">
        <f>'0422Master'!#REF!</f>
        <v>#REF!</v>
      </c>
      <c r="D307" s="1301"/>
    </row>
    <row r="308" spans="1:4">
      <c r="A308" s="1299" t="s">
        <v>329</v>
      </c>
      <c r="B308" s="1300"/>
      <c r="C308" s="1314" t="e">
        <f>'0422Master'!#REF!</f>
        <v>#REF!</v>
      </c>
      <c r="D308" s="1301"/>
    </row>
    <row r="309" spans="1:4">
      <c r="A309" s="1299" t="s">
        <v>330</v>
      </c>
      <c r="B309" s="1300"/>
      <c r="C309" s="1315" t="e">
        <f>'0422Master'!#REF!</f>
        <v>#REF!</v>
      </c>
      <c r="D309" s="1301"/>
    </row>
    <row r="310" spans="1:4">
      <c r="A310" s="1299" t="s">
        <v>331</v>
      </c>
      <c r="B310" s="1300"/>
      <c r="C310" s="1162"/>
      <c r="D310" s="1301"/>
    </row>
    <row r="311" spans="1:4">
      <c r="A311" s="1299"/>
      <c r="B311" s="1300"/>
      <c r="C311" s="1314" t="e">
        <f>'0422Master'!#REF!</f>
        <v>#REF!</v>
      </c>
      <c r="D311" s="1301"/>
    </row>
    <row r="312" spans="1:4">
      <c r="A312" s="1299"/>
      <c r="B312" s="1300"/>
      <c r="C312" s="1314" t="e">
        <f>'0422Master'!#REF!</f>
        <v>#REF!</v>
      </c>
      <c r="D312" s="1301"/>
    </row>
    <row r="313" spans="1:4">
      <c r="A313" s="1299"/>
      <c r="B313" s="1300"/>
      <c r="C313" s="1314" t="e">
        <f>'0422Master'!#REF!</f>
        <v>#REF!</v>
      </c>
      <c r="D313" s="1301"/>
    </row>
    <row r="314" spans="1:4">
      <c r="A314" s="226" t="s">
        <v>273</v>
      </c>
      <c r="B314" s="231" t="s">
        <v>362</v>
      </c>
      <c r="C314" s="231"/>
      <c r="D314" s="232"/>
    </row>
    <row r="315" spans="1:4">
      <c r="A315" s="226" t="s">
        <v>332</v>
      </c>
      <c r="B315" s="271" t="e">
        <f>'0422Master'!#REF!</f>
        <v>#REF!</v>
      </c>
      <c r="C315" s="240" t="s">
        <v>333</v>
      </c>
      <c r="D315" s="232"/>
    </row>
    <row r="316" spans="1:4">
      <c r="A316" s="226"/>
      <c r="B316" s="231"/>
      <c r="C316" s="231"/>
      <c r="D316" s="232"/>
    </row>
    <row r="317" spans="1:4">
      <c r="A317" s="1293" t="s">
        <v>334</v>
      </c>
      <c r="B317" s="1294"/>
      <c r="C317" s="1294"/>
      <c r="D317" s="1295"/>
    </row>
    <row r="318" spans="1:4">
      <c r="A318" s="226" t="s">
        <v>335</v>
      </c>
      <c r="B318" s="231"/>
      <c r="C318" s="231"/>
      <c r="D318" s="232"/>
    </row>
    <row r="319" spans="1:4">
      <c r="A319" s="226"/>
      <c r="B319" s="231"/>
      <c r="C319" s="231"/>
      <c r="D319" s="232"/>
    </row>
    <row r="320" spans="1:4">
      <c r="A320" s="1296" t="s">
        <v>336</v>
      </c>
      <c r="B320" s="1297"/>
      <c r="C320" s="1297" t="s">
        <v>337</v>
      </c>
      <c r="D320" s="1298"/>
    </row>
    <row r="321" spans="1:4">
      <c r="A321" s="1283">
        <v>1</v>
      </c>
      <c r="B321" s="1284"/>
      <c r="C321" s="1284">
        <v>1</v>
      </c>
      <c r="D321" s="1285"/>
    </row>
    <row r="322" spans="1:4">
      <c r="A322" s="1283">
        <v>2</v>
      </c>
      <c r="B322" s="1284"/>
      <c r="C322" s="1284">
        <v>2</v>
      </c>
      <c r="D322" s="1285"/>
    </row>
    <row r="323" spans="1:4">
      <c r="A323" s="241"/>
      <c r="C323" s="1286" t="s">
        <v>342</v>
      </c>
      <c r="D323" s="1287"/>
    </row>
    <row r="324" spans="1:4">
      <c r="A324" s="1288" t="s">
        <v>338</v>
      </c>
      <c r="B324" s="1289"/>
      <c r="C324" s="1289"/>
      <c r="D324" s="1290"/>
    </row>
    <row r="325" spans="1:4">
      <c r="A325" s="244" t="s">
        <v>339</v>
      </c>
      <c r="B325" s="245"/>
      <c r="C325" s="245"/>
      <c r="D325" s="246"/>
    </row>
    <row r="326" spans="1:4">
      <c r="A326" s="244"/>
      <c r="B326" s="245"/>
      <c r="C326" s="245"/>
      <c r="D326" s="246"/>
    </row>
    <row r="327" spans="1:4">
      <c r="A327" s="244"/>
      <c r="B327" s="245"/>
      <c r="C327" s="245" t="s">
        <v>340</v>
      </c>
      <c r="D327" s="246"/>
    </row>
    <row r="328" spans="1:4">
      <c r="A328" s="241"/>
      <c r="B328" s="242"/>
      <c r="C328" s="141" t="s">
        <v>144</v>
      </c>
      <c r="D328" s="243"/>
    </row>
    <row r="329" spans="1:4">
      <c r="A329" s="241"/>
      <c r="C329" t="s">
        <v>341</v>
      </c>
      <c r="D329" s="247"/>
    </row>
    <row r="330" spans="1:4">
      <c r="A330" s="241"/>
      <c r="C330" s="1291" t="str">
        <f>'0422Master'!F5</f>
        <v>Burgeon IT Services Pvt.Ltd.</v>
      </c>
      <c r="D330" s="1292"/>
    </row>
    <row r="331" spans="1:4">
      <c r="A331" s="226" t="s">
        <v>273</v>
      </c>
      <c r="B331" t="str">
        <f>B314</f>
        <v>Hyderabad</v>
      </c>
      <c r="C331" s="2" t="str">
        <f>'0422Master'!F6</f>
        <v>Siri Mansion LIGB 436 Dr.A S Rao Nagar,Hyderabad</v>
      </c>
      <c r="D331" s="13"/>
    </row>
    <row r="332" spans="1:4" ht="15.75" thickBot="1">
      <c r="A332" s="226" t="s">
        <v>332</v>
      </c>
      <c r="B332" s="263" t="e">
        <f>B315</f>
        <v>#REF!</v>
      </c>
      <c r="C332" s="2"/>
      <c r="D332" s="13"/>
    </row>
    <row r="333" spans="1:4" ht="15.75" thickBot="1">
      <c r="A333" s="252"/>
      <c r="B333" s="253" t="s">
        <v>345</v>
      </c>
      <c r="C333" s="253"/>
      <c r="D333" s="28"/>
    </row>
    <row r="334" spans="1:4">
      <c r="A334" s="226" t="s">
        <v>343</v>
      </c>
      <c r="C334" s="2"/>
      <c r="D334" s="13"/>
    </row>
    <row r="335" spans="1:4">
      <c r="A335" s="226" t="s">
        <v>332</v>
      </c>
      <c r="B335" s="263" t="e">
        <f>B332</f>
        <v>#REF!</v>
      </c>
      <c r="C335" s="2"/>
      <c r="D335" s="13"/>
    </row>
    <row r="336" spans="1:4" ht="15.75" thickBot="1">
      <c r="A336" s="255" t="s">
        <v>344</v>
      </c>
      <c r="B336" s="22"/>
      <c r="C336" s="22"/>
      <c r="D336" s="23" t="s">
        <v>135</v>
      </c>
    </row>
    <row r="340" spans="1:4" ht="15.75" thickBot="1"/>
    <row r="341" spans="1:4" ht="20.25">
      <c r="A341" s="1305" t="s">
        <v>307</v>
      </c>
      <c r="B341" s="1306"/>
      <c r="C341" s="1306"/>
      <c r="D341" s="1307"/>
    </row>
    <row r="342" spans="1:4">
      <c r="A342" s="1308" t="s">
        <v>308</v>
      </c>
      <c r="B342" s="1309"/>
      <c r="C342" s="1309"/>
      <c r="D342" s="1310"/>
    </row>
    <row r="343" spans="1:4" ht="18">
      <c r="A343" s="1311" t="s">
        <v>309</v>
      </c>
      <c r="B343" s="1312"/>
      <c r="C343" s="1312"/>
      <c r="D343" s="1313"/>
    </row>
    <row r="344" spans="1:4">
      <c r="A344" s="12" t="s">
        <v>134</v>
      </c>
      <c r="D344" s="13"/>
    </row>
    <row r="345" spans="1:4" ht="18">
      <c r="A345" s="248" t="str">
        <f>'0422Master'!F5</f>
        <v>Burgeon IT Services Pvt.Ltd.</v>
      </c>
      <c r="B345" s="225"/>
      <c r="D345" s="13"/>
    </row>
    <row r="346" spans="1:4" ht="18">
      <c r="A346" s="248" t="str">
        <f>'0422Master'!F6</f>
        <v>Siri Mansion LIGB 436 Dr.A S Rao Nagar,Hyderabad</v>
      </c>
      <c r="B346" s="225"/>
      <c r="D346" s="13"/>
    </row>
    <row r="347" spans="1:4" ht="18">
      <c r="A347" s="227"/>
      <c r="B347" s="4"/>
      <c r="D347" s="13"/>
    </row>
    <row r="348" spans="1:4" ht="15.75">
      <c r="A348" s="226" t="s">
        <v>310</v>
      </c>
      <c r="B348" s="249"/>
      <c r="C348" s="250" t="e">
        <f>'0422Master'!#REF!</f>
        <v>#REF!</v>
      </c>
      <c r="D348" s="80"/>
    </row>
    <row r="349" spans="1:4">
      <c r="A349" s="1302" t="s">
        <v>311</v>
      </c>
      <c r="B349" s="1303"/>
      <c r="C349" s="1303"/>
      <c r="D349" s="1304"/>
    </row>
    <row r="350" spans="1:4">
      <c r="A350" s="12"/>
      <c r="D350" s="13"/>
    </row>
    <row r="351" spans="1:4">
      <c r="A351" s="1302" t="s">
        <v>312</v>
      </c>
      <c r="B351" s="1303"/>
      <c r="C351" s="1303"/>
      <c r="D351" s="1304"/>
    </row>
    <row r="352" spans="1:4">
      <c r="A352" s="228"/>
      <c r="B352" s="229"/>
      <c r="C352" s="229"/>
      <c r="D352" s="230"/>
    </row>
    <row r="353" spans="1:4">
      <c r="A353" s="1296" t="s">
        <v>313</v>
      </c>
      <c r="B353" s="1297"/>
      <c r="C353" s="1297"/>
      <c r="D353" s="1298"/>
    </row>
    <row r="354" spans="1:4">
      <c r="A354" s="12"/>
      <c r="D354" s="13"/>
    </row>
    <row r="355" spans="1:4">
      <c r="A355" s="1296" t="s">
        <v>314</v>
      </c>
      <c r="B355" s="1297"/>
      <c r="C355" s="1297"/>
      <c r="D355" s="1298"/>
    </row>
    <row r="356" spans="1:4">
      <c r="A356" s="1296" t="s">
        <v>315</v>
      </c>
      <c r="B356" s="1297"/>
      <c r="C356" s="1297"/>
      <c r="D356" s="1298"/>
    </row>
    <row r="357" spans="1:4">
      <c r="A357" s="226"/>
      <c r="B357" s="231"/>
      <c r="C357" s="231"/>
      <c r="D357" s="232"/>
    </row>
    <row r="358" spans="1:4">
      <c r="A358" s="1302" t="s">
        <v>316</v>
      </c>
      <c r="B358" s="1303"/>
      <c r="C358" s="1303"/>
      <c r="D358" s="1304"/>
    </row>
    <row r="359" spans="1:4">
      <c r="A359" s="226"/>
      <c r="B359" s="231"/>
      <c r="C359" s="231"/>
      <c r="D359" s="232"/>
    </row>
    <row r="360" spans="1:4">
      <c r="A360" s="1296" t="s">
        <v>317</v>
      </c>
      <c r="B360" s="1297"/>
      <c r="C360" s="1297"/>
      <c r="D360" s="1298"/>
    </row>
    <row r="361" spans="1:4">
      <c r="A361" s="12"/>
      <c r="D361" s="13"/>
    </row>
    <row r="362" spans="1:4">
      <c r="A362" s="1293" t="s">
        <v>318</v>
      </c>
      <c r="B362" s="1294"/>
      <c r="C362" s="1294"/>
      <c r="D362" s="1295"/>
    </row>
    <row r="363" spans="1:4" ht="42.75">
      <c r="A363" s="233" t="s">
        <v>319</v>
      </c>
      <c r="B363" s="234" t="s">
        <v>320</v>
      </c>
      <c r="C363" s="234" t="s">
        <v>321</v>
      </c>
      <c r="D363" s="235" t="s">
        <v>322</v>
      </c>
    </row>
    <row r="364" spans="1:4">
      <c r="A364" s="236">
        <v>1</v>
      </c>
      <c r="B364" s="237">
        <v>2</v>
      </c>
      <c r="C364" s="237">
        <v>3</v>
      </c>
      <c r="D364" s="238">
        <v>4</v>
      </c>
    </row>
    <row r="365" spans="1:4">
      <c r="A365" s="12" t="e">
        <f>'0422Master'!#REF!</f>
        <v>#REF!</v>
      </c>
      <c r="B365" s="10" t="s">
        <v>364</v>
      </c>
      <c r="C365" s="10" t="s">
        <v>371</v>
      </c>
      <c r="D365" s="270">
        <v>1</v>
      </c>
    </row>
    <row r="366" spans="1:4">
      <c r="A366" s="254"/>
      <c r="B366" s="10"/>
      <c r="C366" s="10"/>
      <c r="D366" s="239"/>
    </row>
    <row r="367" spans="1:4">
      <c r="A367" s="251"/>
      <c r="B367" s="10"/>
      <c r="C367" s="10"/>
      <c r="D367" s="239"/>
    </row>
    <row r="368" spans="1:4">
      <c r="A368" s="12"/>
      <c r="D368" s="13"/>
    </row>
    <row r="369" spans="1:4">
      <c r="A369" s="1293" t="s">
        <v>323</v>
      </c>
      <c r="B369" s="1294"/>
      <c r="C369" s="1294"/>
      <c r="D369" s="1295"/>
    </row>
    <row r="370" spans="1:4">
      <c r="A370" s="142"/>
      <c r="B370" s="5"/>
      <c r="C370" s="5"/>
      <c r="D370" s="143"/>
    </row>
    <row r="371" spans="1:4">
      <c r="A371" s="1299" t="s">
        <v>324</v>
      </c>
      <c r="B371" s="1300"/>
      <c r="C371" s="1314" t="e">
        <f>'0422Master'!#REF!</f>
        <v>#REF!</v>
      </c>
      <c r="D371" s="1301"/>
    </row>
    <row r="372" spans="1:4">
      <c r="A372" s="1299" t="s">
        <v>325</v>
      </c>
      <c r="B372" s="1300"/>
      <c r="C372" s="1162" t="e">
        <f>'0422Master'!#REF!</f>
        <v>#REF!</v>
      </c>
      <c r="D372" s="1301"/>
    </row>
    <row r="373" spans="1:4">
      <c r="A373" s="1299" t="s">
        <v>326</v>
      </c>
      <c r="B373" s="1300"/>
      <c r="C373" s="1162" t="s">
        <v>372</v>
      </c>
      <c r="D373" s="1301"/>
    </row>
    <row r="374" spans="1:4">
      <c r="A374" s="1299" t="s">
        <v>327</v>
      </c>
      <c r="B374" s="1300"/>
      <c r="C374" s="1162" t="s">
        <v>370</v>
      </c>
      <c r="D374" s="1301"/>
    </row>
    <row r="375" spans="1:4">
      <c r="A375" s="1299" t="s">
        <v>328</v>
      </c>
      <c r="B375" s="1300"/>
      <c r="C375" s="1314" t="e">
        <f>'0422Master'!#REF!</f>
        <v>#REF!</v>
      </c>
      <c r="D375" s="1301"/>
    </row>
    <row r="376" spans="1:4">
      <c r="A376" s="1299" t="s">
        <v>329</v>
      </c>
      <c r="B376" s="1300"/>
      <c r="C376" s="1314" t="e">
        <f>'0422Master'!#REF!</f>
        <v>#REF!</v>
      </c>
      <c r="D376" s="1301"/>
    </row>
    <row r="377" spans="1:4">
      <c r="A377" s="1299" t="s">
        <v>330</v>
      </c>
      <c r="B377" s="1300"/>
      <c r="C377" s="1315" t="e">
        <f>'0422Master'!#REF!</f>
        <v>#REF!</v>
      </c>
      <c r="D377" s="1301"/>
    </row>
    <row r="378" spans="1:4">
      <c r="A378" s="1299" t="s">
        <v>331</v>
      </c>
      <c r="B378" s="1300"/>
      <c r="C378" s="1162"/>
      <c r="D378" s="1301"/>
    </row>
    <row r="379" spans="1:4">
      <c r="A379" s="1299"/>
      <c r="B379" s="1300"/>
      <c r="C379" s="1314" t="e">
        <f>'0422Master'!#REF!</f>
        <v>#REF!</v>
      </c>
      <c r="D379" s="1301"/>
    </row>
    <row r="380" spans="1:4">
      <c r="A380" s="1299"/>
      <c r="B380" s="1300"/>
      <c r="C380" s="1314" t="e">
        <f>'0422Master'!#REF!</f>
        <v>#REF!</v>
      </c>
      <c r="D380" s="1301"/>
    </row>
    <row r="381" spans="1:4">
      <c r="A381" s="1299"/>
      <c r="B381" s="1300"/>
      <c r="C381" s="1314" t="e">
        <f>'0422Master'!#REF!</f>
        <v>#REF!</v>
      </c>
      <c r="D381" s="1301"/>
    </row>
    <row r="382" spans="1:4">
      <c r="A382" s="226" t="s">
        <v>273</v>
      </c>
      <c r="B382" s="231" t="s">
        <v>362</v>
      </c>
      <c r="C382" s="231"/>
      <c r="D382" s="232"/>
    </row>
    <row r="383" spans="1:4">
      <c r="A383" s="226" t="s">
        <v>332</v>
      </c>
      <c r="B383" s="271" t="e">
        <f>'0422Master'!#REF!</f>
        <v>#REF!</v>
      </c>
      <c r="C383" s="240" t="s">
        <v>333</v>
      </c>
      <c r="D383" s="232"/>
    </row>
    <row r="384" spans="1:4">
      <c r="A384" s="226"/>
      <c r="B384" s="231"/>
      <c r="C384" s="231"/>
      <c r="D384" s="232"/>
    </row>
    <row r="385" spans="1:4">
      <c r="A385" s="1293" t="s">
        <v>334</v>
      </c>
      <c r="B385" s="1294"/>
      <c r="C385" s="1294"/>
      <c r="D385" s="1295"/>
    </row>
    <row r="386" spans="1:4">
      <c r="A386" s="226" t="s">
        <v>335</v>
      </c>
      <c r="B386" s="231"/>
      <c r="C386" s="231"/>
      <c r="D386" s="232"/>
    </row>
    <row r="387" spans="1:4">
      <c r="A387" s="226"/>
      <c r="B387" s="231"/>
      <c r="C387" s="231"/>
      <c r="D387" s="232"/>
    </row>
    <row r="388" spans="1:4">
      <c r="A388" s="1296" t="s">
        <v>336</v>
      </c>
      <c r="B388" s="1297"/>
      <c r="C388" s="1297" t="s">
        <v>337</v>
      </c>
      <c r="D388" s="1298"/>
    </row>
    <row r="389" spans="1:4">
      <c r="A389" s="1283">
        <v>1</v>
      </c>
      <c r="B389" s="1284"/>
      <c r="C389" s="1284">
        <v>1</v>
      </c>
      <c r="D389" s="1285"/>
    </row>
    <row r="390" spans="1:4">
      <c r="A390" s="1283">
        <v>2</v>
      </c>
      <c r="B390" s="1284"/>
      <c r="C390" s="1284">
        <v>2</v>
      </c>
      <c r="D390" s="1285"/>
    </row>
    <row r="391" spans="1:4">
      <c r="A391" s="241"/>
      <c r="C391" s="1286" t="s">
        <v>342</v>
      </c>
      <c r="D391" s="1287"/>
    </row>
    <row r="392" spans="1:4">
      <c r="A392" s="1288" t="s">
        <v>338</v>
      </c>
      <c r="B392" s="1289"/>
      <c r="C392" s="1289"/>
      <c r="D392" s="1290"/>
    </row>
    <row r="393" spans="1:4">
      <c r="A393" s="244" t="s">
        <v>339</v>
      </c>
      <c r="B393" s="245"/>
      <c r="C393" s="245"/>
      <c r="D393" s="246"/>
    </row>
    <row r="394" spans="1:4">
      <c r="A394" s="244"/>
      <c r="B394" s="245"/>
      <c r="C394" s="245"/>
      <c r="D394" s="246"/>
    </row>
    <row r="395" spans="1:4">
      <c r="A395" s="244"/>
      <c r="B395" s="245"/>
      <c r="C395" s="245" t="s">
        <v>340</v>
      </c>
      <c r="D395" s="246"/>
    </row>
    <row r="396" spans="1:4">
      <c r="A396" s="241"/>
      <c r="B396" s="242"/>
      <c r="C396" s="141" t="s">
        <v>144</v>
      </c>
      <c r="D396" s="243"/>
    </row>
    <row r="397" spans="1:4">
      <c r="A397" s="241"/>
      <c r="C397" t="s">
        <v>341</v>
      </c>
      <c r="D397" s="247"/>
    </row>
    <row r="398" spans="1:4">
      <c r="A398" s="241"/>
      <c r="C398" s="1291" t="str">
        <f>'0422Master'!F5</f>
        <v>Burgeon IT Services Pvt.Ltd.</v>
      </c>
      <c r="D398" s="1292"/>
    </row>
    <row r="399" spans="1:4">
      <c r="A399" s="226" t="s">
        <v>273</v>
      </c>
      <c r="B399" t="str">
        <f>B382</f>
        <v>Hyderabad</v>
      </c>
      <c r="C399" s="2" t="str">
        <f>'0422Master'!F6</f>
        <v>Siri Mansion LIGB 436 Dr.A S Rao Nagar,Hyderabad</v>
      </c>
      <c r="D399" s="13"/>
    </row>
    <row r="400" spans="1:4" ht="15.75" thickBot="1">
      <c r="A400" s="226" t="s">
        <v>332</v>
      </c>
      <c r="B400" s="263" t="e">
        <f>B383</f>
        <v>#REF!</v>
      </c>
      <c r="C400" s="2"/>
      <c r="D400" s="13"/>
    </row>
    <row r="401" spans="1:4" ht="15.75" thickBot="1">
      <c r="A401" s="252"/>
      <c r="B401" s="253" t="s">
        <v>345</v>
      </c>
      <c r="C401" s="253"/>
      <c r="D401" s="28"/>
    </row>
    <row r="402" spans="1:4">
      <c r="A402" s="226" t="s">
        <v>343</v>
      </c>
      <c r="C402" s="2"/>
      <c r="D402" s="13"/>
    </row>
    <row r="403" spans="1:4">
      <c r="A403" s="226" t="s">
        <v>332</v>
      </c>
      <c r="B403" s="263" t="e">
        <f>B400</f>
        <v>#REF!</v>
      </c>
      <c r="C403" s="2"/>
      <c r="D403" s="13"/>
    </row>
    <row r="404" spans="1:4" ht="15.75" thickBot="1">
      <c r="A404" s="255" t="s">
        <v>344</v>
      </c>
      <c r="B404" s="22"/>
      <c r="C404" s="22"/>
      <c r="D404" s="23" t="s">
        <v>135</v>
      </c>
    </row>
    <row r="408" spans="1:4" ht="15.75" thickBot="1"/>
    <row r="409" spans="1:4" ht="20.25">
      <c r="A409" s="1305" t="s">
        <v>307</v>
      </c>
      <c r="B409" s="1306"/>
      <c r="C409" s="1306"/>
      <c r="D409" s="1307"/>
    </row>
    <row r="410" spans="1:4">
      <c r="A410" s="1308" t="s">
        <v>308</v>
      </c>
      <c r="B410" s="1309"/>
      <c r="C410" s="1309"/>
      <c r="D410" s="1310"/>
    </row>
    <row r="411" spans="1:4" ht="18">
      <c r="A411" s="1311" t="s">
        <v>309</v>
      </c>
      <c r="B411" s="1312"/>
      <c r="C411" s="1312"/>
      <c r="D411" s="1313"/>
    </row>
    <row r="412" spans="1:4">
      <c r="A412" s="12" t="s">
        <v>134</v>
      </c>
      <c r="D412" s="13"/>
    </row>
    <row r="413" spans="1:4" ht="18">
      <c r="A413" s="248" t="str">
        <f>'0422Master'!F5</f>
        <v>Burgeon IT Services Pvt.Ltd.</v>
      </c>
      <c r="B413" s="225"/>
      <c r="D413" s="13"/>
    </row>
    <row r="414" spans="1:4" ht="18">
      <c r="A414" s="248" t="str">
        <f>'0422Master'!F6</f>
        <v>Siri Mansion LIGB 436 Dr.A S Rao Nagar,Hyderabad</v>
      </c>
      <c r="B414" s="225"/>
      <c r="D414" s="13"/>
    </row>
    <row r="415" spans="1:4" ht="18">
      <c r="A415" s="227"/>
      <c r="B415" s="4"/>
      <c r="D415" s="13"/>
    </row>
    <row r="416" spans="1:4" ht="15.75">
      <c r="A416" s="226" t="s">
        <v>310</v>
      </c>
      <c r="B416" s="249"/>
      <c r="C416" s="250" t="e">
        <f>'0422Master'!#REF!</f>
        <v>#REF!</v>
      </c>
      <c r="D416" s="80"/>
    </row>
    <row r="417" spans="1:4">
      <c r="A417" s="1302" t="s">
        <v>311</v>
      </c>
      <c r="B417" s="1303"/>
      <c r="C417" s="1303"/>
      <c r="D417" s="1304"/>
    </row>
    <row r="418" spans="1:4">
      <c r="A418" s="12"/>
      <c r="D418" s="13"/>
    </row>
    <row r="419" spans="1:4">
      <c r="A419" s="1302" t="s">
        <v>312</v>
      </c>
      <c r="B419" s="1303"/>
      <c r="C419" s="1303"/>
      <c r="D419" s="1304"/>
    </row>
    <row r="420" spans="1:4">
      <c r="A420" s="228"/>
      <c r="B420" s="229"/>
      <c r="C420" s="229"/>
      <c r="D420" s="230"/>
    </row>
    <row r="421" spans="1:4">
      <c r="A421" s="1296" t="s">
        <v>313</v>
      </c>
      <c r="B421" s="1297"/>
      <c r="C421" s="1297"/>
      <c r="D421" s="1298"/>
    </row>
    <row r="422" spans="1:4">
      <c r="A422" s="12"/>
      <c r="D422" s="13"/>
    </row>
    <row r="423" spans="1:4">
      <c r="A423" s="1296" t="s">
        <v>314</v>
      </c>
      <c r="B423" s="1297"/>
      <c r="C423" s="1297"/>
      <c r="D423" s="1298"/>
    </row>
    <row r="424" spans="1:4">
      <c r="A424" s="1296" t="s">
        <v>315</v>
      </c>
      <c r="B424" s="1297"/>
      <c r="C424" s="1297"/>
      <c r="D424" s="1298"/>
    </row>
    <row r="425" spans="1:4">
      <c r="A425" s="226"/>
      <c r="B425" s="231"/>
      <c r="C425" s="231"/>
      <c r="D425" s="232"/>
    </row>
    <row r="426" spans="1:4">
      <c r="A426" s="1302" t="s">
        <v>316</v>
      </c>
      <c r="B426" s="1303"/>
      <c r="C426" s="1303"/>
      <c r="D426" s="1304"/>
    </row>
    <row r="427" spans="1:4">
      <c r="A427" s="226"/>
      <c r="B427" s="231"/>
      <c r="C427" s="231"/>
      <c r="D427" s="232"/>
    </row>
    <row r="428" spans="1:4">
      <c r="A428" s="1296" t="s">
        <v>317</v>
      </c>
      <c r="B428" s="1297"/>
      <c r="C428" s="1297"/>
      <c r="D428" s="1298"/>
    </row>
    <row r="429" spans="1:4">
      <c r="A429" s="12"/>
      <c r="D429" s="13"/>
    </row>
    <row r="430" spans="1:4">
      <c r="A430" s="1293" t="s">
        <v>318</v>
      </c>
      <c r="B430" s="1294"/>
      <c r="C430" s="1294"/>
      <c r="D430" s="1295"/>
    </row>
    <row r="431" spans="1:4" ht="42.75">
      <c r="A431" s="233" t="s">
        <v>319</v>
      </c>
      <c r="B431" s="234" t="s">
        <v>320</v>
      </c>
      <c r="C431" s="234" t="s">
        <v>321</v>
      </c>
      <c r="D431" s="235" t="s">
        <v>322</v>
      </c>
    </row>
    <row r="432" spans="1:4">
      <c r="A432" s="236">
        <v>1</v>
      </c>
      <c r="B432" s="237">
        <v>2</v>
      </c>
      <c r="C432" s="237">
        <v>3</v>
      </c>
      <c r="D432" s="238">
        <v>4</v>
      </c>
    </row>
    <row r="433" spans="1:4">
      <c r="A433" s="12" t="e">
        <f>'0422Master'!#REF!</f>
        <v>#REF!</v>
      </c>
      <c r="B433" s="10" t="s">
        <v>364</v>
      </c>
      <c r="C433" s="10" t="s">
        <v>371</v>
      </c>
      <c r="D433" s="270">
        <v>1</v>
      </c>
    </row>
    <row r="434" spans="1:4">
      <c r="A434" s="254"/>
      <c r="B434" s="10"/>
      <c r="C434" s="10"/>
      <c r="D434" s="239"/>
    </row>
    <row r="435" spans="1:4">
      <c r="A435" s="251"/>
      <c r="B435" s="10"/>
      <c r="C435" s="10"/>
      <c r="D435" s="239"/>
    </row>
    <row r="436" spans="1:4">
      <c r="A436" s="12"/>
      <c r="D436" s="13"/>
    </row>
    <row r="437" spans="1:4">
      <c r="A437" s="1293" t="s">
        <v>323</v>
      </c>
      <c r="B437" s="1294"/>
      <c r="C437" s="1294"/>
      <c r="D437" s="1295"/>
    </row>
    <row r="438" spans="1:4">
      <c r="A438" s="142"/>
      <c r="B438" s="5"/>
      <c r="C438" s="5"/>
      <c r="D438" s="143"/>
    </row>
    <row r="439" spans="1:4">
      <c r="A439" s="1299" t="s">
        <v>324</v>
      </c>
      <c r="B439" s="1300"/>
      <c r="C439" s="1314" t="e">
        <f>'0422Master'!#REF!</f>
        <v>#REF!</v>
      </c>
      <c r="D439" s="1301"/>
    </row>
    <row r="440" spans="1:4">
      <c r="A440" s="1299" t="s">
        <v>325</v>
      </c>
      <c r="B440" s="1300"/>
      <c r="C440" s="1162" t="e">
        <f>'0422Master'!#REF!</f>
        <v>#REF!</v>
      </c>
      <c r="D440" s="1301"/>
    </row>
    <row r="441" spans="1:4">
      <c r="A441" s="1299" t="s">
        <v>326</v>
      </c>
      <c r="B441" s="1300"/>
      <c r="C441" s="1162" t="s">
        <v>372</v>
      </c>
      <c r="D441" s="1301"/>
    </row>
    <row r="442" spans="1:4">
      <c r="A442" s="1299" t="s">
        <v>327</v>
      </c>
      <c r="B442" s="1300"/>
      <c r="C442" s="1162" t="s">
        <v>370</v>
      </c>
      <c r="D442" s="1301"/>
    </row>
    <row r="443" spans="1:4">
      <c r="A443" s="1299" t="s">
        <v>328</v>
      </c>
      <c r="B443" s="1300"/>
      <c r="C443" s="1314" t="e">
        <f>'0422Master'!#REF!</f>
        <v>#REF!</v>
      </c>
      <c r="D443" s="1301"/>
    </row>
    <row r="444" spans="1:4">
      <c r="A444" s="1299" t="s">
        <v>329</v>
      </c>
      <c r="B444" s="1300"/>
      <c r="C444" s="1314" t="e">
        <f>'0422Master'!#REF!</f>
        <v>#REF!</v>
      </c>
      <c r="D444" s="1301"/>
    </row>
    <row r="445" spans="1:4">
      <c r="A445" s="1299" t="s">
        <v>330</v>
      </c>
      <c r="B445" s="1300"/>
      <c r="C445" s="1315" t="e">
        <f>'0422Master'!#REF!</f>
        <v>#REF!</v>
      </c>
      <c r="D445" s="1301"/>
    </row>
    <row r="446" spans="1:4">
      <c r="A446" s="1299" t="s">
        <v>331</v>
      </c>
      <c r="B446" s="1300"/>
      <c r="C446" s="1162"/>
      <c r="D446" s="1301"/>
    </row>
    <row r="447" spans="1:4">
      <c r="A447" s="1299"/>
      <c r="B447" s="1300"/>
      <c r="C447" s="1314" t="e">
        <f>'0422Master'!#REF!</f>
        <v>#REF!</v>
      </c>
      <c r="D447" s="1301"/>
    </row>
    <row r="448" spans="1:4">
      <c r="A448" s="1299"/>
      <c r="B448" s="1300"/>
      <c r="C448" s="1314" t="e">
        <f>'0422Master'!#REF!</f>
        <v>#REF!</v>
      </c>
      <c r="D448" s="1301"/>
    </row>
    <row r="449" spans="1:4">
      <c r="A449" s="1299"/>
      <c r="B449" s="1300"/>
      <c r="C449" s="1314" t="e">
        <f>'0422Master'!#REF!</f>
        <v>#REF!</v>
      </c>
      <c r="D449" s="1301"/>
    </row>
    <row r="450" spans="1:4">
      <c r="A450" s="226" t="s">
        <v>273</v>
      </c>
      <c r="B450" s="231" t="s">
        <v>362</v>
      </c>
      <c r="C450" s="231"/>
      <c r="D450" s="232"/>
    </row>
    <row r="451" spans="1:4">
      <c r="A451" s="226" t="s">
        <v>332</v>
      </c>
      <c r="B451" s="271" t="e">
        <f>'0422Master'!#REF!</f>
        <v>#REF!</v>
      </c>
      <c r="C451" s="240" t="s">
        <v>333</v>
      </c>
      <c r="D451" s="232"/>
    </row>
    <row r="452" spans="1:4">
      <c r="A452" s="226"/>
      <c r="B452" s="231"/>
      <c r="C452" s="231"/>
      <c r="D452" s="232"/>
    </row>
    <row r="453" spans="1:4">
      <c r="A453" s="1293" t="s">
        <v>334</v>
      </c>
      <c r="B453" s="1294"/>
      <c r="C453" s="1294"/>
      <c r="D453" s="1295"/>
    </row>
    <row r="454" spans="1:4">
      <c r="A454" s="226" t="s">
        <v>335</v>
      </c>
      <c r="B454" s="231"/>
      <c r="C454" s="231"/>
      <c r="D454" s="232"/>
    </row>
    <row r="455" spans="1:4">
      <c r="A455" s="226"/>
      <c r="B455" s="231"/>
      <c r="C455" s="231"/>
      <c r="D455" s="232"/>
    </row>
    <row r="456" spans="1:4">
      <c r="A456" s="1296" t="s">
        <v>336</v>
      </c>
      <c r="B456" s="1297"/>
      <c r="C456" s="1297" t="s">
        <v>337</v>
      </c>
      <c r="D456" s="1298"/>
    </row>
    <row r="457" spans="1:4">
      <c r="A457" s="1283">
        <v>1</v>
      </c>
      <c r="B457" s="1284"/>
      <c r="C457" s="1284">
        <v>1</v>
      </c>
      <c r="D457" s="1285"/>
    </row>
    <row r="458" spans="1:4">
      <c r="A458" s="1283">
        <v>2</v>
      </c>
      <c r="B458" s="1284"/>
      <c r="C458" s="1284">
        <v>2</v>
      </c>
      <c r="D458" s="1285"/>
    </row>
    <row r="459" spans="1:4">
      <c r="A459" s="241"/>
      <c r="C459" s="1286" t="s">
        <v>342</v>
      </c>
      <c r="D459" s="1287"/>
    </row>
    <row r="460" spans="1:4">
      <c r="A460" s="1288" t="s">
        <v>338</v>
      </c>
      <c r="B460" s="1289"/>
      <c r="C460" s="1289"/>
      <c r="D460" s="1290"/>
    </row>
    <row r="461" spans="1:4">
      <c r="A461" s="244" t="s">
        <v>339</v>
      </c>
      <c r="B461" s="245"/>
      <c r="C461" s="245"/>
      <c r="D461" s="246"/>
    </row>
    <row r="462" spans="1:4">
      <c r="A462" s="244"/>
      <c r="B462" s="245"/>
      <c r="C462" s="245"/>
      <c r="D462" s="246"/>
    </row>
    <row r="463" spans="1:4">
      <c r="A463" s="244"/>
      <c r="B463" s="245"/>
      <c r="C463" s="245" t="s">
        <v>340</v>
      </c>
      <c r="D463" s="246"/>
    </row>
    <row r="464" spans="1:4">
      <c r="A464" s="241"/>
      <c r="B464" s="242"/>
      <c r="C464" s="141" t="s">
        <v>144</v>
      </c>
      <c r="D464" s="243"/>
    </row>
    <row r="465" spans="1:4">
      <c r="A465" s="241"/>
      <c r="C465" t="s">
        <v>341</v>
      </c>
      <c r="D465" s="247"/>
    </row>
    <row r="466" spans="1:4">
      <c r="A466" s="241"/>
      <c r="C466" s="1291" t="str">
        <f>'0422Master'!F5</f>
        <v>Burgeon IT Services Pvt.Ltd.</v>
      </c>
      <c r="D466" s="1292"/>
    </row>
    <row r="467" spans="1:4">
      <c r="A467" s="226" t="s">
        <v>273</v>
      </c>
      <c r="B467" t="str">
        <f>B450</f>
        <v>Hyderabad</v>
      </c>
      <c r="C467" s="2" t="str">
        <f>'0422Master'!F6</f>
        <v>Siri Mansion LIGB 436 Dr.A S Rao Nagar,Hyderabad</v>
      </c>
      <c r="D467" s="13"/>
    </row>
    <row r="468" spans="1:4" ht="15.75" thickBot="1">
      <c r="A468" s="226" t="s">
        <v>332</v>
      </c>
      <c r="B468" s="263" t="e">
        <f>B451</f>
        <v>#REF!</v>
      </c>
      <c r="C468" s="2"/>
      <c r="D468" s="13"/>
    </row>
    <row r="469" spans="1:4" ht="15.75" thickBot="1">
      <c r="A469" s="252"/>
      <c r="B469" s="253" t="s">
        <v>345</v>
      </c>
      <c r="C469" s="253"/>
      <c r="D469" s="28"/>
    </row>
    <row r="470" spans="1:4">
      <c r="A470" s="226" t="s">
        <v>343</v>
      </c>
      <c r="C470" s="2"/>
      <c r="D470" s="13"/>
    </row>
    <row r="471" spans="1:4">
      <c r="A471" s="226" t="s">
        <v>332</v>
      </c>
      <c r="B471" s="263" t="e">
        <f>B468</f>
        <v>#REF!</v>
      </c>
      <c r="C471" s="2"/>
      <c r="D471" s="13"/>
    </row>
    <row r="472" spans="1:4" ht="15.75" thickBot="1">
      <c r="A472" s="255" t="s">
        <v>344</v>
      </c>
      <c r="B472" s="22"/>
      <c r="C472" s="22"/>
      <c r="D472" s="23" t="s">
        <v>135</v>
      </c>
    </row>
    <row r="476" spans="1:4" ht="15.75" thickBot="1"/>
    <row r="477" spans="1:4" ht="20.25">
      <c r="A477" s="1305" t="s">
        <v>307</v>
      </c>
      <c r="B477" s="1306"/>
      <c r="C477" s="1306"/>
      <c r="D477" s="1307"/>
    </row>
    <row r="478" spans="1:4">
      <c r="A478" s="1308" t="s">
        <v>308</v>
      </c>
      <c r="B478" s="1309"/>
      <c r="C478" s="1309"/>
      <c r="D478" s="1310"/>
    </row>
    <row r="479" spans="1:4" ht="18">
      <c r="A479" s="1311" t="s">
        <v>309</v>
      </c>
      <c r="B479" s="1312"/>
      <c r="C479" s="1312"/>
      <c r="D479" s="1313"/>
    </row>
    <row r="480" spans="1:4">
      <c r="A480" s="12" t="s">
        <v>134</v>
      </c>
      <c r="D480" s="13"/>
    </row>
    <row r="481" spans="1:4" ht="18">
      <c r="A481" s="248" t="str">
        <f>'0422Master'!F5</f>
        <v>Burgeon IT Services Pvt.Ltd.</v>
      </c>
      <c r="B481" s="225"/>
      <c r="D481" s="13"/>
    </row>
    <row r="482" spans="1:4" ht="18">
      <c r="A482" s="248" t="str">
        <f>'0422Master'!F6</f>
        <v>Siri Mansion LIGB 436 Dr.A S Rao Nagar,Hyderabad</v>
      </c>
      <c r="B482" s="225"/>
      <c r="D482" s="13"/>
    </row>
    <row r="483" spans="1:4" ht="18">
      <c r="A483" s="227"/>
      <c r="B483" s="4"/>
      <c r="D483" s="13"/>
    </row>
    <row r="484" spans="1:4" ht="15.75">
      <c r="A484" s="226" t="s">
        <v>310</v>
      </c>
      <c r="B484" s="249"/>
      <c r="C484" s="250" t="e">
        <f>'0422Master'!#REF!</f>
        <v>#REF!</v>
      </c>
      <c r="D484" s="80"/>
    </row>
    <row r="485" spans="1:4">
      <c r="A485" s="1302" t="s">
        <v>311</v>
      </c>
      <c r="B485" s="1303"/>
      <c r="C485" s="1303"/>
      <c r="D485" s="1304"/>
    </row>
    <row r="486" spans="1:4">
      <c r="A486" s="12"/>
      <c r="D486" s="13"/>
    </row>
    <row r="487" spans="1:4">
      <c r="A487" s="1302" t="s">
        <v>312</v>
      </c>
      <c r="B487" s="1303"/>
      <c r="C487" s="1303"/>
      <c r="D487" s="1304"/>
    </row>
    <row r="488" spans="1:4">
      <c r="A488" s="228"/>
      <c r="B488" s="229"/>
      <c r="C488" s="229"/>
      <c r="D488" s="230"/>
    </row>
    <row r="489" spans="1:4">
      <c r="A489" s="1296" t="s">
        <v>313</v>
      </c>
      <c r="B489" s="1297"/>
      <c r="C489" s="1297"/>
      <c r="D489" s="1298"/>
    </row>
    <row r="490" spans="1:4">
      <c r="A490" s="12"/>
      <c r="D490" s="13"/>
    </row>
    <row r="491" spans="1:4">
      <c r="A491" s="1296" t="s">
        <v>314</v>
      </c>
      <c r="B491" s="1297"/>
      <c r="C491" s="1297"/>
      <c r="D491" s="1298"/>
    </row>
    <row r="492" spans="1:4">
      <c r="A492" s="1296" t="s">
        <v>315</v>
      </c>
      <c r="B492" s="1297"/>
      <c r="C492" s="1297"/>
      <c r="D492" s="1298"/>
    </row>
    <row r="493" spans="1:4">
      <c r="A493" s="226"/>
      <c r="B493" s="231"/>
      <c r="C493" s="231"/>
      <c r="D493" s="232"/>
    </row>
    <row r="494" spans="1:4">
      <c r="A494" s="1302" t="s">
        <v>316</v>
      </c>
      <c r="B494" s="1303"/>
      <c r="C494" s="1303"/>
      <c r="D494" s="1304"/>
    </row>
    <row r="495" spans="1:4">
      <c r="A495" s="226"/>
      <c r="B495" s="231"/>
      <c r="C495" s="231"/>
      <c r="D495" s="232"/>
    </row>
    <row r="496" spans="1:4">
      <c r="A496" s="1296" t="s">
        <v>317</v>
      </c>
      <c r="B496" s="1297"/>
      <c r="C496" s="1297"/>
      <c r="D496" s="1298"/>
    </row>
    <row r="497" spans="1:4">
      <c r="A497" s="12"/>
      <c r="D497" s="13"/>
    </row>
    <row r="498" spans="1:4">
      <c r="A498" s="1293" t="s">
        <v>318</v>
      </c>
      <c r="B498" s="1294"/>
      <c r="C498" s="1294"/>
      <c r="D498" s="1295"/>
    </row>
    <row r="499" spans="1:4" ht="42.75">
      <c r="A499" s="233" t="s">
        <v>319</v>
      </c>
      <c r="B499" s="234" t="s">
        <v>320</v>
      </c>
      <c r="C499" s="234" t="s">
        <v>321</v>
      </c>
      <c r="D499" s="235" t="s">
        <v>322</v>
      </c>
    </row>
    <row r="500" spans="1:4">
      <c r="A500" s="236">
        <v>1</v>
      </c>
      <c r="B500" s="237">
        <v>2</v>
      </c>
      <c r="C500" s="237">
        <v>3</v>
      </c>
      <c r="D500" s="238">
        <v>4</v>
      </c>
    </row>
    <row r="501" spans="1:4">
      <c r="A501" s="12" t="e">
        <f>'0422Master'!#REF!</f>
        <v>#REF!</v>
      </c>
      <c r="B501" s="10" t="s">
        <v>364</v>
      </c>
      <c r="C501" s="10" t="s">
        <v>371</v>
      </c>
      <c r="D501" s="270">
        <v>1</v>
      </c>
    </row>
    <row r="502" spans="1:4">
      <c r="A502" s="254"/>
      <c r="B502" s="10"/>
      <c r="C502" s="10"/>
      <c r="D502" s="239"/>
    </row>
    <row r="503" spans="1:4">
      <c r="A503" s="251"/>
      <c r="B503" s="10"/>
      <c r="C503" s="10"/>
      <c r="D503" s="239"/>
    </row>
    <row r="504" spans="1:4">
      <c r="A504" s="12"/>
      <c r="D504" s="13"/>
    </row>
    <row r="505" spans="1:4">
      <c r="A505" s="1293" t="s">
        <v>323</v>
      </c>
      <c r="B505" s="1294"/>
      <c r="C505" s="1294"/>
      <c r="D505" s="1295"/>
    </row>
    <row r="506" spans="1:4">
      <c r="A506" s="142"/>
      <c r="B506" s="5"/>
      <c r="C506" s="5"/>
      <c r="D506" s="143"/>
    </row>
    <row r="507" spans="1:4">
      <c r="A507" s="1299" t="s">
        <v>324</v>
      </c>
      <c r="B507" s="1300"/>
      <c r="C507" s="1314" t="e">
        <f>'0422Master'!#REF!</f>
        <v>#REF!</v>
      </c>
      <c r="D507" s="1301"/>
    </row>
    <row r="508" spans="1:4">
      <c r="A508" s="1299" t="s">
        <v>325</v>
      </c>
      <c r="B508" s="1300"/>
      <c r="C508" s="1162" t="e">
        <f>'0422Master'!#REF!</f>
        <v>#REF!</v>
      </c>
      <c r="D508" s="1301"/>
    </row>
    <row r="509" spans="1:4">
      <c r="A509" s="1299" t="s">
        <v>326</v>
      </c>
      <c r="B509" s="1300"/>
      <c r="C509" s="1162" t="s">
        <v>372</v>
      </c>
      <c r="D509" s="1301"/>
    </row>
    <row r="510" spans="1:4">
      <c r="A510" s="1299" t="s">
        <v>327</v>
      </c>
      <c r="B510" s="1300"/>
      <c r="C510" s="1162" t="s">
        <v>370</v>
      </c>
      <c r="D510" s="1301"/>
    </row>
    <row r="511" spans="1:4">
      <c r="A511" s="1299" t="s">
        <v>328</v>
      </c>
      <c r="B511" s="1300"/>
      <c r="C511" s="1314" t="e">
        <f>'0422Master'!#REF!</f>
        <v>#REF!</v>
      </c>
      <c r="D511" s="1301"/>
    </row>
    <row r="512" spans="1:4">
      <c r="A512" s="1299" t="s">
        <v>329</v>
      </c>
      <c r="B512" s="1300"/>
      <c r="C512" s="1314" t="e">
        <f>'0422Master'!#REF!</f>
        <v>#REF!</v>
      </c>
      <c r="D512" s="1301"/>
    </row>
    <row r="513" spans="1:4">
      <c r="A513" s="1299" t="s">
        <v>330</v>
      </c>
      <c r="B513" s="1300"/>
      <c r="C513" s="1315" t="e">
        <f>'0422Master'!#REF!</f>
        <v>#REF!</v>
      </c>
      <c r="D513" s="1301"/>
    </row>
    <row r="514" spans="1:4">
      <c r="A514" s="1299" t="s">
        <v>331</v>
      </c>
      <c r="B514" s="1300"/>
      <c r="C514" s="1162"/>
      <c r="D514" s="1301"/>
    </row>
    <row r="515" spans="1:4">
      <c r="A515" s="1299"/>
      <c r="B515" s="1300"/>
      <c r="C515" s="1314" t="e">
        <f>'0422Master'!#REF!</f>
        <v>#REF!</v>
      </c>
      <c r="D515" s="1301"/>
    </row>
    <row r="516" spans="1:4">
      <c r="A516" s="1299"/>
      <c r="B516" s="1300"/>
      <c r="C516" s="1314" t="e">
        <f>'0422Master'!#REF!</f>
        <v>#REF!</v>
      </c>
      <c r="D516" s="1301"/>
    </row>
    <row r="517" spans="1:4">
      <c r="A517" s="1299"/>
      <c r="B517" s="1300"/>
      <c r="C517" s="1314" t="e">
        <f>'0422Master'!#REF!</f>
        <v>#REF!</v>
      </c>
      <c r="D517" s="1301"/>
    </row>
    <row r="518" spans="1:4">
      <c r="A518" s="226" t="s">
        <v>273</v>
      </c>
      <c r="B518" s="231" t="s">
        <v>362</v>
      </c>
      <c r="C518" s="231"/>
      <c r="D518" s="232"/>
    </row>
    <row r="519" spans="1:4">
      <c r="A519" s="226" t="s">
        <v>332</v>
      </c>
      <c r="B519" s="271" t="e">
        <f>'0422Master'!#REF!</f>
        <v>#REF!</v>
      </c>
      <c r="C519" s="240" t="s">
        <v>333</v>
      </c>
      <c r="D519" s="232"/>
    </row>
    <row r="520" spans="1:4">
      <c r="A520" s="226"/>
      <c r="B520" s="231"/>
      <c r="C520" s="231"/>
      <c r="D520" s="232"/>
    </row>
    <row r="521" spans="1:4">
      <c r="A521" s="1293" t="s">
        <v>334</v>
      </c>
      <c r="B521" s="1294"/>
      <c r="C521" s="1294"/>
      <c r="D521" s="1295"/>
    </row>
    <row r="522" spans="1:4">
      <c r="A522" s="226" t="s">
        <v>335</v>
      </c>
      <c r="B522" s="231"/>
      <c r="C522" s="231"/>
      <c r="D522" s="232"/>
    </row>
    <row r="523" spans="1:4">
      <c r="A523" s="226"/>
      <c r="B523" s="231"/>
      <c r="C523" s="231"/>
      <c r="D523" s="232"/>
    </row>
    <row r="524" spans="1:4">
      <c r="A524" s="1296" t="s">
        <v>336</v>
      </c>
      <c r="B524" s="1297"/>
      <c r="C524" s="1297" t="s">
        <v>337</v>
      </c>
      <c r="D524" s="1298"/>
    </row>
    <row r="525" spans="1:4">
      <c r="A525" s="1283">
        <v>1</v>
      </c>
      <c r="B525" s="1284"/>
      <c r="C525" s="1284">
        <v>1</v>
      </c>
      <c r="D525" s="1285"/>
    </row>
    <row r="526" spans="1:4">
      <c r="A526" s="1283">
        <v>2</v>
      </c>
      <c r="B526" s="1284"/>
      <c r="C526" s="1284">
        <v>2</v>
      </c>
      <c r="D526" s="1285"/>
    </row>
    <row r="527" spans="1:4">
      <c r="A527" s="241"/>
      <c r="C527" s="1286" t="s">
        <v>342</v>
      </c>
      <c r="D527" s="1287"/>
    </row>
    <row r="528" spans="1:4">
      <c r="A528" s="1288" t="s">
        <v>338</v>
      </c>
      <c r="B528" s="1289"/>
      <c r="C528" s="1289"/>
      <c r="D528" s="1290"/>
    </row>
    <row r="529" spans="1:4">
      <c r="A529" s="244" t="s">
        <v>339</v>
      </c>
      <c r="B529" s="245"/>
      <c r="C529" s="245"/>
      <c r="D529" s="246"/>
    </row>
    <row r="530" spans="1:4">
      <c r="A530" s="244"/>
      <c r="B530" s="245"/>
      <c r="C530" s="245"/>
      <c r="D530" s="246"/>
    </row>
    <row r="531" spans="1:4">
      <c r="A531" s="244"/>
      <c r="B531" s="245"/>
      <c r="C531" s="245" t="s">
        <v>340</v>
      </c>
      <c r="D531" s="246"/>
    </row>
    <row r="532" spans="1:4">
      <c r="A532" s="241"/>
      <c r="B532" s="242"/>
      <c r="C532" s="141" t="s">
        <v>144</v>
      </c>
      <c r="D532" s="243"/>
    </row>
    <row r="533" spans="1:4">
      <c r="A533" s="241"/>
      <c r="C533" t="s">
        <v>341</v>
      </c>
      <c r="D533" s="247"/>
    </row>
    <row r="534" spans="1:4">
      <c r="A534" s="241"/>
      <c r="C534" s="1291" t="str">
        <f>'0422Master'!F5</f>
        <v>Burgeon IT Services Pvt.Ltd.</v>
      </c>
      <c r="D534" s="1292"/>
    </row>
    <row r="535" spans="1:4">
      <c r="A535" s="226" t="s">
        <v>273</v>
      </c>
      <c r="B535" t="str">
        <f>B518</f>
        <v>Hyderabad</v>
      </c>
      <c r="C535" s="2" t="str">
        <f>'0422Master'!F6</f>
        <v>Siri Mansion LIGB 436 Dr.A S Rao Nagar,Hyderabad</v>
      </c>
      <c r="D535" s="13"/>
    </row>
    <row r="536" spans="1:4" ht="15.75" thickBot="1">
      <c r="A536" s="226" t="s">
        <v>332</v>
      </c>
      <c r="B536" s="263" t="e">
        <f>B519</f>
        <v>#REF!</v>
      </c>
      <c r="C536" s="2"/>
      <c r="D536" s="13"/>
    </row>
    <row r="537" spans="1:4" ht="15.75" thickBot="1">
      <c r="A537" s="252"/>
      <c r="B537" s="253" t="s">
        <v>345</v>
      </c>
      <c r="C537" s="253"/>
      <c r="D537" s="28"/>
    </row>
    <row r="538" spans="1:4">
      <c r="A538" s="226" t="s">
        <v>343</v>
      </c>
      <c r="C538" s="2"/>
      <c r="D538" s="13"/>
    </row>
    <row r="539" spans="1:4">
      <c r="A539" s="226" t="s">
        <v>332</v>
      </c>
      <c r="B539" s="263" t="e">
        <f>B536</f>
        <v>#REF!</v>
      </c>
      <c r="C539" s="2"/>
      <c r="D539" s="13"/>
    </row>
    <row r="540" spans="1:4" ht="15.75" thickBot="1">
      <c r="A540" s="255" t="s">
        <v>344</v>
      </c>
      <c r="B540" s="22"/>
      <c r="C540" s="22"/>
      <c r="D540" s="23" t="s">
        <v>135</v>
      </c>
    </row>
    <row r="544" spans="1:4" ht="15.75" thickBot="1"/>
    <row r="545" spans="1:4" ht="20.25">
      <c r="A545" s="1305" t="s">
        <v>307</v>
      </c>
      <c r="B545" s="1306"/>
      <c r="C545" s="1306"/>
      <c r="D545" s="1307"/>
    </row>
    <row r="546" spans="1:4">
      <c r="A546" s="1308" t="s">
        <v>308</v>
      </c>
      <c r="B546" s="1309"/>
      <c r="C546" s="1309"/>
      <c r="D546" s="1310"/>
    </row>
    <row r="547" spans="1:4" ht="18">
      <c r="A547" s="1311" t="s">
        <v>309</v>
      </c>
      <c r="B547" s="1312"/>
      <c r="C547" s="1312"/>
      <c r="D547" s="1313"/>
    </row>
    <row r="548" spans="1:4">
      <c r="A548" s="12" t="s">
        <v>134</v>
      </c>
      <c r="D548" s="13"/>
    </row>
    <row r="549" spans="1:4" ht="18">
      <c r="A549" s="248" t="str">
        <f>'0422Master'!F5</f>
        <v>Burgeon IT Services Pvt.Ltd.</v>
      </c>
      <c r="B549" s="225"/>
      <c r="D549" s="13"/>
    </row>
    <row r="550" spans="1:4" ht="18">
      <c r="A550" s="248" t="str">
        <f>'0422Master'!F6</f>
        <v>Siri Mansion LIGB 436 Dr.A S Rao Nagar,Hyderabad</v>
      </c>
      <c r="B550" s="225"/>
      <c r="D550" s="13"/>
    </row>
    <row r="551" spans="1:4" ht="18">
      <c r="A551" s="227"/>
      <c r="B551" s="4"/>
      <c r="D551" s="13"/>
    </row>
    <row r="552" spans="1:4" ht="15.75">
      <c r="A552" s="226" t="s">
        <v>310</v>
      </c>
      <c r="B552" s="249"/>
      <c r="C552" s="250" t="e">
        <f>'0422Master'!#REF!</f>
        <v>#REF!</v>
      </c>
      <c r="D552" s="80"/>
    </row>
    <row r="553" spans="1:4">
      <c r="A553" s="1302" t="s">
        <v>311</v>
      </c>
      <c r="B553" s="1303"/>
      <c r="C553" s="1303"/>
      <c r="D553" s="1304"/>
    </row>
    <row r="554" spans="1:4">
      <c r="A554" s="12"/>
      <c r="D554" s="13"/>
    </row>
    <row r="555" spans="1:4">
      <c r="A555" s="1302" t="s">
        <v>312</v>
      </c>
      <c r="B555" s="1303"/>
      <c r="C555" s="1303"/>
      <c r="D555" s="1304"/>
    </row>
    <row r="556" spans="1:4">
      <c r="A556" s="228"/>
      <c r="B556" s="229"/>
      <c r="C556" s="229"/>
      <c r="D556" s="230"/>
    </row>
    <row r="557" spans="1:4">
      <c r="A557" s="1296" t="s">
        <v>313</v>
      </c>
      <c r="B557" s="1297"/>
      <c r="C557" s="1297"/>
      <c r="D557" s="1298"/>
    </row>
    <row r="558" spans="1:4">
      <c r="A558" s="12"/>
      <c r="D558" s="13"/>
    </row>
    <row r="559" spans="1:4">
      <c r="A559" s="1296" t="s">
        <v>314</v>
      </c>
      <c r="B559" s="1297"/>
      <c r="C559" s="1297"/>
      <c r="D559" s="1298"/>
    </row>
    <row r="560" spans="1:4">
      <c r="A560" s="1296" t="s">
        <v>315</v>
      </c>
      <c r="B560" s="1297"/>
      <c r="C560" s="1297"/>
      <c r="D560" s="1298"/>
    </row>
    <row r="561" spans="1:4">
      <c r="A561" s="226"/>
      <c r="B561" s="231"/>
      <c r="C561" s="231"/>
      <c r="D561" s="232"/>
    </row>
    <row r="562" spans="1:4">
      <c r="A562" s="1302" t="s">
        <v>316</v>
      </c>
      <c r="B562" s="1303"/>
      <c r="C562" s="1303"/>
      <c r="D562" s="1304"/>
    </row>
    <row r="563" spans="1:4">
      <c r="A563" s="226"/>
      <c r="B563" s="231"/>
      <c r="C563" s="231"/>
      <c r="D563" s="232"/>
    </row>
    <row r="564" spans="1:4">
      <c r="A564" s="1296" t="s">
        <v>317</v>
      </c>
      <c r="B564" s="1297"/>
      <c r="C564" s="1297"/>
      <c r="D564" s="1298"/>
    </row>
    <row r="565" spans="1:4">
      <c r="A565" s="12"/>
      <c r="D565" s="13"/>
    </row>
    <row r="566" spans="1:4">
      <c r="A566" s="1293" t="s">
        <v>318</v>
      </c>
      <c r="B566" s="1294"/>
      <c r="C566" s="1294"/>
      <c r="D566" s="1295"/>
    </row>
    <row r="567" spans="1:4" ht="42.75">
      <c r="A567" s="233" t="s">
        <v>319</v>
      </c>
      <c r="B567" s="234" t="s">
        <v>320</v>
      </c>
      <c r="C567" s="234" t="s">
        <v>321</v>
      </c>
      <c r="D567" s="235" t="s">
        <v>322</v>
      </c>
    </row>
    <row r="568" spans="1:4">
      <c r="A568" s="236">
        <v>1</v>
      </c>
      <c r="B568" s="237">
        <v>2</v>
      </c>
      <c r="C568" s="237">
        <v>3</v>
      </c>
      <c r="D568" s="238">
        <v>4</v>
      </c>
    </row>
    <row r="569" spans="1:4">
      <c r="A569" s="12" t="e">
        <f>'0422Master'!#REF!</f>
        <v>#REF!</v>
      </c>
      <c r="B569" s="10" t="s">
        <v>364</v>
      </c>
      <c r="C569" s="10" t="s">
        <v>371</v>
      </c>
      <c r="D569" s="270">
        <v>1</v>
      </c>
    </row>
    <row r="570" spans="1:4">
      <c r="A570" s="254"/>
      <c r="B570" s="10"/>
      <c r="C570" s="10"/>
      <c r="D570" s="239"/>
    </row>
    <row r="571" spans="1:4">
      <c r="A571" s="251"/>
      <c r="B571" s="10"/>
      <c r="C571" s="10"/>
      <c r="D571" s="239"/>
    </row>
    <row r="572" spans="1:4">
      <c r="A572" s="12"/>
      <c r="D572" s="13"/>
    </row>
    <row r="573" spans="1:4">
      <c r="A573" s="1293" t="s">
        <v>323</v>
      </c>
      <c r="B573" s="1294"/>
      <c r="C573" s="1294"/>
      <c r="D573" s="1295"/>
    </row>
    <row r="574" spans="1:4">
      <c r="A574" s="142"/>
      <c r="B574" s="5"/>
      <c r="C574" s="5"/>
      <c r="D574" s="143"/>
    </row>
    <row r="575" spans="1:4">
      <c r="A575" s="1299" t="s">
        <v>324</v>
      </c>
      <c r="B575" s="1300"/>
      <c r="C575" s="1314" t="e">
        <f>'0422Master'!#REF!</f>
        <v>#REF!</v>
      </c>
      <c r="D575" s="1301"/>
    </row>
    <row r="576" spans="1:4">
      <c r="A576" s="1299" t="s">
        <v>325</v>
      </c>
      <c r="B576" s="1300"/>
      <c r="C576" s="1162" t="e">
        <f>'0422Master'!#REF!</f>
        <v>#REF!</v>
      </c>
      <c r="D576" s="1301"/>
    </row>
    <row r="577" spans="1:4">
      <c r="A577" s="1299" t="s">
        <v>326</v>
      </c>
      <c r="B577" s="1300"/>
      <c r="C577" s="1162" t="s">
        <v>372</v>
      </c>
      <c r="D577" s="1301"/>
    </row>
    <row r="578" spans="1:4">
      <c r="A578" s="1299" t="s">
        <v>327</v>
      </c>
      <c r="B578" s="1300"/>
      <c r="C578" s="1162" t="s">
        <v>370</v>
      </c>
      <c r="D578" s="1301"/>
    </row>
    <row r="579" spans="1:4">
      <c r="A579" s="1299" t="s">
        <v>328</v>
      </c>
      <c r="B579" s="1300"/>
      <c r="C579" s="1314" t="e">
        <f>'0422Master'!#REF!</f>
        <v>#REF!</v>
      </c>
      <c r="D579" s="1301"/>
    </row>
    <row r="580" spans="1:4">
      <c r="A580" s="1299" t="s">
        <v>329</v>
      </c>
      <c r="B580" s="1300"/>
      <c r="C580" s="1314" t="e">
        <f>'0422Master'!#REF!</f>
        <v>#REF!</v>
      </c>
      <c r="D580" s="1301"/>
    </row>
    <row r="581" spans="1:4">
      <c r="A581" s="1299" t="s">
        <v>330</v>
      </c>
      <c r="B581" s="1300"/>
      <c r="C581" s="1315" t="e">
        <f>'0422Master'!#REF!</f>
        <v>#REF!</v>
      </c>
      <c r="D581" s="1301"/>
    </row>
    <row r="582" spans="1:4">
      <c r="A582" s="1299" t="s">
        <v>331</v>
      </c>
      <c r="B582" s="1300"/>
      <c r="C582" s="1162"/>
      <c r="D582" s="1301"/>
    </row>
    <row r="583" spans="1:4">
      <c r="A583" s="1299"/>
      <c r="B583" s="1300"/>
      <c r="C583" s="1314" t="e">
        <f>'0422Master'!#REF!</f>
        <v>#REF!</v>
      </c>
      <c r="D583" s="1301"/>
    </row>
    <row r="584" spans="1:4">
      <c r="A584" s="1299"/>
      <c r="B584" s="1300"/>
      <c r="C584" s="1314" t="e">
        <f>'0422Master'!#REF!</f>
        <v>#REF!</v>
      </c>
      <c r="D584" s="1301"/>
    </row>
    <row r="585" spans="1:4">
      <c r="A585" s="1299"/>
      <c r="B585" s="1300"/>
      <c r="C585" s="1314" t="e">
        <f>'0422Master'!#REF!</f>
        <v>#REF!</v>
      </c>
      <c r="D585" s="1301"/>
    </row>
    <row r="586" spans="1:4">
      <c r="A586" s="226" t="s">
        <v>273</v>
      </c>
      <c r="B586" s="231" t="s">
        <v>362</v>
      </c>
      <c r="C586" s="231"/>
      <c r="D586" s="232"/>
    </row>
    <row r="587" spans="1:4">
      <c r="A587" s="226" t="s">
        <v>332</v>
      </c>
      <c r="B587" s="271" t="e">
        <f>'0422Master'!#REF!</f>
        <v>#REF!</v>
      </c>
      <c r="C587" s="240" t="s">
        <v>333</v>
      </c>
      <c r="D587" s="232"/>
    </row>
    <row r="588" spans="1:4">
      <c r="A588" s="226"/>
      <c r="B588" s="231"/>
      <c r="C588" s="231"/>
      <c r="D588" s="232"/>
    </row>
    <row r="589" spans="1:4">
      <c r="A589" s="1293" t="s">
        <v>334</v>
      </c>
      <c r="B589" s="1294"/>
      <c r="C589" s="1294"/>
      <c r="D589" s="1295"/>
    </row>
    <row r="590" spans="1:4">
      <c r="A590" s="226" t="s">
        <v>335</v>
      </c>
      <c r="B590" s="231"/>
      <c r="C590" s="231"/>
      <c r="D590" s="232"/>
    </row>
    <row r="591" spans="1:4">
      <c r="A591" s="226"/>
      <c r="B591" s="231"/>
      <c r="C591" s="231"/>
      <c r="D591" s="232"/>
    </row>
    <row r="592" spans="1:4">
      <c r="A592" s="1296" t="s">
        <v>336</v>
      </c>
      <c r="B592" s="1297"/>
      <c r="C592" s="1297" t="s">
        <v>337</v>
      </c>
      <c r="D592" s="1298"/>
    </row>
    <row r="593" spans="1:4">
      <c r="A593" s="1283">
        <v>1</v>
      </c>
      <c r="B593" s="1284"/>
      <c r="C593" s="1284">
        <v>1</v>
      </c>
      <c r="D593" s="1285"/>
    </row>
    <row r="594" spans="1:4">
      <c r="A594" s="1283">
        <v>2</v>
      </c>
      <c r="B594" s="1284"/>
      <c r="C594" s="1284">
        <v>2</v>
      </c>
      <c r="D594" s="1285"/>
    </row>
    <row r="595" spans="1:4">
      <c r="A595" s="241"/>
      <c r="C595" s="1286" t="s">
        <v>342</v>
      </c>
      <c r="D595" s="1287"/>
    </row>
    <row r="596" spans="1:4">
      <c r="A596" s="1288" t="s">
        <v>338</v>
      </c>
      <c r="B596" s="1289"/>
      <c r="C596" s="1289"/>
      <c r="D596" s="1290"/>
    </row>
    <row r="597" spans="1:4">
      <c r="A597" s="244" t="s">
        <v>339</v>
      </c>
      <c r="B597" s="245"/>
      <c r="C597" s="245"/>
      <c r="D597" s="246"/>
    </row>
    <row r="598" spans="1:4">
      <c r="A598" s="244"/>
      <c r="B598" s="245"/>
      <c r="C598" s="245"/>
      <c r="D598" s="246"/>
    </row>
    <row r="599" spans="1:4">
      <c r="A599" s="244"/>
      <c r="B599" s="245"/>
      <c r="C599" s="245" t="s">
        <v>340</v>
      </c>
      <c r="D599" s="246"/>
    </row>
    <row r="600" spans="1:4">
      <c r="A600" s="241"/>
      <c r="B600" s="242"/>
      <c r="C600" s="141" t="s">
        <v>144</v>
      </c>
      <c r="D600" s="243"/>
    </row>
    <row r="601" spans="1:4">
      <c r="A601" s="241"/>
      <c r="C601" t="s">
        <v>341</v>
      </c>
      <c r="D601" s="247"/>
    </row>
    <row r="602" spans="1:4">
      <c r="A602" s="241"/>
      <c r="C602" s="1291">
        <f>'0422Master'!F453</f>
        <v>0</v>
      </c>
      <c r="D602" s="1292"/>
    </row>
    <row r="603" spans="1:4">
      <c r="A603" s="226" t="s">
        <v>273</v>
      </c>
      <c r="B603" t="str">
        <f>B586</f>
        <v>Hyderabad</v>
      </c>
      <c r="C603" s="2">
        <f>'0422Master'!F454</f>
        <v>0</v>
      </c>
      <c r="D603" s="13"/>
    </row>
    <row r="604" spans="1:4" ht="15.75" thickBot="1">
      <c r="A604" s="226" t="s">
        <v>332</v>
      </c>
      <c r="B604" s="263" t="e">
        <f>B587</f>
        <v>#REF!</v>
      </c>
      <c r="C604" s="2"/>
      <c r="D604" s="13"/>
    </row>
    <row r="605" spans="1:4" ht="15.75" thickBot="1">
      <c r="A605" s="252"/>
      <c r="B605" s="253" t="s">
        <v>345</v>
      </c>
      <c r="C605" s="253"/>
      <c r="D605" s="28"/>
    </row>
    <row r="606" spans="1:4">
      <c r="A606" s="226" t="s">
        <v>343</v>
      </c>
      <c r="C606" s="2"/>
      <c r="D606" s="13"/>
    </row>
    <row r="607" spans="1:4">
      <c r="A607" s="226" t="s">
        <v>332</v>
      </c>
      <c r="B607" s="263" t="e">
        <f>B604</f>
        <v>#REF!</v>
      </c>
      <c r="C607" s="2"/>
      <c r="D607" s="13"/>
    </row>
    <row r="608" spans="1:4" ht="15.75" thickBot="1">
      <c r="A608" s="255" t="s">
        <v>344</v>
      </c>
      <c r="B608" s="22"/>
      <c r="C608" s="22"/>
      <c r="D608" s="23" t="s">
        <v>135</v>
      </c>
    </row>
    <row r="612" spans="1:4" ht="15.75" thickBot="1"/>
    <row r="613" spans="1:4" ht="20.25">
      <c r="A613" s="1305" t="s">
        <v>307</v>
      </c>
      <c r="B613" s="1306"/>
      <c r="C613" s="1306"/>
      <c r="D613" s="1307"/>
    </row>
    <row r="614" spans="1:4">
      <c r="A614" s="1308" t="s">
        <v>308</v>
      </c>
      <c r="B614" s="1309"/>
      <c r="C614" s="1309"/>
      <c r="D614" s="1310"/>
    </row>
    <row r="615" spans="1:4" ht="18">
      <c r="A615" s="1311" t="s">
        <v>309</v>
      </c>
      <c r="B615" s="1312"/>
      <c r="C615" s="1312"/>
      <c r="D615" s="1313"/>
    </row>
    <row r="616" spans="1:4">
      <c r="A616" s="12" t="s">
        <v>134</v>
      </c>
      <c r="D616" s="13"/>
    </row>
    <row r="617" spans="1:4" ht="18">
      <c r="A617" s="248">
        <f>'0422Master'!F521</f>
        <v>0</v>
      </c>
      <c r="B617" s="225"/>
      <c r="D617" s="13"/>
    </row>
    <row r="618" spans="1:4" ht="18">
      <c r="A618" s="248">
        <f>'0422Master'!F522</f>
        <v>0</v>
      </c>
      <c r="B618" s="225"/>
      <c r="D618" s="13"/>
    </row>
    <row r="619" spans="1:4" ht="18">
      <c r="A619" s="227"/>
      <c r="B619" s="4"/>
      <c r="D619" s="13"/>
    </row>
    <row r="620" spans="1:4" ht="15.75">
      <c r="A620" s="226" t="s">
        <v>310</v>
      </c>
      <c r="B620" s="249"/>
      <c r="C620" s="250">
        <f>'0422Master'!B531</f>
        <v>0</v>
      </c>
      <c r="D620" s="80"/>
    </row>
    <row r="621" spans="1:4">
      <c r="A621" s="1302" t="s">
        <v>311</v>
      </c>
      <c r="B621" s="1303"/>
      <c r="C621" s="1303"/>
      <c r="D621" s="1304"/>
    </row>
    <row r="622" spans="1:4">
      <c r="A622" s="12"/>
      <c r="D622" s="13"/>
    </row>
    <row r="623" spans="1:4">
      <c r="A623" s="1302" t="s">
        <v>312</v>
      </c>
      <c r="B623" s="1303"/>
      <c r="C623" s="1303"/>
      <c r="D623" s="1304"/>
    </row>
    <row r="624" spans="1:4">
      <c r="A624" s="228"/>
      <c r="B624" s="229"/>
      <c r="C624" s="229"/>
      <c r="D624" s="230"/>
    </row>
    <row r="625" spans="1:4">
      <c r="A625" s="1296" t="s">
        <v>313</v>
      </c>
      <c r="B625" s="1297"/>
      <c r="C625" s="1297"/>
      <c r="D625" s="1298"/>
    </row>
    <row r="626" spans="1:4">
      <c r="A626" s="12"/>
      <c r="D626" s="13"/>
    </row>
    <row r="627" spans="1:4">
      <c r="A627" s="1296" t="s">
        <v>314</v>
      </c>
      <c r="B627" s="1297"/>
      <c r="C627" s="1297"/>
      <c r="D627" s="1298"/>
    </row>
    <row r="628" spans="1:4">
      <c r="A628" s="1296" t="s">
        <v>315</v>
      </c>
      <c r="B628" s="1297"/>
      <c r="C628" s="1297"/>
      <c r="D628" s="1298"/>
    </row>
    <row r="629" spans="1:4">
      <c r="A629" s="226"/>
      <c r="B629" s="231"/>
      <c r="C629" s="231"/>
      <c r="D629" s="232"/>
    </row>
    <row r="630" spans="1:4">
      <c r="A630" s="1302" t="s">
        <v>316</v>
      </c>
      <c r="B630" s="1303"/>
      <c r="C630" s="1303"/>
      <c r="D630" s="1304"/>
    </row>
    <row r="631" spans="1:4">
      <c r="A631" s="226"/>
      <c r="B631" s="231"/>
      <c r="C631" s="231"/>
      <c r="D631" s="232"/>
    </row>
    <row r="632" spans="1:4">
      <c r="A632" s="1296" t="s">
        <v>317</v>
      </c>
      <c r="B632" s="1297"/>
      <c r="C632" s="1297"/>
      <c r="D632" s="1298"/>
    </row>
    <row r="633" spans="1:4">
      <c r="A633" s="12"/>
      <c r="D633" s="13"/>
    </row>
    <row r="634" spans="1:4">
      <c r="A634" s="1293" t="s">
        <v>318</v>
      </c>
      <c r="B634" s="1294"/>
      <c r="C634" s="1294"/>
      <c r="D634" s="1295"/>
    </row>
    <row r="635" spans="1:4" ht="42.75">
      <c r="A635" s="233" t="s">
        <v>319</v>
      </c>
      <c r="B635" s="234" t="s">
        <v>320</v>
      </c>
      <c r="C635" s="234" t="s">
        <v>321</v>
      </c>
      <c r="D635" s="235" t="s">
        <v>322</v>
      </c>
    </row>
    <row r="636" spans="1:4">
      <c r="A636" s="236">
        <v>1</v>
      </c>
      <c r="B636" s="237">
        <v>2</v>
      </c>
      <c r="C636" s="237">
        <v>3</v>
      </c>
      <c r="D636" s="238">
        <v>4</v>
      </c>
    </row>
    <row r="637" spans="1:4">
      <c r="A637" s="12"/>
      <c r="B637" s="10" t="s">
        <v>364</v>
      </c>
      <c r="C637" s="10" t="s">
        <v>371</v>
      </c>
      <c r="D637" s="270">
        <v>1</v>
      </c>
    </row>
    <row r="638" spans="1:4">
      <c r="A638" s="254"/>
      <c r="B638" s="10"/>
      <c r="C638" s="10"/>
      <c r="D638" s="239"/>
    </row>
    <row r="639" spans="1:4">
      <c r="A639" s="251"/>
      <c r="B639" s="10"/>
      <c r="C639" s="10"/>
      <c r="D639" s="239"/>
    </row>
    <row r="640" spans="1:4">
      <c r="A640" s="12"/>
      <c r="D640" s="13"/>
    </row>
    <row r="641" spans="1:4">
      <c r="A641" s="1293" t="s">
        <v>323</v>
      </c>
      <c r="B641" s="1294"/>
      <c r="C641" s="1294"/>
      <c r="D641" s="1295"/>
    </row>
    <row r="642" spans="1:4">
      <c r="A642" s="142"/>
      <c r="B642" s="5"/>
      <c r="C642" s="5"/>
      <c r="D642" s="143"/>
    </row>
    <row r="643" spans="1:4">
      <c r="A643" s="1299" t="s">
        <v>324</v>
      </c>
      <c r="B643" s="1300"/>
      <c r="C643" s="1162"/>
      <c r="D643" s="1301"/>
    </row>
    <row r="644" spans="1:4">
      <c r="A644" s="1299" t="s">
        <v>325</v>
      </c>
      <c r="B644" s="1300"/>
      <c r="C644" s="1162"/>
      <c r="D644" s="1301"/>
    </row>
    <row r="645" spans="1:4">
      <c r="A645" s="1299" t="s">
        <v>326</v>
      </c>
      <c r="B645" s="1300"/>
      <c r="C645" s="1162"/>
      <c r="D645" s="1301"/>
    </row>
    <row r="646" spans="1:4">
      <c r="A646" s="1299" t="s">
        <v>327</v>
      </c>
      <c r="B646" s="1300"/>
      <c r="C646" s="1162"/>
      <c r="D646" s="1301"/>
    </row>
    <row r="647" spans="1:4">
      <c r="A647" s="1299" t="s">
        <v>328</v>
      </c>
      <c r="B647" s="1300"/>
      <c r="C647" s="1162"/>
      <c r="D647" s="1301"/>
    </row>
    <row r="648" spans="1:4">
      <c r="A648" s="1299" t="s">
        <v>329</v>
      </c>
      <c r="B648" s="1300"/>
      <c r="C648" s="1162"/>
      <c r="D648" s="1301"/>
    </row>
    <row r="649" spans="1:4">
      <c r="A649" s="1299" t="s">
        <v>330</v>
      </c>
      <c r="B649" s="1300"/>
      <c r="C649" s="1162"/>
      <c r="D649" s="1301"/>
    </row>
    <row r="650" spans="1:4">
      <c r="A650" s="1299" t="s">
        <v>331</v>
      </c>
      <c r="B650" s="1300"/>
      <c r="C650" s="1162"/>
      <c r="D650" s="1301"/>
    </row>
    <row r="651" spans="1:4">
      <c r="A651" s="1299"/>
      <c r="B651" s="1300"/>
      <c r="C651" s="1162"/>
      <c r="D651" s="1301"/>
    </row>
    <row r="652" spans="1:4">
      <c r="A652" s="1299"/>
      <c r="B652" s="1300"/>
      <c r="C652" s="1162"/>
      <c r="D652" s="1301"/>
    </row>
    <row r="653" spans="1:4">
      <c r="A653" s="1299"/>
      <c r="B653" s="1300"/>
      <c r="C653" s="1162"/>
      <c r="D653" s="1301"/>
    </row>
    <row r="654" spans="1:4">
      <c r="A654" s="226" t="s">
        <v>273</v>
      </c>
      <c r="B654" s="231"/>
      <c r="C654" s="231"/>
      <c r="D654" s="232"/>
    </row>
    <row r="655" spans="1:4">
      <c r="A655" s="226" t="s">
        <v>332</v>
      </c>
      <c r="B655" s="231"/>
      <c r="C655" s="240" t="s">
        <v>333</v>
      </c>
      <c r="D655" s="232"/>
    </row>
    <row r="656" spans="1:4">
      <c r="A656" s="226"/>
      <c r="B656" s="231"/>
      <c r="C656" s="231"/>
      <c r="D656" s="232"/>
    </row>
    <row r="657" spans="1:4">
      <c r="A657" s="1293" t="s">
        <v>334</v>
      </c>
      <c r="B657" s="1294"/>
      <c r="C657" s="1294"/>
      <c r="D657" s="1295"/>
    </row>
    <row r="658" spans="1:4">
      <c r="A658" s="226" t="s">
        <v>335</v>
      </c>
      <c r="B658" s="231"/>
      <c r="C658" s="231"/>
      <c r="D658" s="232"/>
    </row>
    <row r="659" spans="1:4">
      <c r="A659" s="226"/>
      <c r="B659" s="231"/>
      <c r="C659" s="231"/>
      <c r="D659" s="232"/>
    </row>
    <row r="660" spans="1:4">
      <c r="A660" s="1296" t="s">
        <v>336</v>
      </c>
      <c r="B660" s="1297"/>
      <c r="C660" s="1297" t="s">
        <v>337</v>
      </c>
      <c r="D660" s="1298"/>
    </row>
    <row r="661" spans="1:4">
      <c r="A661" s="1283">
        <v>1</v>
      </c>
      <c r="B661" s="1284"/>
      <c r="C661" s="1284">
        <v>1</v>
      </c>
      <c r="D661" s="1285"/>
    </row>
    <row r="662" spans="1:4">
      <c r="A662" s="1283">
        <v>2</v>
      </c>
      <c r="B662" s="1284"/>
      <c r="C662" s="1284">
        <v>2</v>
      </c>
      <c r="D662" s="1285"/>
    </row>
    <row r="663" spans="1:4">
      <c r="A663" s="241"/>
      <c r="C663" s="1286" t="s">
        <v>342</v>
      </c>
      <c r="D663" s="1287"/>
    </row>
    <row r="664" spans="1:4">
      <c r="A664" s="1288" t="s">
        <v>338</v>
      </c>
      <c r="B664" s="1289"/>
      <c r="C664" s="1289"/>
      <c r="D664" s="1290"/>
    </row>
    <row r="665" spans="1:4">
      <c r="A665" s="244" t="s">
        <v>339</v>
      </c>
      <c r="B665" s="245"/>
      <c r="C665" s="245"/>
      <c r="D665" s="246"/>
    </row>
    <row r="666" spans="1:4">
      <c r="A666" s="244"/>
      <c r="B666" s="245"/>
      <c r="C666" s="245"/>
      <c r="D666" s="246"/>
    </row>
    <row r="667" spans="1:4">
      <c r="A667" s="244"/>
      <c r="B667" s="245"/>
      <c r="C667" s="245" t="s">
        <v>340</v>
      </c>
      <c r="D667" s="246"/>
    </row>
    <row r="668" spans="1:4">
      <c r="A668" s="241"/>
      <c r="B668" s="242"/>
      <c r="C668" s="141" t="s">
        <v>144</v>
      </c>
      <c r="D668" s="243"/>
    </row>
    <row r="669" spans="1:4">
      <c r="A669" s="241"/>
      <c r="C669" t="s">
        <v>341</v>
      </c>
      <c r="D669" s="247"/>
    </row>
    <row r="670" spans="1:4">
      <c r="A670" s="241"/>
      <c r="C670" s="1291">
        <f>'0422Master'!F521</f>
        <v>0</v>
      </c>
      <c r="D670" s="1292"/>
    </row>
    <row r="671" spans="1:4">
      <c r="A671" s="226" t="s">
        <v>273</v>
      </c>
      <c r="C671" s="2">
        <f>'0422Master'!F522</f>
        <v>0</v>
      </c>
      <c r="D671" s="13"/>
    </row>
    <row r="672" spans="1:4" ht="15.75" thickBot="1">
      <c r="A672" s="226" t="s">
        <v>332</v>
      </c>
      <c r="C672" s="2"/>
      <c r="D672" s="13"/>
    </row>
    <row r="673" spans="1:4" ht="15.75" thickBot="1">
      <c r="A673" s="252"/>
      <c r="B673" s="253" t="s">
        <v>345</v>
      </c>
      <c r="C673" s="253"/>
      <c r="D673" s="28"/>
    </row>
    <row r="674" spans="1:4">
      <c r="A674" s="226" t="s">
        <v>343</v>
      </c>
      <c r="C674" s="2"/>
      <c r="D674" s="13"/>
    </row>
    <row r="675" spans="1:4">
      <c r="A675" s="226" t="s">
        <v>332</v>
      </c>
      <c r="C675" s="2"/>
      <c r="D675" s="13"/>
    </row>
    <row r="676" spans="1:4" ht="15.75" thickBot="1">
      <c r="A676" s="255" t="s">
        <v>344</v>
      </c>
      <c r="B676" s="22"/>
      <c r="C676" s="22"/>
      <c r="D676" s="23" t="s">
        <v>135</v>
      </c>
    </row>
    <row r="680" spans="1:4" ht="15.75" thickBot="1"/>
    <row r="681" spans="1:4" ht="20.25">
      <c r="A681" s="1305" t="s">
        <v>307</v>
      </c>
      <c r="B681" s="1306"/>
      <c r="C681" s="1306"/>
      <c r="D681" s="1307"/>
    </row>
    <row r="682" spans="1:4">
      <c r="A682" s="1308" t="s">
        <v>308</v>
      </c>
      <c r="B682" s="1309"/>
      <c r="C682" s="1309"/>
      <c r="D682" s="1310"/>
    </row>
    <row r="683" spans="1:4" ht="18">
      <c r="A683" s="1311" t="s">
        <v>309</v>
      </c>
      <c r="B683" s="1312"/>
      <c r="C683" s="1312"/>
      <c r="D683" s="1313"/>
    </row>
    <row r="684" spans="1:4">
      <c r="A684" s="12" t="s">
        <v>134</v>
      </c>
      <c r="D684" s="13"/>
    </row>
    <row r="685" spans="1:4" ht="18">
      <c r="A685" s="248">
        <f>'0422Master'!F589</f>
        <v>0</v>
      </c>
      <c r="B685" s="225"/>
      <c r="D685" s="13"/>
    </row>
    <row r="686" spans="1:4" ht="18">
      <c r="A686" s="248">
        <f>'0422Master'!F590</f>
        <v>0</v>
      </c>
      <c r="B686" s="225"/>
      <c r="D686" s="13"/>
    </row>
    <row r="687" spans="1:4" ht="18">
      <c r="A687" s="227"/>
      <c r="B687" s="4"/>
      <c r="D687" s="13"/>
    </row>
    <row r="688" spans="1:4" ht="15.75">
      <c r="A688" s="226" t="s">
        <v>310</v>
      </c>
      <c r="B688" s="249"/>
      <c r="C688" s="250">
        <f>'0422Master'!B599</f>
        <v>0</v>
      </c>
      <c r="D688" s="80"/>
    </row>
    <row r="689" spans="1:4">
      <c r="A689" s="1302" t="s">
        <v>311</v>
      </c>
      <c r="B689" s="1303"/>
      <c r="C689" s="1303"/>
      <c r="D689" s="1304"/>
    </row>
    <row r="690" spans="1:4">
      <c r="A690" s="12"/>
      <c r="D690" s="13"/>
    </row>
    <row r="691" spans="1:4">
      <c r="A691" s="1302" t="s">
        <v>312</v>
      </c>
      <c r="B691" s="1303"/>
      <c r="C691" s="1303"/>
      <c r="D691" s="1304"/>
    </row>
    <row r="692" spans="1:4">
      <c r="A692" s="228"/>
      <c r="B692" s="229"/>
      <c r="C692" s="229"/>
      <c r="D692" s="230"/>
    </row>
    <row r="693" spans="1:4">
      <c r="A693" s="1296" t="s">
        <v>313</v>
      </c>
      <c r="B693" s="1297"/>
      <c r="C693" s="1297"/>
      <c r="D693" s="1298"/>
    </row>
    <row r="694" spans="1:4">
      <c r="A694" s="12"/>
      <c r="D694" s="13"/>
    </row>
    <row r="695" spans="1:4">
      <c r="A695" s="1296" t="s">
        <v>314</v>
      </c>
      <c r="B695" s="1297"/>
      <c r="C695" s="1297"/>
      <c r="D695" s="1298"/>
    </row>
    <row r="696" spans="1:4">
      <c r="A696" s="1296" t="s">
        <v>315</v>
      </c>
      <c r="B696" s="1297"/>
      <c r="C696" s="1297"/>
      <c r="D696" s="1298"/>
    </row>
    <row r="697" spans="1:4">
      <c r="A697" s="226"/>
      <c r="B697" s="231"/>
      <c r="C697" s="231"/>
      <c r="D697" s="232"/>
    </row>
    <row r="698" spans="1:4">
      <c r="A698" s="1302" t="s">
        <v>316</v>
      </c>
      <c r="B698" s="1303"/>
      <c r="C698" s="1303"/>
      <c r="D698" s="1304"/>
    </row>
    <row r="699" spans="1:4">
      <c r="A699" s="226"/>
      <c r="B699" s="231"/>
      <c r="C699" s="231"/>
      <c r="D699" s="232"/>
    </row>
    <row r="700" spans="1:4">
      <c r="A700" s="1296" t="s">
        <v>317</v>
      </c>
      <c r="B700" s="1297"/>
      <c r="C700" s="1297"/>
      <c r="D700" s="1298"/>
    </row>
    <row r="701" spans="1:4">
      <c r="A701" s="12"/>
      <c r="D701" s="13"/>
    </row>
    <row r="702" spans="1:4">
      <c r="A702" s="1293" t="s">
        <v>318</v>
      </c>
      <c r="B702" s="1294"/>
      <c r="C702" s="1294"/>
      <c r="D702" s="1295"/>
    </row>
    <row r="703" spans="1:4" ht="42.75">
      <c r="A703" s="233" t="s">
        <v>319</v>
      </c>
      <c r="B703" s="234" t="s">
        <v>320</v>
      </c>
      <c r="C703" s="234" t="s">
        <v>321</v>
      </c>
      <c r="D703" s="235" t="s">
        <v>322</v>
      </c>
    </row>
    <row r="704" spans="1:4">
      <c r="A704" s="236">
        <v>1</v>
      </c>
      <c r="B704" s="237">
        <v>2</v>
      </c>
      <c r="C704" s="237">
        <v>3</v>
      </c>
      <c r="D704" s="238">
        <v>4</v>
      </c>
    </row>
    <row r="705" spans="1:4">
      <c r="A705" s="12"/>
      <c r="B705" s="10" t="s">
        <v>364</v>
      </c>
      <c r="C705" s="10" t="s">
        <v>371</v>
      </c>
      <c r="D705" s="270">
        <v>1</v>
      </c>
    </row>
    <row r="706" spans="1:4">
      <c r="A706" s="254"/>
      <c r="B706" s="10"/>
      <c r="C706" s="10"/>
      <c r="D706" s="239"/>
    </row>
    <row r="707" spans="1:4">
      <c r="A707" s="251"/>
      <c r="B707" s="10"/>
      <c r="C707" s="10"/>
      <c r="D707" s="239"/>
    </row>
    <row r="708" spans="1:4">
      <c r="A708" s="12"/>
      <c r="D708" s="13"/>
    </row>
    <row r="709" spans="1:4">
      <c r="A709" s="1293" t="s">
        <v>323</v>
      </c>
      <c r="B709" s="1294"/>
      <c r="C709" s="1294"/>
      <c r="D709" s="1295"/>
    </row>
    <row r="710" spans="1:4">
      <c r="A710" s="142"/>
      <c r="B710" s="5"/>
      <c r="C710" s="5"/>
      <c r="D710" s="143"/>
    </row>
    <row r="711" spans="1:4">
      <c r="A711" s="1299" t="s">
        <v>324</v>
      </c>
      <c r="B711" s="1300"/>
      <c r="C711" s="1162"/>
      <c r="D711" s="1301"/>
    </row>
    <row r="712" spans="1:4">
      <c r="A712" s="1299" t="s">
        <v>325</v>
      </c>
      <c r="B712" s="1300"/>
      <c r="C712" s="1162"/>
      <c r="D712" s="1301"/>
    </row>
    <row r="713" spans="1:4">
      <c r="A713" s="1299" t="s">
        <v>326</v>
      </c>
      <c r="B713" s="1300"/>
      <c r="C713" s="1162"/>
      <c r="D713" s="1301"/>
    </row>
    <row r="714" spans="1:4">
      <c r="A714" s="1299" t="s">
        <v>327</v>
      </c>
      <c r="B714" s="1300"/>
      <c r="C714" s="1162"/>
      <c r="D714" s="1301"/>
    </row>
    <row r="715" spans="1:4">
      <c r="A715" s="1299" t="s">
        <v>328</v>
      </c>
      <c r="B715" s="1300"/>
      <c r="C715" s="1162"/>
      <c r="D715" s="1301"/>
    </row>
    <row r="716" spans="1:4">
      <c r="A716" s="1299" t="s">
        <v>329</v>
      </c>
      <c r="B716" s="1300"/>
      <c r="C716" s="1162"/>
      <c r="D716" s="1301"/>
    </row>
    <row r="717" spans="1:4">
      <c r="A717" s="1299" t="s">
        <v>330</v>
      </c>
      <c r="B717" s="1300"/>
      <c r="C717" s="1162"/>
      <c r="D717" s="1301"/>
    </row>
    <row r="718" spans="1:4">
      <c r="A718" s="1299" t="s">
        <v>331</v>
      </c>
      <c r="B718" s="1300"/>
      <c r="C718" s="1162"/>
      <c r="D718" s="1301"/>
    </row>
    <row r="719" spans="1:4">
      <c r="A719" s="1299"/>
      <c r="B719" s="1300"/>
      <c r="C719" s="1162"/>
      <c r="D719" s="1301"/>
    </row>
    <row r="720" spans="1:4">
      <c r="A720" s="1299"/>
      <c r="B720" s="1300"/>
      <c r="C720" s="1162"/>
      <c r="D720" s="1301"/>
    </row>
    <row r="721" spans="1:4">
      <c r="A721" s="1299"/>
      <c r="B721" s="1300"/>
      <c r="C721" s="1162"/>
      <c r="D721" s="1301"/>
    </row>
    <row r="722" spans="1:4">
      <c r="A722" s="226" t="s">
        <v>273</v>
      </c>
      <c r="B722" s="231"/>
      <c r="C722" s="231"/>
      <c r="D722" s="232"/>
    </row>
    <row r="723" spans="1:4">
      <c r="A723" s="226" t="s">
        <v>332</v>
      </c>
      <c r="B723" s="231"/>
      <c r="C723" s="240" t="s">
        <v>333</v>
      </c>
      <c r="D723" s="232"/>
    </row>
    <row r="724" spans="1:4">
      <c r="A724" s="226"/>
      <c r="B724" s="231"/>
      <c r="C724" s="231"/>
      <c r="D724" s="232"/>
    </row>
    <row r="725" spans="1:4">
      <c r="A725" s="1293" t="s">
        <v>334</v>
      </c>
      <c r="B725" s="1294"/>
      <c r="C725" s="1294"/>
      <c r="D725" s="1295"/>
    </row>
    <row r="726" spans="1:4">
      <c r="A726" s="226" t="s">
        <v>335</v>
      </c>
      <c r="B726" s="231"/>
      <c r="C726" s="231"/>
      <c r="D726" s="232"/>
    </row>
    <row r="727" spans="1:4">
      <c r="A727" s="226"/>
      <c r="B727" s="231"/>
      <c r="C727" s="231"/>
      <c r="D727" s="232"/>
    </row>
    <row r="728" spans="1:4">
      <c r="A728" s="1296" t="s">
        <v>336</v>
      </c>
      <c r="B728" s="1297"/>
      <c r="C728" s="1297" t="s">
        <v>337</v>
      </c>
      <c r="D728" s="1298"/>
    </row>
    <row r="729" spans="1:4">
      <c r="A729" s="1283">
        <v>1</v>
      </c>
      <c r="B729" s="1284"/>
      <c r="C729" s="1284">
        <v>1</v>
      </c>
      <c r="D729" s="1285"/>
    </row>
    <row r="730" spans="1:4">
      <c r="A730" s="1283">
        <v>2</v>
      </c>
      <c r="B730" s="1284"/>
      <c r="C730" s="1284">
        <v>2</v>
      </c>
      <c r="D730" s="1285"/>
    </row>
    <row r="731" spans="1:4">
      <c r="A731" s="241"/>
      <c r="C731" s="1286" t="s">
        <v>342</v>
      </c>
      <c r="D731" s="1287"/>
    </row>
    <row r="732" spans="1:4">
      <c r="A732" s="1288" t="s">
        <v>338</v>
      </c>
      <c r="B732" s="1289"/>
      <c r="C732" s="1289"/>
      <c r="D732" s="1290"/>
    </row>
    <row r="733" spans="1:4">
      <c r="A733" s="244" t="s">
        <v>339</v>
      </c>
      <c r="B733" s="245"/>
      <c r="C733" s="245"/>
      <c r="D733" s="246"/>
    </row>
    <row r="734" spans="1:4">
      <c r="A734" s="244"/>
      <c r="B734" s="245"/>
      <c r="C734" s="245"/>
      <c r="D734" s="246"/>
    </row>
    <row r="735" spans="1:4">
      <c r="A735" s="244"/>
      <c r="B735" s="245"/>
      <c r="C735" s="245" t="s">
        <v>340</v>
      </c>
      <c r="D735" s="246"/>
    </row>
    <row r="736" spans="1:4">
      <c r="A736" s="241"/>
      <c r="B736" s="242"/>
      <c r="C736" s="141" t="s">
        <v>144</v>
      </c>
      <c r="D736" s="243"/>
    </row>
    <row r="737" spans="1:4">
      <c r="A737" s="241"/>
      <c r="C737" t="s">
        <v>341</v>
      </c>
      <c r="D737" s="247"/>
    </row>
    <row r="738" spans="1:4">
      <c r="A738" s="241"/>
      <c r="C738" s="1291">
        <f>'0422Master'!F589</f>
        <v>0</v>
      </c>
      <c r="D738" s="1292"/>
    </row>
    <row r="739" spans="1:4">
      <c r="A739" s="226" t="s">
        <v>273</v>
      </c>
      <c r="C739" s="2">
        <f>'0422Master'!F590</f>
        <v>0</v>
      </c>
      <c r="D739" s="13"/>
    </row>
    <row r="740" spans="1:4" ht="15.75" thickBot="1">
      <c r="A740" s="226" t="s">
        <v>332</v>
      </c>
      <c r="C740" s="2"/>
      <c r="D740" s="13"/>
    </row>
    <row r="741" spans="1:4" ht="15.75" thickBot="1">
      <c r="A741" s="252"/>
      <c r="B741" s="253" t="s">
        <v>345</v>
      </c>
      <c r="C741" s="253"/>
      <c r="D741" s="28"/>
    </row>
    <row r="742" spans="1:4">
      <c r="A742" s="226" t="s">
        <v>343</v>
      </c>
      <c r="C742" s="2"/>
      <c r="D742" s="13"/>
    </row>
    <row r="743" spans="1:4">
      <c r="A743" s="226" t="s">
        <v>332</v>
      </c>
      <c r="C743" s="2"/>
      <c r="D743" s="13"/>
    </row>
    <row r="744" spans="1:4" ht="15.75" thickBot="1">
      <c r="A744" s="255" t="s">
        <v>344</v>
      </c>
      <c r="B744" s="22"/>
      <c r="C744" s="22"/>
      <c r="D744" s="23" t="s">
        <v>135</v>
      </c>
    </row>
  </sheetData>
  <mergeCells count="484">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 ref="A35:B35"/>
    <mergeCell ref="C35:D35"/>
    <mergeCell ref="A36:B36"/>
    <mergeCell ref="C36:D36"/>
    <mergeCell ref="A37:B37"/>
    <mergeCell ref="C37:D37"/>
    <mergeCell ref="A38:B38"/>
    <mergeCell ref="C38:D38"/>
    <mergeCell ref="A39:B39"/>
    <mergeCell ref="C39:D39"/>
    <mergeCell ref="A29:D29"/>
    <mergeCell ref="A31:B31"/>
    <mergeCell ref="C31:D31"/>
    <mergeCell ref="A32:B32"/>
    <mergeCell ref="C32:D32"/>
    <mergeCell ref="A33:B33"/>
    <mergeCell ref="C33:D33"/>
    <mergeCell ref="A34:B34"/>
    <mergeCell ref="C34:D34"/>
    <mergeCell ref="A22:D22"/>
    <mergeCell ref="A1:D1"/>
    <mergeCell ref="A2:D2"/>
    <mergeCell ref="A3:D3"/>
    <mergeCell ref="A9:D9"/>
    <mergeCell ref="A11:D11"/>
    <mergeCell ref="A13:D13"/>
    <mergeCell ref="A15:D15"/>
    <mergeCell ref="A16:D16"/>
    <mergeCell ref="A18:D18"/>
    <mergeCell ref="A20:D20"/>
    <mergeCell ref="A81:D81"/>
    <mergeCell ref="A83:D83"/>
    <mergeCell ref="A84:D84"/>
    <mergeCell ref="A86:D86"/>
    <mergeCell ref="A88:D88"/>
    <mergeCell ref="A69:D69"/>
    <mergeCell ref="A70:D70"/>
    <mergeCell ref="A71:D71"/>
    <mergeCell ref="A77:D77"/>
    <mergeCell ref="A79:D79"/>
    <mergeCell ref="A101:B101"/>
    <mergeCell ref="C101:D101"/>
    <mergeCell ref="A102:B102"/>
    <mergeCell ref="C102:D102"/>
    <mergeCell ref="A103:B103"/>
    <mergeCell ref="C103:D103"/>
    <mergeCell ref="A90:D90"/>
    <mergeCell ref="A97:D97"/>
    <mergeCell ref="A99:B99"/>
    <mergeCell ref="C99:D99"/>
    <mergeCell ref="A100:B100"/>
    <mergeCell ref="C100:D100"/>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18:B118"/>
    <mergeCell ref="C118:D118"/>
    <mergeCell ref="C119:D119"/>
    <mergeCell ref="A120:D120"/>
    <mergeCell ref="C126:D126"/>
    <mergeCell ref="A113:D113"/>
    <mergeCell ref="A116:B116"/>
    <mergeCell ref="C116:D116"/>
    <mergeCell ref="A117:B117"/>
    <mergeCell ref="C117:D117"/>
    <mergeCell ref="A149:D149"/>
    <mergeCell ref="A151:D151"/>
    <mergeCell ref="A152:D152"/>
    <mergeCell ref="A154:D154"/>
    <mergeCell ref="A156:D156"/>
    <mergeCell ref="A137:D137"/>
    <mergeCell ref="A138:D138"/>
    <mergeCell ref="A139:D139"/>
    <mergeCell ref="A145:D145"/>
    <mergeCell ref="A147:D147"/>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86:B186"/>
    <mergeCell ref="C186:D186"/>
    <mergeCell ref="C187:D187"/>
    <mergeCell ref="A188:D188"/>
    <mergeCell ref="C194:D194"/>
    <mergeCell ref="A181:D181"/>
    <mergeCell ref="A184:B184"/>
    <mergeCell ref="C184:D184"/>
    <mergeCell ref="A185:B185"/>
    <mergeCell ref="C185:D185"/>
    <mergeCell ref="A217:D217"/>
    <mergeCell ref="A219:D219"/>
    <mergeCell ref="A220:D220"/>
    <mergeCell ref="A222:D222"/>
    <mergeCell ref="A224:D224"/>
    <mergeCell ref="A205:D205"/>
    <mergeCell ref="A206:D206"/>
    <mergeCell ref="A207:D207"/>
    <mergeCell ref="A213:D213"/>
    <mergeCell ref="A215:D215"/>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54:B254"/>
    <mergeCell ref="C254:D254"/>
    <mergeCell ref="C255:D255"/>
    <mergeCell ref="A256:D256"/>
    <mergeCell ref="C262:D262"/>
    <mergeCell ref="A249:D249"/>
    <mergeCell ref="A252:B252"/>
    <mergeCell ref="C252:D252"/>
    <mergeCell ref="A253:B253"/>
    <mergeCell ref="C253:D253"/>
    <mergeCell ref="A285:D285"/>
    <mergeCell ref="A287:D287"/>
    <mergeCell ref="A288:D288"/>
    <mergeCell ref="A290:D290"/>
    <mergeCell ref="A292:D292"/>
    <mergeCell ref="A273:D273"/>
    <mergeCell ref="A274:D274"/>
    <mergeCell ref="A275:D275"/>
    <mergeCell ref="A281:D281"/>
    <mergeCell ref="A283:D283"/>
    <mergeCell ref="A305:B305"/>
    <mergeCell ref="C305:D305"/>
    <mergeCell ref="A306:B306"/>
    <mergeCell ref="C306:D306"/>
    <mergeCell ref="A307:B307"/>
    <mergeCell ref="C307:D307"/>
    <mergeCell ref="A294:D294"/>
    <mergeCell ref="A301:D301"/>
    <mergeCell ref="A303:B303"/>
    <mergeCell ref="C303:D303"/>
    <mergeCell ref="A304:B304"/>
    <mergeCell ref="C304:D304"/>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22:B322"/>
    <mergeCell ref="C322:D322"/>
    <mergeCell ref="C323:D323"/>
    <mergeCell ref="A324:D324"/>
    <mergeCell ref="C330:D330"/>
    <mergeCell ref="A317:D317"/>
    <mergeCell ref="A320:B320"/>
    <mergeCell ref="C320:D320"/>
    <mergeCell ref="A321:B321"/>
    <mergeCell ref="C321:D321"/>
    <mergeCell ref="A353:D353"/>
    <mergeCell ref="A355:D355"/>
    <mergeCell ref="A356:D356"/>
    <mergeCell ref="A358:D358"/>
    <mergeCell ref="A360:D360"/>
    <mergeCell ref="A341:D341"/>
    <mergeCell ref="A342:D342"/>
    <mergeCell ref="A343:D343"/>
    <mergeCell ref="A349:D349"/>
    <mergeCell ref="A351:D351"/>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90:B390"/>
    <mergeCell ref="C390:D390"/>
    <mergeCell ref="C391:D391"/>
    <mergeCell ref="A392:D392"/>
    <mergeCell ref="C398:D398"/>
    <mergeCell ref="A385:D385"/>
    <mergeCell ref="A388:B388"/>
    <mergeCell ref="C388:D388"/>
    <mergeCell ref="A389:B389"/>
    <mergeCell ref="C389:D389"/>
    <mergeCell ref="A421:D421"/>
    <mergeCell ref="A423:D423"/>
    <mergeCell ref="A424:D424"/>
    <mergeCell ref="A426:D426"/>
    <mergeCell ref="A428:D428"/>
    <mergeCell ref="A409:D409"/>
    <mergeCell ref="A410:D410"/>
    <mergeCell ref="A411:D411"/>
    <mergeCell ref="A417:D417"/>
    <mergeCell ref="A419:D419"/>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58:B458"/>
    <mergeCell ref="C458:D458"/>
    <mergeCell ref="C459:D459"/>
    <mergeCell ref="A460:D460"/>
    <mergeCell ref="C466:D466"/>
    <mergeCell ref="A453:D453"/>
    <mergeCell ref="A456:B456"/>
    <mergeCell ref="C456:D456"/>
    <mergeCell ref="A457:B457"/>
    <mergeCell ref="C457:D457"/>
    <mergeCell ref="A489:D489"/>
    <mergeCell ref="A491:D491"/>
    <mergeCell ref="A492:D492"/>
    <mergeCell ref="A494:D494"/>
    <mergeCell ref="A496:D496"/>
    <mergeCell ref="A477:D477"/>
    <mergeCell ref="A478:D478"/>
    <mergeCell ref="A479:D479"/>
    <mergeCell ref="A485:D485"/>
    <mergeCell ref="A487:D487"/>
    <mergeCell ref="A509:B509"/>
    <mergeCell ref="C509:D509"/>
    <mergeCell ref="A510:B510"/>
    <mergeCell ref="C510:D510"/>
    <mergeCell ref="A511:B511"/>
    <mergeCell ref="C511:D511"/>
    <mergeCell ref="A498:D498"/>
    <mergeCell ref="A505:D505"/>
    <mergeCell ref="A507:B507"/>
    <mergeCell ref="C507:D507"/>
    <mergeCell ref="A508:B508"/>
    <mergeCell ref="C508:D508"/>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26:B526"/>
    <mergeCell ref="C526:D526"/>
    <mergeCell ref="C527:D527"/>
    <mergeCell ref="A528:D528"/>
    <mergeCell ref="C534:D534"/>
    <mergeCell ref="A521:D521"/>
    <mergeCell ref="A524:B524"/>
    <mergeCell ref="C524:D524"/>
    <mergeCell ref="A525:B525"/>
    <mergeCell ref="C525:D525"/>
    <mergeCell ref="A557:D557"/>
    <mergeCell ref="A559:D559"/>
    <mergeCell ref="A560:D560"/>
    <mergeCell ref="A562:D562"/>
    <mergeCell ref="A564:D564"/>
    <mergeCell ref="A545:D545"/>
    <mergeCell ref="A546:D546"/>
    <mergeCell ref="A547:D547"/>
    <mergeCell ref="A553:D553"/>
    <mergeCell ref="A555:D555"/>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94:B594"/>
    <mergeCell ref="C594:D594"/>
    <mergeCell ref="C595:D595"/>
    <mergeCell ref="A596:D596"/>
    <mergeCell ref="C602:D602"/>
    <mergeCell ref="A589:D589"/>
    <mergeCell ref="A592:B592"/>
    <mergeCell ref="C592:D592"/>
    <mergeCell ref="A593:B593"/>
    <mergeCell ref="C593:D593"/>
    <mergeCell ref="A625:D625"/>
    <mergeCell ref="A627:D627"/>
    <mergeCell ref="A628:D628"/>
    <mergeCell ref="A630:D630"/>
    <mergeCell ref="A632:D632"/>
    <mergeCell ref="A613:D613"/>
    <mergeCell ref="A614:D614"/>
    <mergeCell ref="A615:D615"/>
    <mergeCell ref="A621:D621"/>
    <mergeCell ref="A623:D623"/>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62:B662"/>
    <mergeCell ref="C662:D662"/>
    <mergeCell ref="C663:D663"/>
    <mergeCell ref="A664:D664"/>
    <mergeCell ref="C670:D670"/>
    <mergeCell ref="A657:D657"/>
    <mergeCell ref="A660:B660"/>
    <mergeCell ref="C660:D660"/>
    <mergeCell ref="A661:B661"/>
    <mergeCell ref="C661:D661"/>
    <mergeCell ref="A693:D693"/>
    <mergeCell ref="A695:D695"/>
    <mergeCell ref="A696:D696"/>
    <mergeCell ref="A698:D698"/>
    <mergeCell ref="A700:D700"/>
    <mergeCell ref="A681:D681"/>
    <mergeCell ref="A682:D682"/>
    <mergeCell ref="A683:D683"/>
    <mergeCell ref="A689:D689"/>
    <mergeCell ref="A691:D691"/>
    <mergeCell ref="A713:B713"/>
    <mergeCell ref="C713:D713"/>
    <mergeCell ref="A714:B714"/>
    <mergeCell ref="C714:D714"/>
    <mergeCell ref="A715:B715"/>
    <mergeCell ref="C715:D715"/>
    <mergeCell ref="A702:D702"/>
    <mergeCell ref="A709:D709"/>
    <mergeCell ref="A711:B711"/>
    <mergeCell ref="C711:D711"/>
    <mergeCell ref="A712:B712"/>
    <mergeCell ref="C712:D712"/>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30:B730"/>
    <mergeCell ref="C730:D730"/>
    <mergeCell ref="C731:D731"/>
    <mergeCell ref="A732:D732"/>
    <mergeCell ref="C738:D738"/>
    <mergeCell ref="A725:D725"/>
    <mergeCell ref="A728:B728"/>
    <mergeCell ref="C728:D728"/>
    <mergeCell ref="A729:B729"/>
    <mergeCell ref="C729:D729"/>
  </mergeCells>
  <pageMargins left="0.78" right="0.70866141732283472" top="0.74803149606299213" bottom="0.74803149606299213" header="0.31496062992125984" footer="0.31496062992125984"/>
  <pageSetup scale="65"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APRIL2 PUNE SEZ UNIT-2 WM Reg</vt:lpstr>
      <vt:lpstr>0422Master</vt:lpstr>
      <vt:lpstr>04-22Eq Remu</vt:lpstr>
      <vt:lpstr>MH_Must Roll</vt:lpstr>
      <vt:lpstr>F M Lev Reg</vt:lpstr>
      <vt:lpstr>MH_Reg of Wgs</vt:lpstr>
      <vt:lpstr>Empt Cards</vt:lpstr>
      <vt:lpstr>wage sllips</vt:lpstr>
      <vt:lpstr>04-22Bonus</vt:lpstr>
      <vt:lpstr>Ser Cert</vt:lpstr>
      <vt:lpstr>Deductions</vt:lpstr>
      <vt:lpstr>Fines</vt:lpstr>
      <vt:lpstr>Advances</vt:lpstr>
      <vt:lpstr>Overtime</vt:lpstr>
      <vt:lpstr>Accident</vt:lpstr>
      <vt:lpstr>ESI cards Reg</vt:lpstr>
      <vt:lpstr>Form-I</vt:lpstr>
      <vt:lpstr>Form-2</vt:lpstr>
      <vt:lpstr>Form 11</vt:lpstr>
      <vt:lpstr>Form-F</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2022-04-20T13:17:56Z</cp:lastPrinted>
  <dcterms:created xsi:type="dcterms:W3CDTF">2018-12-21T09:44:49Z</dcterms:created>
  <dcterms:modified xsi:type="dcterms:W3CDTF">2022-06-08T10:14:50Z</dcterms:modified>
</cp:coreProperties>
</file>