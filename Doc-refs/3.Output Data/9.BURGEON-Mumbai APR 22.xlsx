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C:\Users\admin\Desktop\burgeon complted april 22\11 BURAGEON -MUMBAI-APRIL 22\"/>
    </mc:Choice>
  </mc:AlternateContent>
  <xr:revisionPtr revIDLastSave="0" documentId="13_ncr:1_{4FDDE757-758B-488F-91EC-5EDD9FCB83E8}" xr6:coauthVersionLast="46" xr6:coauthVersionMax="46" xr10:uidLastSave="{00000000-0000-0000-0000-000000000000}"/>
  <bookViews>
    <workbookView xWindow="-120" yWindow="-120" windowWidth="15600" windowHeight="11160" tabRatio="773" firstSheet="3" activeTab="3" xr2:uid="{00000000-000D-0000-FFFF-FFFF00000000}"/>
  </bookViews>
  <sheets>
    <sheet name="BOMBAY APRIL  22-WM  Reg" sheetId="28" r:id="rId1"/>
    <sheet name="BOM 04 22Master" sheetId="1" r:id="rId2"/>
    <sheet name="04-22 Eql rem" sheetId="13" r:id="rId3"/>
    <sheet name="MH_Muster Roll" sheetId="29" r:id="rId4"/>
    <sheet name="Form M Leave Regi" sheetId="27" r:id="rId5"/>
    <sheet name="MH_Regi Wages" sheetId="30" r:id="rId6"/>
    <sheet name="Empt Cards" sheetId="10" r:id="rId7"/>
    <sheet name="wage sllips" sheetId="4" r:id="rId8"/>
    <sheet name="4-22Bonus" sheetId="12" r:id="rId9"/>
    <sheet name="Serive Certificate" sheetId="21" r:id="rId10"/>
    <sheet name="Deductions" sheetId="5" r:id="rId11"/>
    <sheet name="Fines" sheetId="7" r:id="rId12"/>
    <sheet name="Advances" sheetId="6" r:id="rId13"/>
    <sheet name="Overtime" sheetId="8" r:id="rId14"/>
    <sheet name="Accident" sheetId="9" r:id="rId15"/>
    <sheet name="ESI cards Reg" sheetId="16" r:id="rId16"/>
    <sheet name="Form-I" sheetId="19" r:id="rId17"/>
    <sheet name="Form-2" sheetId="20" r:id="rId18"/>
    <sheet name="Form 11" sheetId="17" r:id="rId19"/>
    <sheet name="Form-F" sheetId="18" r:id="rId20"/>
    <sheet name="Sheet1" sheetId="31" r:id="rId21"/>
  </sheets>
  <calcPr calcId="191029"/>
</workbook>
</file>

<file path=xl/calcChain.xml><?xml version="1.0" encoding="utf-8"?>
<calcChain xmlns="http://schemas.openxmlformats.org/spreadsheetml/2006/main">
  <c r="Q10" i="12" l="1"/>
  <c r="P10" i="12"/>
  <c r="H10" i="12"/>
  <c r="F16" i="27" l="1"/>
  <c r="F17" i="27" s="1"/>
  <c r="F18" i="27" s="1"/>
  <c r="AC17" i="1" l="1"/>
  <c r="AC31" i="1"/>
  <c r="I22" i="13"/>
  <c r="G21" i="13"/>
  <c r="F21" i="13"/>
  <c r="Y18" i="1" l="1"/>
  <c r="Z18" i="1"/>
  <c r="AA18" i="1"/>
  <c r="AB18" i="1"/>
  <c r="AD18" i="1"/>
  <c r="AE18" i="1"/>
  <c r="AF18" i="1"/>
  <c r="AG18" i="1"/>
  <c r="AI18" i="1"/>
  <c r="AJ18" i="1"/>
  <c r="AK18" i="1"/>
  <c r="AL18" i="1"/>
  <c r="AN18" i="1"/>
  <c r="AP18" i="1"/>
  <c r="AQ18" i="1"/>
  <c r="AR18" i="1"/>
  <c r="AB8" i="30" l="1"/>
  <c r="AA8" i="30"/>
  <c r="O10" i="12"/>
  <c r="N10" i="12"/>
  <c r="M10" i="12"/>
  <c r="G10" i="12"/>
  <c r="F10" i="12"/>
  <c r="M9" i="30"/>
  <c r="V9" i="30"/>
  <c r="W9" i="30"/>
  <c r="X9" i="30"/>
  <c r="B6" i="27" l="1"/>
  <c r="B5" i="27"/>
  <c r="E8" i="29"/>
  <c r="D22" i="13"/>
  <c r="AO17" i="1"/>
  <c r="AS17" i="1" s="1"/>
  <c r="AM17" i="1"/>
  <c r="AH17" i="1"/>
  <c r="AT17" i="1" l="1"/>
  <c r="H25" i="4"/>
  <c r="G25" i="4"/>
  <c r="F25" i="4"/>
  <c r="E25" i="4"/>
  <c r="E14" i="4"/>
  <c r="L34" i="10"/>
  <c r="K34" i="10"/>
  <c r="I34" i="10"/>
  <c r="G34" i="10"/>
  <c r="J29" i="10"/>
  <c r="H26" i="10"/>
  <c r="J25" i="10"/>
  <c r="J24" i="10"/>
  <c r="Z8" i="30"/>
  <c r="S8" i="30"/>
  <c r="Q8" i="30"/>
  <c r="P8" i="30"/>
  <c r="O8" i="30"/>
  <c r="J8" i="30"/>
  <c r="I8" i="30"/>
  <c r="H8" i="30"/>
  <c r="G8" i="30"/>
  <c r="F8" i="30"/>
  <c r="E8" i="30"/>
  <c r="AO8" i="29"/>
  <c r="G22" i="13"/>
  <c r="F22" i="13"/>
  <c r="C22" i="13"/>
  <c r="E21" i="13"/>
  <c r="H21" i="13" s="1"/>
  <c r="T8" i="30"/>
  <c r="E23" i="4"/>
  <c r="L8" i="30"/>
  <c r="G7" i="27"/>
  <c r="J17" i="1"/>
  <c r="F17" i="1"/>
  <c r="G17" i="1"/>
  <c r="H20" i="10" s="1"/>
  <c r="C17" i="1"/>
  <c r="C8" i="29" s="1"/>
  <c r="D17" i="1"/>
  <c r="D8" i="29" s="1"/>
  <c r="E17" i="1"/>
  <c r="B17" i="1"/>
  <c r="A17" i="1"/>
  <c r="H21" i="10" s="1"/>
  <c r="C10" i="12" l="1"/>
  <c r="H8" i="4"/>
  <c r="R8" i="4" s="1"/>
  <c r="E8" i="4"/>
  <c r="B10" i="12"/>
  <c r="H22" i="10"/>
  <c r="E10" i="12"/>
  <c r="N8" i="30"/>
  <c r="R8" i="30"/>
  <c r="J33" i="10"/>
  <c r="D25" i="4"/>
  <c r="E34" i="10"/>
  <c r="F8" i="29"/>
  <c r="G5" i="27"/>
  <c r="D8" i="30"/>
  <c r="H19" i="10"/>
  <c r="H23" i="10"/>
  <c r="U17" i="1"/>
  <c r="A21" i="13"/>
  <c r="B8" i="29"/>
  <c r="U8" i="30"/>
  <c r="S9" i="30" l="1"/>
  <c r="Q9" i="30"/>
  <c r="P9" i="30"/>
  <c r="O9" i="30"/>
  <c r="J9" i="30"/>
  <c r="I9" i="30"/>
  <c r="H9" i="30"/>
  <c r="G9" i="30"/>
  <c r="F9" i="30"/>
  <c r="E9" i="30"/>
  <c r="AM18" i="1"/>
  <c r="AC18" i="1"/>
  <c r="N31" i="1"/>
  <c r="J31" i="1"/>
  <c r="G31" i="1"/>
  <c r="F31" i="1"/>
  <c r="E31" i="1"/>
  <c r="D31" i="1"/>
  <c r="C31" i="1"/>
  <c r="B31" i="1"/>
  <c r="A31" i="1"/>
  <c r="E22" i="13" l="1"/>
  <c r="H22" i="13"/>
  <c r="AO18" i="1"/>
  <c r="AH31" i="1"/>
  <c r="AH19" i="1" s="1"/>
  <c r="N9" i="30"/>
  <c r="R9" i="30"/>
  <c r="AS18" i="1"/>
  <c r="U31" i="1"/>
  <c r="L9" i="30" l="1"/>
  <c r="T9" i="30"/>
  <c r="AT18" i="1"/>
  <c r="U9" i="30" l="1"/>
  <c r="F15" i="9" l="1"/>
  <c r="F21" i="8"/>
  <c r="F20" i="6"/>
  <c r="H17" i="7"/>
  <c r="H16" i="5"/>
  <c r="C16" i="13" l="1"/>
  <c r="C14" i="13"/>
  <c r="F8" i="28" l="1"/>
  <c r="L4" i="12" l="1"/>
  <c r="H85" i="4" l="1"/>
  <c r="F85" i="4"/>
  <c r="E85" i="4"/>
  <c r="D85" i="4"/>
  <c r="E74" i="4"/>
  <c r="E72" i="4"/>
  <c r="E70" i="4"/>
  <c r="E68" i="4"/>
  <c r="B66" i="4"/>
  <c r="B65" i="4"/>
  <c r="D64" i="4"/>
  <c r="E12" i="4"/>
  <c r="E10" i="4"/>
  <c r="B6" i="4"/>
  <c r="B5" i="4"/>
  <c r="D4" i="4"/>
  <c r="H27" i="10"/>
  <c r="H17" i="10"/>
  <c r="H15" i="10"/>
  <c r="B16" i="10"/>
  <c r="B9" i="10"/>
  <c r="B7" i="10"/>
  <c r="E83" i="4"/>
  <c r="I25" i="4" l="1"/>
  <c r="G85" i="4"/>
  <c r="I85" i="4" s="1"/>
  <c r="A6" i="12"/>
  <c r="I442" i="4"/>
  <c r="S442" i="4" s="1"/>
  <c r="H442" i="4"/>
  <c r="R442" i="4" s="1"/>
  <c r="G442" i="4"/>
  <c r="Q442" i="4" s="1"/>
  <c r="F442" i="4"/>
  <c r="P442" i="4" s="1"/>
  <c r="E442" i="4"/>
  <c r="O442" i="4" s="1"/>
  <c r="D442" i="4"/>
  <c r="N442" i="4" s="1"/>
  <c r="E440" i="4"/>
  <c r="O440" i="4" s="1"/>
  <c r="O436" i="4"/>
  <c r="E431" i="4"/>
  <c r="O431" i="4" s="1"/>
  <c r="E429" i="4"/>
  <c r="O429" i="4" s="1"/>
  <c r="E427" i="4"/>
  <c r="O427" i="4" s="1"/>
  <c r="E425" i="4"/>
  <c r="O425" i="4" s="1"/>
  <c r="B423" i="4"/>
  <c r="L423" i="4" s="1"/>
  <c r="B422" i="4"/>
  <c r="L422" i="4" s="1"/>
  <c r="D421" i="4"/>
  <c r="N421" i="4" s="1"/>
  <c r="I397" i="4"/>
  <c r="S397" i="4" s="1"/>
  <c r="H397" i="4"/>
  <c r="R397" i="4" s="1"/>
  <c r="G397" i="4"/>
  <c r="Q397" i="4" s="1"/>
  <c r="F397" i="4"/>
  <c r="P397" i="4" s="1"/>
  <c r="E397" i="4"/>
  <c r="O397" i="4" s="1"/>
  <c r="D397" i="4"/>
  <c r="N397" i="4" s="1"/>
  <c r="E395" i="4"/>
  <c r="O395" i="4" s="1"/>
  <c r="O391" i="4"/>
  <c r="E386" i="4"/>
  <c r="O386" i="4" s="1"/>
  <c r="E384" i="4"/>
  <c r="O384" i="4" s="1"/>
  <c r="E382" i="4"/>
  <c r="O382" i="4" s="1"/>
  <c r="E380" i="4"/>
  <c r="O380" i="4" s="1"/>
  <c r="B378" i="4"/>
  <c r="L378" i="4" s="1"/>
  <c r="B377" i="4"/>
  <c r="L377" i="4" s="1"/>
  <c r="D376" i="4"/>
  <c r="N376" i="4" s="1"/>
  <c r="I352" i="4"/>
  <c r="S352" i="4" s="1"/>
  <c r="H352" i="4"/>
  <c r="R352" i="4" s="1"/>
  <c r="G352" i="4"/>
  <c r="Q352" i="4" s="1"/>
  <c r="F352" i="4"/>
  <c r="P352" i="4" s="1"/>
  <c r="E352" i="4"/>
  <c r="O352" i="4" s="1"/>
  <c r="D352" i="4"/>
  <c r="N352" i="4" s="1"/>
  <c r="E350" i="4"/>
  <c r="O346" i="4"/>
  <c r="E341" i="4"/>
  <c r="O341" i="4" s="1"/>
  <c r="E339" i="4"/>
  <c r="O339" i="4" s="1"/>
  <c r="E337" i="4"/>
  <c r="O337" i="4" s="1"/>
  <c r="E335" i="4"/>
  <c r="O335" i="4" s="1"/>
  <c r="B333" i="4"/>
  <c r="L333" i="4" s="1"/>
  <c r="B332" i="4"/>
  <c r="L332" i="4" s="1"/>
  <c r="D331" i="4"/>
  <c r="N331" i="4" s="1"/>
  <c r="I307" i="4"/>
  <c r="S307" i="4" s="1"/>
  <c r="H307" i="4"/>
  <c r="R307" i="4" s="1"/>
  <c r="G307" i="4"/>
  <c r="Q307" i="4" s="1"/>
  <c r="F307" i="4"/>
  <c r="P307" i="4" s="1"/>
  <c r="E307" i="4"/>
  <c r="O307" i="4" s="1"/>
  <c r="D307" i="4"/>
  <c r="N307" i="4" s="1"/>
  <c r="E305" i="4"/>
  <c r="O301" i="4"/>
  <c r="E296" i="4"/>
  <c r="O296" i="4" s="1"/>
  <c r="E294" i="4"/>
  <c r="O294" i="4" s="1"/>
  <c r="E292" i="4"/>
  <c r="O292" i="4" s="1"/>
  <c r="E290" i="4"/>
  <c r="O290" i="4" s="1"/>
  <c r="B288" i="4"/>
  <c r="L288" i="4" s="1"/>
  <c r="B287" i="4"/>
  <c r="L287" i="4" s="1"/>
  <c r="D286" i="4"/>
  <c r="N286" i="4" s="1"/>
  <c r="I262" i="4"/>
  <c r="S262" i="4" s="1"/>
  <c r="H262" i="4"/>
  <c r="R262" i="4" s="1"/>
  <c r="G262" i="4"/>
  <c r="Q262" i="4" s="1"/>
  <c r="F262" i="4"/>
  <c r="P262" i="4" s="1"/>
  <c r="E262" i="4"/>
  <c r="O262" i="4" s="1"/>
  <c r="D262" i="4"/>
  <c r="N262" i="4" s="1"/>
  <c r="E260" i="4"/>
  <c r="O256" i="4"/>
  <c r="E251" i="4"/>
  <c r="O251" i="4" s="1"/>
  <c r="E249" i="4"/>
  <c r="O249" i="4" s="1"/>
  <c r="E247" i="4"/>
  <c r="O247" i="4" s="1"/>
  <c r="E245" i="4"/>
  <c r="O245" i="4" s="1"/>
  <c r="B243" i="4"/>
  <c r="L243" i="4" s="1"/>
  <c r="B242" i="4"/>
  <c r="L242" i="4" s="1"/>
  <c r="D241" i="4"/>
  <c r="N241" i="4" s="1"/>
  <c r="I217" i="4"/>
  <c r="S217" i="4" s="1"/>
  <c r="H217" i="4"/>
  <c r="R217" i="4" s="1"/>
  <c r="G217" i="4"/>
  <c r="Q217" i="4" s="1"/>
  <c r="F217" i="4"/>
  <c r="P217" i="4" s="1"/>
  <c r="E217" i="4"/>
  <c r="O217" i="4" s="1"/>
  <c r="D217" i="4"/>
  <c r="N217" i="4" s="1"/>
  <c r="E215" i="4"/>
  <c r="O211" i="4"/>
  <c r="E206" i="4"/>
  <c r="O206" i="4" s="1"/>
  <c r="E204" i="4"/>
  <c r="O204" i="4" s="1"/>
  <c r="E202" i="4"/>
  <c r="O202" i="4" s="1"/>
  <c r="E200" i="4"/>
  <c r="O200" i="4" s="1"/>
  <c r="B198" i="4"/>
  <c r="L198" i="4" s="1"/>
  <c r="B197" i="4"/>
  <c r="L197" i="4" s="1"/>
  <c r="D196" i="4"/>
  <c r="N196" i="4" s="1"/>
  <c r="I173" i="4"/>
  <c r="S173" i="4" s="1"/>
  <c r="H173" i="4"/>
  <c r="R173" i="4" s="1"/>
  <c r="G173" i="4"/>
  <c r="Q173" i="4" s="1"/>
  <c r="F173" i="4"/>
  <c r="P173" i="4" s="1"/>
  <c r="E173" i="4"/>
  <c r="O173" i="4" s="1"/>
  <c r="D173" i="4"/>
  <c r="N173" i="4" s="1"/>
  <c r="E171" i="4"/>
  <c r="O167" i="4"/>
  <c r="E162" i="4"/>
  <c r="O162" i="4" s="1"/>
  <c r="E160" i="4"/>
  <c r="O160" i="4" s="1"/>
  <c r="E158" i="4"/>
  <c r="O158" i="4" s="1"/>
  <c r="E156" i="4"/>
  <c r="O156" i="4" s="1"/>
  <c r="B154" i="4"/>
  <c r="L154" i="4" s="1"/>
  <c r="B153" i="4"/>
  <c r="L153" i="4" s="1"/>
  <c r="D152" i="4"/>
  <c r="N152" i="4" s="1"/>
  <c r="I129" i="4"/>
  <c r="S129" i="4" s="1"/>
  <c r="H129" i="4"/>
  <c r="R129" i="4" s="1"/>
  <c r="G129" i="4"/>
  <c r="Q129" i="4" s="1"/>
  <c r="F129" i="4"/>
  <c r="P129" i="4" s="1"/>
  <c r="E129" i="4"/>
  <c r="O129" i="4" s="1"/>
  <c r="D129" i="4"/>
  <c r="N129" i="4" s="1"/>
  <c r="E127" i="4"/>
  <c r="O123" i="4"/>
  <c r="E118" i="4"/>
  <c r="O118" i="4" s="1"/>
  <c r="E116" i="4"/>
  <c r="O116" i="4" s="1"/>
  <c r="E114" i="4"/>
  <c r="O114" i="4" s="1"/>
  <c r="E112" i="4"/>
  <c r="O112" i="4" s="1"/>
  <c r="B110" i="4"/>
  <c r="L110" i="4" s="1"/>
  <c r="B109" i="4"/>
  <c r="L109" i="4" s="1"/>
  <c r="D108" i="4"/>
  <c r="N108" i="4" s="1"/>
  <c r="R85" i="4"/>
  <c r="P85" i="4"/>
  <c r="O85" i="4"/>
  <c r="N85" i="4"/>
  <c r="O79" i="4"/>
  <c r="O74" i="4"/>
  <c r="O72" i="4"/>
  <c r="O70" i="4"/>
  <c r="O68" i="4"/>
  <c r="L66" i="4"/>
  <c r="L65" i="4"/>
  <c r="N64" i="4"/>
  <c r="R25" i="4"/>
  <c r="Q25" i="4"/>
  <c r="P25" i="4"/>
  <c r="O25" i="4"/>
  <c r="N25" i="4"/>
  <c r="O19" i="4"/>
  <c r="O14" i="4"/>
  <c r="O12" i="4"/>
  <c r="O10" i="4"/>
  <c r="O8" i="4"/>
  <c r="L6" i="4"/>
  <c r="L5" i="4"/>
  <c r="N4" i="4"/>
  <c r="E219" i="4" l="1"/>
  <c r="O219" i="4" s="1"/>
  <c r="E175" i="4"/>
  <c r="O175" i="4" s="1"/>
  <c r="E354" i="4"/>
  <c r="O354" i="4" s="1"/>
  <c r="E131" i="4"/>
  <c r="O131" i="4" s="1"/>
  <c r="S25" i="4"/>
  <c r="E27" i="4"/>
  <c r="O27" i="4" s="1"/>
  <c r="S85" i="4"/>
  <c r="E87" i="4"/>
  <c r="O87" i="4" s="1"/>
  <c r="Q85" i="4"/>
  <c r="O127" i="4"/>
  <c r="O171" i="4"/>
  <c r="O215" i="4"/>
  <c r="E399" i="4"/>
  <c r="O399" i="4" s="1"/>
  <c r="E264" i="4"/>
  <c r="O264" i="4" s="1"/>
  <c r="E309" i="4"/>
  <c r="O309" i="4" s="1"/>
  <c r="E444" i="4"/>
  <c r="O444" i="4" s="1"/>
  <c r="O350" i="4"/>
  <c r="O305" i="4"/>
  <c r="O260" i="4"/>
  <c r="O83" i="4"/>
  <c r="O23" i="4"/>
  <c r="B6" i="8" l="1"/>
  <c r="B6" i="6"/>
  <c r="B6" i="7"/>
  <c r="B6" i="5"/>
  <c r="B5" i="5"/>
  <c r="AP7" i="1"/>
  <c r="AP6" i="1"/>
  <c r="AP5" i="1"/>
  <c r="H7" i="10" l="1"/>
  <c r="H9" i="10"/>
  <c r="G21" i="21"/>
  <c r="G19" i="21"/>
  <c r="B21" i="21"/>
  <c r="A617" i="18"/>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G13" i="21"/>
  <c r="B13" i="21"/>
  <c r="B11" i="21"/>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C1" i="16" l="1"/>
  <c r="D22" i="16"/>
  <c r="D21" i="16"/>
  <c r="D20" i="16"/>
  <c r="D19" i="16"/>
  <c r="D18" i="16"/>
  <c r="D17" i="16"/>
  <c r="D16" i="16"/>
  <c r="D15" i="16"/>
  <c r="D14" i="16"/>
  <c r="D13" i="16"/>
  <c r="D12" i="16"/>
  <c r="D11" i="16"/>
  <c r="D10" i="16"/>
  <c r="D9" i="16"/>
  <c r="D8" i="16"/>
  <c r="D7" i="16"/>
  <c r="D6" i="16"/>
  <c r="D5" i="16"/>
  <c r="D4" i="16"/>
  <c r="D3" i="16"/>
  <c r="C22" i="16"/>
  <c r="C21" i="16"/>
  <c r="C20" i="16"/>
  <c r="C19" i="16"/>
  <c r="C18" i="16"/>
  <c r="C17" i="16"/>
  <c r="C16" i="16"/>
  <c r="C15" i="16"/>
  <c r="C14" i="16"/>
  <c r="C13" i="16"/>
  <c r="C12" i="16"/>
  <c r="C11" i="16"/>
  <c r="C10" i="16"/>
  <c r="C9" i="16"/>
  <c r="C8" i="16"/>
  <c r="C6" i="16"/>
  <c r="C5" i="16"/>
  <c r="C4" i="16"/>
  <c r="C3" i="16"/>
  <c r="F13" i="13"/>
  <c r="F12" i="13"/>
  <c r="F10" i="13"/>
  <c r="F8" i="13"/>
  <c r="D6" i="13"/>
  <c r="C7" i="16" l="1"/>
  <c r="H430" i="19"/>
  <c r="H378" i="19"/>
  <c r="H325" i="19"/>
  <c r="H272" i="19"/>
  <c r="H219" i="19"/>
  <c r="H166" i="19"/>
  <c r="H113" i="19"/>
  <c r="H59" i="19"/>
  <c r="G11" i="21"/>
  <c r="F50" i="19"/>
  <c r="F11" i="13"/>
  <c r="D5" i="12"/>
  <c r="L317" i="10" l="1"/>
  <c r="K317" i="10"/>
  <c r="I317" i="10"/>
  <c r="G317" i="10"/>
  <c r="E317" i="10"/>
  <c r="J316" i="10"/>
  <c r="J312" i="10"/>
  <c r="H310" i="10"/>
  <c r="J308" i="10"/>
  <c r="J307" i="10"/>
  <c r="H306" i="10"/>
  <c r="H305" i="10"/>
  <c r="H304" i="10"/>
  <c r="H303" i="10"/>
  <c r="H301" i="10"/>
  <c r="B300" i="10"/>
  <c r="H299" i="10"/>
  <c r="H293" i="10"/>
  <c r="B293" i="10"/>
  <c r="H291" i="10"/>
  <c r="B291" i="10"/>
  <c r="L278" i="10"/>
  <c r="K278" i="10"/>
  <c r="I278" i="10"/>
  <c r="G278" i="10"/>
  <c r="E278" i="10"/>
  <c r="J277" i="10"/>
  <c r="J273" i="10"/>
  <c r="H271" i="10"/>
  <c r="J269" i="10"/>
  <c r="J268" i="10"/>
  <c r="H267" i="10"/>
  <c r="H266" i="10"/>
  <c r="H265" i="10"/>
  <c r="H264" i="10"/>
  <c r="H262" i="10"/>
  <c r="B261" i="10"/>
  <c r="H260" i="10"/>
  <c r="H254" i="10"/>
  <c r="B254" i="10"/>
  <c r="H252" i="10"/>
  <c r="B252" i="10"/>
  <c r="L239" i="10"/>
  <c r="K239" i="10"/>
  <c r="I239" i="10"/>
  <c r="G239" i="10"/>
  <c r="E239" i="10"/>
  <c r="J238" i="10"/>
  <c r="J234" i="10"/>
  <c r="H232" i="10"/>
  <c r="J230" i="10"/>
  <c r="J229" i="10"/>
  <c r="H228" i="10"/>
  <c r="H227" i="10"/>
  <c r="H226" i="10"/>
  <c r="H225" i="10"/>
  <c r="H223" i="10"/>
  <c r="B222" i="10"/>
  <c r="H221" i="10"/>
  <c r="H215" i="10"/>
  <c r="B215" i="10"/>
  <c r="H213" i="10"/>
  <c r="B213" i="10"/>
  <c r="L200" i="10"/>
  <c r="K200" i="10"/>
  <c r="I200" i="10"/>
  <c r="G200" i="10"/>
  <c r="E200" i="10"/>
  <c r="J199" i="10"/>
  <c r="J195" i="10"/>
  <c r="H193" i="10"/>
  <c r="J191" i="10"/>
  <c r="J190" i="10"/>
  <c r="H189" i="10"/>
  <c r="H188" i="10"/>
  <c r="H187" i="10"/>
  <c r="H186" i="10"/>
  <c r="H184" i="10"/>
  <c r="B183" i="10"/>
  <c r="H182" i="10"/>
  <c r="H176" i="10"/>
  <c r="B176" i="10"/>
  <c r="H174" i="10"/>
  <c r="B174" i="10"/>
  <c r="L162" i="10"/>
  <c r="K162" i="10"/>
  <c r="I162" i="10"/>
  <c r="G162" i="10"/>
  <c r="E162" i="10"/>
  <c r="J161" i="10"/>
  <c r="J157" i="10"/>
  <c r="H155" i="10"/>
  <c r="J153" i="10"/>
  <c r="J152" i="10"/>
  <c r="H151" i="10"/>
  <c r="H150" i="10"/>
  <c r="H149" i="10"/>
  <c r="H148" i="10"/>
  <c r="H146" i="10"/>
  <c r="B145" i="10"/>
  <c r="H144" i="10"/>
  <c r="H138" i="10"/>
  <c r="B138" i="10"/>
  <c r="H136" i="10"/>
  <c r="B136" i="10"/>
  <c r="L123" i="10"/>
  <c r="K123" i="10"/>
  <c r="I123" i="10"/>
  <c r="G123" i="10"/>
  <c r="E123" i="10"/>
  <c r="J122" i="10"/>
  <c r="J118" i="10"/>
  <c r="H116" i="10"/>
  <c r="J114" i="10"/>
  <c r="J113" i="10"/>
  <c r="H112" i="10"/>
  <c r="H111" i="10"/>
  <c r="H110" i="10"/>
  <c r="H109" i="10"/>
  <c r="H107" i="10"/>
  <c r="B106" i="10"/>
  <c r="H105" i="10"/>
  <c r="H99" i="10"/>
  <c r="B99" i="10"/>
  <c r="H97" i="10"/>
  <c r="B97" i="10"/>
  <c r="L85" i="10"/>
  <c r="K85" i="10"/>
  <c r="I85" i="10"/>
  <c r="G85" i="10"/>
  <c r="E85" i="10"/>
  <c r="J84" i="10"/>
  <c r="J80" i="10"/>
  <c r="H78" i="10"/>
  <c r="J76" i="10"/>
  <c r="J75" i="10"/>
  <c r="H74" i="10"/>
  <c r="H73" i="10"/>
  <c r="H72" i="10"/>
  <c r="H71" i="10"/>
  <c r="H69" i="10"/>
  <c r="B68" i="10"/>
  <c r="H67" i="10"/>
  <c r="H61" i="10"/>
  <c r="B61" i="10"/>
  <c r="H59" i="10"/>
  <c r="B59" i="10"/>
  <c r="J318" i="10" l="1"/>
  <c r="J35" i="10"/>
  <c r="J124" i="10"/>
  <c r="J201" i="10"/>
  <c r="J279" i="10"/>
  <c r="J86" i="10"/>
  <c r="J163" i="10"/>
  <c r="J240" i="10"/>
  <c r="F9" i="8" l="1"/>
  <c r="B5" i="8"/>
  <c r="D4" i="8"/>
  <c r="F8" i="8"/>
  <c r="D7" i="8"/>
  <c r="E9" i="6"/>
  <c r="E8" i="6"/>
  <c r="D7" i="6"/>
  <c r="B5" i="6"/>
  <c r="D4" i="6"/>
  <c r="E9" i="7"/>
  <c r="E8" i="7"/>
  <c r="D7" i="7"/>
  <c r="B5" i="7"/>
  <c r="D4" i="7"/>
  <c r="E9" i="5"/>
  <c r="E8" i="5"/>
  <c r="D4" i="5"/>
  <c r="D7" i="5"/>
  <c r="H17" i="19" l="1"/>
  <c r="H15" i="19"/>
  <c r="B16" i="19"/>
  <c r="B9" i="19" l="1"/>
  <c r="H9" i="19"/>
  <c r="B7" i="19"/>
  <c r="H7" i="19"/>
</calcChain>
</file>

<file path=xl/sharedStrings.xml><?xml version="1.0" encoding="utf-8"?>
<sst xmlns="http://schemas.openxmlformats.org/spreadsheetml/2006/main" count="3775" uniqueCount="579">
  <si>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</si>
  <si>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</si>
  <si>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</si>
  <si>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</si>
  <si>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</si>
  <si>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</si>
  <si>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</si>
  <si>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</si>
  <si>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</si>
  <si>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</si>
  <si>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</si>
  <si>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</si>
  <si>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</si>
  <si>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</si>
  <si>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</si>
  <si>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</si>
  <si>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</si>
  <si>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</si>
  <si>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</si>
  <si>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</si>
  <si>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</si>
  <si>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</si>
  <si>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</si>
  <si>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</si>
  <si>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</si>
  <si>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</si>
  <si>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</si>
  <si>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</si>
  <si>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</si>
  <si>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</si>
  <si>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</si>
  <si>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</si>
  <si>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</si>
  <si>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</si>
  <si>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</si>
  <si>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</si>
  <si>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</si>
  <si>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</si>
  <si>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</si>
  <si>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Sex</t>
  </si>
  <si>
    <t>Remarks</t>
  </si>
  <si>
    <t>Father's /Husband Name</t>
  </si>
  <si>
    <t>Permanent Address</t>
  </si>
  <si>
    <t>Local Address</t>
  </si>
  <si>
    <t>Date of Commencement of Employment</t>
  </si>
  <si>
    <t>Signature or thumb impression of Workman</t>
  </si>
  <si>
    <t>Date of termination of Employment</t>
  </si>
  <si>
    <t>Reasons for termination</t>
  </si>
  <si>
    <r>
      <t xml:space="preserve">                                                                                         </t>
    </r>
    <r>
      <rPr>
        <b/>
        <sz val="25"/>
        <color indexed="8"/>
        <rFont val="Calibri"/>
        <family val="2"/>
      </rPr>
      <t xml:space="preserve">FORM - XIII REGISTER OF WORKMEN EMPLOYED BY CONTRACTOR
</t>
    </r>
  </si>
  <si>
    <t xml:space="preserve">Age </t>
  </si>
  <si>
    <t>Form XIX - WAGE SLIP</t>
  </si>
  <si>
    <t>[Vide rule 78 (1) (b) of the Contract Labour (Regulation and Abolition) Central and A.P Rules, 1971]</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</si>
  <si>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</si>
  <si>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</si>
  <si>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</si>
  <si>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</si>
  <si>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</si>
  <si>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</si>
  <si>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</si>
  <si>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</si>
  <si>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</si>
  <si>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</si>
  <si>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</si>
  <si>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</si>
  <si>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</si>
  <si>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</si>
  <si>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r>
      <t xml:space="preserve">Name and address of Contractor: </t>
    </r>
    <r>
      <rPr>
        <b/>
        <sz val="9"/>
        <rFont val="Arial"/>
        <family val="2"/>
      </rPr>
      <t xml:space="preserve">GROTECH LANDSCAPE DEVELOPERS PVT.LTD. </t>
    </r>
  </si>
  <si>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</si>
  <si>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</si>
  <si>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</si>
  <si>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</si>
  <si>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</si>
  <si>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</si>
  <si>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</si>
  <si>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</si>
  <si>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</si>
  <si>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</si>
  <si>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</si>
  <si>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</si>
  <si>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</si>
  <si>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Nature and Location of Work: </t>
  </si>
  <si>
    <t xml:space="preserve">Name and address of the establishment in  / under which contract is carried on:                             </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</si>
  <si>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</si>
  <si>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</si>
  <si>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</si>
  <si>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</si>
  <si>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</si>
  <si>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</si>
  <si>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</si>
  <si>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</si>
  <si>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</si>
  <si>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</si>
  <si>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</si>
  <si>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</si>
  <si>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</si>
  <si>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</si>
  <si>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</si>
  <si>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</si>
  <si>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</si>
  <si>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</si>
  <si>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</si>
  <si>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</si>
  <si>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</si>
  <si>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</si>
  <si>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</si>
  <si>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</si>
  <si>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</si>
  <si>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</si>
  <si>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</si>
  <si>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</si>
  <si>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</si>
  <si>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</si>
  <si>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</si>
  <si>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</si>
  <si>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</si>
  <si>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</si>
  <si>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</si>
  <si>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</si>
  <si>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</si>
  <si>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</si>
  <si>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</si>
  <si>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</si>
  <si>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</si>
  <si>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</si>
  <si>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</si>
  <si>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</si>
  <si>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</si>
  <si>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</si>
  <si>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</si>
  <si>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</si>
  <si>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</si>
  <si>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</si>
  <si>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</si>
  <si>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</si>
  <si>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</si>
  <si>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</si>
  <si>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</si>
  <si>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</si>
  <si>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</si>
  <si>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</si>
  <si>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</si>
  <si>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</si>
  <si>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</si>
  <si>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</si>
  <si>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</si>
  <si>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</si>
  <si>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</si>
  <si>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</si>
  <si>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</si>
  <si>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</si>
  <si>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</si>
  <si>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</si>
  <si>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</si>
  <si>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</si>
  <si>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</si>
  <si>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</si>
  <si>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</si>
  <si>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</si>
  <si>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</si>
  <si>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</si>
  <si>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</si>
  <si>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</si>
  <si>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</si>
  <si>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</si>
  <si>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</si>
  <si>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</si>
  <si>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</si>
  <si>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</si>
  <si>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</si>
  <si>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</si>
  <si>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</si>
  <si>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</si>
  <si>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</si>
  <si>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</si>
  <si>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</si>
  <si>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</si>
  <si>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</si>
  <si>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</si>
  <si>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</si>
  <si>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</si>
  <si>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</si>
  <si>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Issue Date</t>
  </si>
  <si>
    <t>Signature</t>
  </si>
  <si>
    <t>ESI PAHECHAN CARDS ISSUE REGISTER</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</si>
  <si>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</si>
  <si>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</si>
  <si>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</si>
  <si>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</si>
  <si>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</si>
  <si>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</si>
  <si>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</si>
  <si>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</si>
  <si>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</si>
  <si>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</si>
  <si>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</si>
  <si>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</si>
  <si>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</si>
  <si>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</si>
  <si>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</si>
  <si>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</si>
  <si>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</si>
  <si>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</si>
  <si>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</si>
  <si>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</si>
  <si>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</si>
  <si>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</si>
  <si>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</si>
  <si>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</si>
  <si>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</si>
  <si>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</si>
  <si>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</si>
  <si>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</si>
  <si>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</si>
  <si>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</si>
  <si>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</si>
  <si>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</si>
  <si>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</si>
  <si>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</si>
  <si>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</si>
  <si>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</si>
  <si>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</si>
  <si>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</si>
  <si>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</si>
  <si>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</si>
  <si>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</si>
  <si>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</si>
  <si>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</si>
  <si>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</si>
  <si>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</si>
  <si>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</si>
  <si>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</si>
  <si>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</si>
  <si>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</si>
  <si>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</si>
  <si>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</si>
  <si>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</si>
  <si>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</si>
  <si>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</si>
  <si>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</si>
  <si>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</si>
  <si>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</si>
  <si>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</si>
  <si>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</si>
  <si>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</si>
  <si>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</si>
  <si>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</si>
  <si>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</si>
  <si>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</si>
  <si>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</si>
  <si>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</si>
  <si>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</si>
  <si>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</si>
  <si>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</si>
  <si>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</si>
  <si>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</si>
  <si>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</si>
  <si>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</si>
  <si>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</si>
  <si>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</si>
  <si>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</si>
  <si>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</si>
  <si>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</si>
  <si>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</si>
  <si>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</si>
  <si>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</si>
  <si>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</si>
  <si>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</si>
  <si>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</si>
  <si>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</si>
  <si>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</si>
  <si>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</si>
  <si>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</si>
  <si>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</si>
  <si>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</si>
  <si>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</si>
  <si>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</si>
  <si>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</si>
  <si>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</si>
  <si>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</si>
  <si>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</si>
  <si>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</si>
  <si>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</si>
  <si>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</si>
  <si>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</si>
  <si>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</si>
  <si>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</si>
  <si>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</si>
  <si>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</si>
  <si>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</si>
  <si>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</si>
  <si>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</si>
  <si>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</si>
  <si>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</si>
  <si>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</si>
  <si>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</si>
  <si>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</si>
  <si>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</si>
  <si>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</si>
  <si>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</si>
  <si>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</si>
  <si>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</si>
  <si>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</si>
  <si>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</si>
  <si>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</si>
  <si>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</si>
  <si>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</si>
  <si>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</si>
  <si>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</si>
  <si>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</si>
  <si>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</si>
  <si>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</si>
  <si>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</si>
  <si>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</si>
  <si>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</si>
  <si>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</si>
  <si>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</si>
  <si>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</si>
  <si>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</si>
  <si>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</si>
  <si>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</si>
  <si>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</si>
  <si>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</si>
  <si>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</si>
  <si>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</si>
  <si>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</si>
  <si>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</si>
  <si>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</si>
  <si>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</si>
  <si>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</si>
  <si>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</si>
  <si>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</si>
  <si>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</si>
  <si>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</si>
  <si>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</si>
  <si>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</si>
  <si>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</si>
  <si>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</si>
  <si>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</si>
  <si>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</si>
  <si>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</si>
  <si>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</si>
  <si>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</si>
  <si>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</si>
  <si>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</si>
  <si>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</si>
  <si>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</si>
  <si>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</si>
  <si>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</si>
  <si>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</si>
  <si>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</si>
  <si>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</si>
  <si>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</si>
  <si>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</si>
  <si>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</si>
  <si>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</si>
  <si>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</si>
  <si>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</si>
  <si>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</si>
  <si>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</si>
  <si>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</si>
  <si>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</si>
  <si>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</si>
  <si>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</si>
  <si>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</si>
  <si>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</si>
  <si>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</si>
  <si>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</si>
  <si>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</si>
  <si>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</si>
  <si>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</si>
  <si>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</si>
  <si>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</si>
  <si>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</si>
  <si>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</si>
  <si>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</si>
  <si>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</si>
  <si>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</si>
  <si>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</si>
  <si>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</si>
  <si>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</si>
  <si>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</si>
  <si>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</si>
  <si>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Deductions</t>
  </si>
  <si>
    <t>(Vide Rule 75 of Contract Labour (Regulation and Abolition) Central/Karnataka Rules 1974)</t>
  </si>
  <si>
    <t>(Vide Rule 76 of Contract Labour (R&amp;A) Central &amp; Karnataka Rules, 1974)</t>
  </si>
  <si>
    <t>(Vide Rule 76 of Contract Labour (R&amp;A) Central &amp; Karnataka  Rules, 1974)</t>
  </si>
  <si>
    <t>P</t>
  </si>
  <si>
    <t>Burgeon IT Services Pvt.Ltd.</t>
  </si>
  <si>
    <t>Siri Mansion LIGB 436 Dr.A S Rao Nagar,Hyderabad</t>
  </si>
  <si>
    <t>Wage Period</t>
  </si>
  <si>
    <t>Form No. II</t>
  </si>
  <si>
    <t>[M. W. Rules under Maharashtra Contract Labour (Regulation and Abolition)1963 Rule 27 (I)]</t>
  </si>
  <si>
    <t xml:space="preserve">Name and Address of Contractor : BURGEON IT SERVICES PVT.LTD. SIRI MANSION LIG 436 DR.A S RAO NAGAR,HYDERABAD 500 060
</t>
  </si>
  <si>
    <t>Working Hours</t>
  </si>
  <si>
    <t>Interval for Rest</t>
  </si>
  <si>
    <t>No. of Hours Worked</t>
  </si>
  <si>
    <t>Deputy ID</t>
  </si>
  <si>
    <t>Full Name of Employee</t>
  </si>
  <si>
    <t>Gender</t>
  </si>
  <si>
    <t>Date of Entry into Service</t>
  </si>
  <si>
    <t>Nature of Work &amp; Designation</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</si>
  <si>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</si>
  <si>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</si>
  <si>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</si>
  <si>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</si>
  <si>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</si>
  <si>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</si>
  <si>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</si>
  <si>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</si>
  <si>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</si>
  <si>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</si>
  <si>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</si>
  <si>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</si>
  <si>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</si>
  <si>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</si>
  <si>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</si>
  <si>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</si>
  <si>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</si>
  <si>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</si>
  <si>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</si>
  <si>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</si>
  <si>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</si>
  <si>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</si>
  <si>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</si>
  <si>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</si>
  <si>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</si>
  <si>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</si>
  <si>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</si>
  <si>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MONTH DAYS</t>
  </si>
  <si>
    <t>Leave with Wages</t>
  </si>
  <si>
    <t>Employee
Code</t>
  </si>
  <si>
    <t>Name of the Workmen</t>
  </si>
  <si>
    <t>Minimum Rate of Wages Payable Basic</t>
  </si>
  <si>
    <t xml:space="preserve">Actual Rate of Wages Payable
HRA </t>
  </si>
  <si>
    <t>Conveyance</t>
  </si>
  <si>
    <t>Bonus</t>
  </si>
  <si>
    <t>Special Allowances</t>
  </si>
  <si>
    <t>Medical Allowances</t>
  </si>
  <si>
    <t>Total Production in Case of Piece Rate Other Allow</t>
  </si>
  <si>
    <t>Normal Earnings</t>
  </si>
  <si>
    <t>Overtime Earnings</t>
  </si>
  <si>
    <t>Gross Wages Payable</t>
  </si>
  <si>
    <t>Income Tax</t>
  </si>
  <si>
    <t>Proff / Income Tax</t>
  </si>
  <si>
    <t>ESIC</t>
  </si>
  <si>
    <t>Total Deduction</t>
  </si>
  <si>
    <t>Net Wages Paid</t>
  </si>
  <si>
    <t>Previous Balance</t>
  </si>
  <si>
    <t>Further Enjoyed</t>
  </si>
  <si>
    <t>Refused</t>
  </si>
  <si>
    <t>Accumulated</t>
  </si>
  <si>
    <t>Date Payment of Wages</t>
  </si>
  <si>
    <t>Signature or the Thumb Impression of the Employee</t>
  </si>
  <si>
    <t>FORM M- LEAVE REGISTER</t>
  </si>
  <si>
    <t>(Vide Rule 78(1) (a) (i) of Maharastra Shops&amp;Establishment Act /Maharastra.Rules 1988</t>
  </si>
  <si>
    <t>Date of entry into service</t>
  </si>
  <si>
    <t>Accumalation of Leave</t>
  </si>
  <si>
    <t>Leave allowed</t>
  </si>
  <si>
    <t>Balance of Leave Carried Over</t>
  </si>
  <si>
    <t>Payment of Leave made on</t>
  </si>
  <si>
    <t>Refusal of Leave</t>
  </si>
  <si>
    <t>Payment of Leave on Discharge of an employee quitting employment if a admissible</t>
  </si>
  <si>
    <t>Signature or the Thumb impression of employee on Receipt of Leave Book in Form N</t>
  </si>
  <si>
    <t>Impression of</t>
  </si>
  <si>
    <t>Leave due on</t>
  </si>
  <si>
    <t>No of Days</t>
  </si>
  <si>
    <t xml:space="preserve">From </t>
  </si>
  <si>
    <t xml:space="preserve">1st month </t>
  </si>
  <si>
    <t>2nd month</t>
  </si>
  <si>
    <t>Date of Application</t>
  </si>
  <si>
    <t>Date of Refusal</t>
  </si>
  <si>
    <t xml:space="preserve">Amount of Leave refused </t>
  </si>
  <si>
    <t>Date of Discharge</t>
  </si>
  <si>
    <t>Date of Amount Paid</t>
  </si>
  <si>
    <t>Signature or Left hand thumb impression of employee</t>
  </si>
  <si>
    <t>FORM IX- REGISTER OF PERSONS EMPLOYED</t>
  </si>
  <si>
    <t>(Vide Rule 78(1) (a) (i) of Contract Labour (Regulation and Abolition) Central /Maharastra.Rules 1974</t>
  </si>
  <si>
    <t>Name  and Surname of workman</t>
  </si>
  <si>
    <t>Father's/Husband's name</t>
  </si>
  <si>
    <t>Nature of Employement/Designation</t>
  </si>
  <si>
    <t>Permanent Home Address of worken</t>
  </si>
  <si>
    <t>Date of commencement of Employment</t>
  </si>
  <si>
    <t>Signature or Thumb impression of workman</t>
  </si>
  <si>
    <t>Date of Temination of Employment</t>
  </si>
  <si>
    <t>Reason for Termination</t>
  </si>
  <si>
    <t>Other Deduction(Med)</t>
  </si>
  <si>
    <t>Name of the Employer / Establishment:</t>
  </si>
  <si>
    <t xml:space="preserve">Name of the Employee:    </t>
  </si>
  <si>
    <t xml:space="preserve">Description of the dapartment if applicable: </t>
  </si>
  <si>
    <t>FORM XVI- REGISTER OF DEDUCTIONS FOR DAMAGE OR LOSS</t>
  </si>
  <si>
    <t>(Vide Rule 78(1) (a) (i) of Contract Labour (Regulation and Abolition) Maharashtra Rules 1971.</t>
  </si>
  <si>
    <t>FORM XVII- REGISTER OF FINES</t>
  </si>
  <si>
    <t>(Vide Rule 78(1) (a) (i) of Contract Labour (Regulation and Abolition) Maharashtra Rules 1971</t>
  </si>
  <si>
    <t>FORM XVIII- REGISTER OF ADVANCES</t>
  </si>
  <si>
    <t>FORM XIX- REGISTER OF OVERTIME</t>
  </si>
  <si>
    <t>Total Salary or wages in the Month</t>
  </si>
  <si>
    <t>NO</t>
  </si>
  <si>
    <t>NO.OF DAYS</t>
  </si>
  <si>
    <t>SEX</t>
  </si>
  <si>
    <t>Name and address of Contractor:burgeon IT services Pvt.Ltd.</t>
  </si>
  <si>
    <t>Name and address of the establishment in  / under which contract is carried on:   burgeon IT services Pvt.Ltd.  Siri mansion LIGH 436 DR.A S Rao nagar,Hyderabad</t>
  </si>
  <si>
    <t>Senior Software Engineer</t>
  </si>
  <si>
    <t>IT SUPPORTIVE SERICE</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</si>
  <si>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</si>
  <si>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</si>
  <si>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</si>
  <si>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</si>
  <si>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</si>
  <si>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</si>
  <si>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</si>
  <si>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</si>
  <si>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</si>
  <si>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</si>
  <si>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</si>
  <si>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</si>
  <si>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</si>
  <si>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</si>
  <si>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</si>
  <si>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</si>
  <si>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Naresh Kumar Kandula</t>
  </si>
  <si>
    <t>INFOSYS  LTD.85-C Mittal Towers</t>
  </si>
  <si>
    <t>8th flour Nariman Point,Maharashtra,400021</t>
  </si>
  <si>
    <t>M</t>
  </si>
  <si>
    <t>Lankadasari Saritha</t>
  </si>
  <si>
    <t>Flat B-309, H.no 7-1-3 , Shanthi Bagh Apts, Opp to Country Club, Begumpet, Hyd -500016</t>
  </si>
  <si>
    <t>13-04-2020</t>
  </si>
  <si>
    <t>Siddhartha Ambawade</t>
  </si>
  <si>
    <t>Project Manager</t>
  </si>
  <si>
    <t>06.10.1987</t>
  </si>
  <si>
    <t>Shamrao Ambavade</t>
  </si>
  <si>
    <t>C-37/0:2, Ajinkyatara CHS, Sector-24, Juinagar, Navi Mumbai-400705</t>
  </si>
  <si>
    <t>Aniket Kadam</t>
  </si>
  <si>
    <t>Senior Oracle Admin</t>
  </si>
  <si>
    <t>Deepak Suryakanth Gaikwad</t>
  </si>
  <si>
    <t xml:space="preserve">Jeetendra H. Patil </t>
  </si>
  <si>
    <t>Senior Consultant</t>
  </si>
  <si>
    <t>Senior Oracle DBA</t>
  </si>
  <si>
    <t>1002, D, Dosti Vihar, Vartak Nagar, Thane West, Maharashtra, 400606</t>
  </si>
  <si>
    <t>Suryakant gaikwad</t>
  </si>
  <si>
    <t>House No. 34 New Balaji Nagar Chorwad Road Parola Dist Jalgaon 425111</t>
  </si>
  <si>
    <t>Himmat k patil</t>
  </si>
  <si>
    <t>06.09.1991</t>
  </si>
  <si>
    <t>Motiram Kadam</t>
  </si>
  <si>
    <t>303, Sagar Darshan, Juhu versova link road, Andheri W , Mumbai</t>
  </si>
  <si>
    <t>Signature of the Contractor with Seal</t>
  </si>
  <si>
    <t>Mohammed Sharique Shaikh</t>
  </si>
  <si>
    <t>Nilofur Nasim</t>
  </si>
  <si>
    <t>A/5 Eversweet Apartments, 7 Bungalows, Outside Versova Metro Station, Andheri (W), Mumbai 400053</t>
  </si>
  <si>
    <t>Mohammed Shaikh, Flat B, 1st Floor, Tower 3,  Mughal Compound, Thokar 3, near Shaheen Academy,  </t>
  </si>
  <si>
    <t>Sybase DBA</t>
  </si>
  <si>
    <t>Resigned</t>
  </si>
  <si>
    <t>ShyamReddy Kandula</t>
  </si>
  <si>
    <t>25-06-1992</t>
  </si>
  <si>
    <t>Ram Reddy</t>
  </si>
  <si>
    <t>Oracle DBA</t>
  </si>
  <si>
    <t>4-58, Kondaigudem, 
Garidepally, Suryapet,
 Telangana - 508201</t>
  </si>
  <si>
    <t>100491173386</t>
  </si>
  <si>
    <t>SBI</t>
  </si>
  <si>
    <t>A/C'62246573312</t>
  </si>
  <si>
    <t>BITS-548</t>
  </si>
  <si>
    <t>(Vide Rule 76 of Contract Labour (R&amp;A) Central &amp; Maharastra Rules, 1974)</t>
  </si>
  <si>
    <t>[Vide rule 78 (1) (b) of the Contract Labour (Regulation and Abolition) Central and Maharashtra, 1971]</t>
  </si>
  <si>
    <t>Active</t>
  </si>
  <si>
    <t>IT SUPPORTIVE SERVICES&amp;MUMBAI</t>
  </si>
  <si>
    <t>101579607071</t>
  </si>
  <si>
    <t xml:space="preserve">ICICI </t>
  </si>
  <si>
    <t>A/C'018301591417</t>
  </si>
  <si>
    <t>Resinged</t>
  </si>
  <si>
    <t>WO</t>
  </si>
  <si>
    <t>JAN'22</t>
  </si>
  <si>
    <t>FEB'22</t>
  </si>
  <si>
    <t>29</t>
  </si>
  <si>
    <t>30</t>
  </si>
  <si>
    <t>MAR'22</t>
  </si>
  <si>
    <t>2022-23</t>
  </si>
  <si>
    <t>Muster Roll cum Wages Register for the month of APRIL 2022</t>
  </si>
  <si>
    <t>APRIL'22</t>
  </si>
  <si>
    <t>Muster Roll cum Wages Register for the month of APRIL -2022</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</si>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</sst>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mmmm/yyyy"/>
    <numFmt numFmtId="165" formatCode="[$-409]d/mmm/yy;@"/>
    <numFmt numFmtId="166" formatCode="###,##0"/>
    <numFmt numFmtId="167" formatCode="_(* #,##0_);_(* \(#,##0\);_(* &quot;-&quot;??_);_(@_)"/>
    <numFmt numFmtId="168" formatCode="[$-14009]dd/mm/yyyy;@"/>
    <numFmt numFmtId="169" formatCode="_ * #,##0_ ;_ * \-#,##0_ ;_ * &quot;-&quot;??_ ;_ @_ "/>
    <numFmt numFmtId="170" formatCode="0.0"/>
  </numFmts>
  <fonts count="95">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2"/>
      <name val="Cambria"/>
      <family val="1"/>
      <scheme val="major"/>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0"/>
      <color rgb="FF000000"/>
      <name val="Arial"/>
      <family val="2"/>
    </font>
    <font>
      <sz val="12"/>
      <name val="Verdana"/>
      <family val="2"/>
    </font>
    <font>
      <sz val="12"/>
      <color theme="1"/>
      <name val="Cambria"/>
      <family val="1"/>
      <scheme val="major"/>
    </font>
    <font>
      <b/>
      <sz val="8"/>
      <color indexed="8"/>
      <name val="Calibri"/>
      <family val="2"/>
      <scheme val="minor"/>
    </font>
    <font>
      <sz val="8"/>
      <color indexed="8"/>
      <name val="Calibri"/>
      <family val="2"/>
      <scheme val="minor"/>
    </font>
    <font>
      <sz val="8"/>
      <name val="Calibri"/>
      <family val="2"/>
      <scheme val="minor"/>
    </font>
    <font>
      <sz val="11"/>
      <name val="Verdana"/>
      <family val="2"/>
    </font>
    <font>
      <b/>
      <sz val="9"/>
      <color indexed="8"/>
      <name val="Calibri"/>
      <family val="2"/>
      <scheme val="minor"/>
    </font>
    <font>
      <sz val="8"/>
      <name val="Verdana"/>
      <family val="2"/>
    </font>
    <font>
      <sz val="10"/>
      <name val="Cambria"/>
      <family val="1"/>
      <scheme val="major"/>
    </font>
    <font>
      <sz val="11"/>
      <color theme="1"/>
      <name val="Cambria"/>
      <family val="1"/>
      <scheme val="major"/>
    </font>
    <font>
      <sz val="11"/>
      <name val="Cambria"/>
      <family val="1"/>
      <scheme val="major"/>
    </font>
    <font>
      <b/>
      <sz val="11"/>
      <color theme="1"/>
      <name val="Cambria"/>
      <family val="1"/>
      <scheme val="major"/>
    </font>
    <font>
      <sz val="11"/>
      <color indexed="8"/>
      <name val="Arial Unicode MS"/>
      <family val="2"/>
    </font>
    <font>
      <sz val="10"/>
      <name val="Book Antiqua"/>
      <family val="1"/>
    </font>
    <font>
      <sz val="10"/>
      <color theme="1"/>
      <name val="Book Antiqua"/>
      <family val="1"/>
    </font>
    <font>
      <b/>
      <sz val="10"/>
      <color theme="1"/>
      <name val="Book Antiqua"/>
      <family val="1"/>
    </font>
    <font>
      <sz val="11"/>
      <color rgb="FFFF0000"/>
      <name val="Arial Unicode MS"/>
      <family val="2"/>
    </font>
    <font>
      <b/>
      <sz val="8"/>
      <name val="Tahoma"/>
      <family val="2"/>
    </font>
    <font>
      <b/>
      <sz val="12"/>
      <name val="Cambria"/>
      <family val="1"/>
      <scheme val="major"/>
    </font>
    <font>
      <b/>
      <sz val="10"/>
      <name val="Book Antiqua"/>
      <family val="1"/>
    </font>
    <font>
      <sz val="16"/>
      <name val="Cambria"/>
      <family val="1"/>
      <scheme val="major"/>
    </font>
    <font>
      <sz val="12"/>
      <color rgb="FFFF0000"/>
      <name val="Cambria"/>
      <family val="1"/>
      <scheme val="major"/>
    </font>
    <font>
      <sz val="12"/>
      <color theme="1"/>
      <name val="Arial"/>
      <family val="2"/>
    </font>
    <font>
      <sz val="11"/>
      <color rgb="FFFF0000"/>
      <name val="Calibri"/>
      <family val="2"/>
      <scheme val="minor"/>
    </font>
    <font>
      <sz val="10"/>
      <color rgb="FFFF0000"/>
      <name val="Arial"/>
      <family val="2"/>
    </font>
    <font>
      <sz val="11"/>
      <color rgb="FFFF0000"/>
      <name val="Cambria"/>
      <family val="1"/>
      <scheme val="major"/>
    </font>
    <font>
      <sz val="10"/>
      <color rgb="FFFF0000"/>
      <name val="Cambria"/>
      <family val="1"/>
      <scheme val="major"/>
    </font>
    <font>
      <sz val="18"/>
      <color rgb="FFFF0000"/>
      <name val="Cambria"/>
      <family val="1"/>
      <scheme val="major"/>
    </font>
    <font>
      <b/>
      <sz val="16"/>
      <name val="Book Antiqua"/>
      <family val="1"/>
    </font>
    <font>
      <b/>
      <sz val="12"/>
      <color indexed="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FF00"/>
        <bgColor indexed="64"/>
      </patternFill>
    </fill>
  </fills>
  <borders count="58">
    <border>
      <left/>
      <right/>
      <top/>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s>
  <cellStyleXfs count="10">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62" fillId="0" borderId="0"/>
    <xf numFmtId="0" fontId="63" fillId="0" borderId="0"/>
    <xf numFmtId="0" fontId="1" fillId="0" borderId="0"/>
    <xf numFmtId="43" fontId="1" fillId="0" borderId="0" applyFont="0" applyFill="0" applyBorder="0" applyAlignment="0" applyProtection="0"/>
  </cellStyleXfs>
  <cellXfs count="990">
    <xf numFmtId="0" fontId="0" fillId="0" borderId="0" xfId="0"/>
    <xf numFmtId="0" fontId="5" fillId="0" borderId="0" xfId="0" applyFont="1"/>
    <xf numFmtId="0" fontId="2" fillId="0" borderId="0" xfId="0" applyFont="1"/>
    <xf numFmtId="0" fontId="8" fillId="0" borderId="0" xfId="0" applyFont="1"/>
    <xf numFmtId="0" fontId="0" fillId="0" borderId="0" xfId="0" applyAlignment="1">
      <alignment horizontal="left"/>
    </xf>
    <xf numFmtId="0" fontId="0" fillId="0" borderId="0" xfId="0" applyAlignment="1">
      <alignment horizontal="center"/>
    </xf>
    <xf numFmtId="0" fontId="9" fillId="0" borderId="0" xfId="0" applyFont="1"/>
    <xf numFmtId="17" fontId="2" fillId="0" borderId="0" xfId="0" applyNumberFormat="1" applyFont="1"/>
    <xf numFmtId="0" fontId="10" fillId="0" borderId="0" xfId="0" applyFont="1"/>
    <xf numFmtId="0" fontId="0" fillId="2" borderId="0" xfId="0" applyFill="1"/>
    <xf numFmtId="0" fontId="0" fillId="0" borderId="0" xfId="0" applyAlignment="1">
      <alignment vertical="center"/>
    </xf>
    <xf numFmtId="0" fontId="0" fillId="0" borderId="4" xfId="0" applyBorder="1"/>
    <xf numFmtId="0" fontId="0" fillId="0" borderId="0" xfId="0" applyAlignment="1">
      <alignment wrapText="1"/>
    </xf>
    <xf numFmtId="0" fontId="0" fillId="0" borderId="22" xfId="0" applyBorder="1"/>
    <xf numFmtId="0" fontId="0" fillId="0" borderId="23" xfId="0" applyBorder="1"/>
    <xf numFmtId="0" fontId="8" fillId="0" borderId="22" xfId="0" applyFont="1" applyBorder="1"/>
    <xf numFmtId="0" fontId="8" fillId="0" borderId="19" xfId="0" applyFont="1" applyBorder="1"/>
    <xf numFmtId="0" fontId="0" fillId="0" borderId="19" xfId="0" applyBorder="1"/>
    <xf numFmtId="17" fontId="9" fillId="0" borderId="19" xfId="0" applyNumberFormat="1" applyFont="1" applyBorder="1"/>
    <xf numFmtId="0" fontId="9" fillId="0" borderId="22" xfId="0" applyFont="1" applyBorder="1"/>
    <xf numFmtId="2" fontId="8" fillId="0" borderId="19" xfId="0" applyNumberFormat="1" applyFont="1" applyBorder="1"/>
    <xf numFmtId="0" fontId="9" fillId="0" borderId="19" xfId="0" applyFont="1" applyBorder="1"/>
    <xf numFmtId="1" fontId="8" fillId="0" borderId="19" xfId="0" applyNumberFormat="1" applyFont="1" applyBorder="1"/>
    <xf numFmtId="0" fontId="0" fillId="0" borderId="25" xfId="0" applyBorder="1"/>
    <xf numFmtId="0" fontId="0" fillId="0" borderId="26" xfId="0" applyBorder="1"/>
    <xf numFmtId="0" fontId="0" fillId="0" borderId="27" xfId="0" applyBorder="1"/>
    <xf numFmtId="0" fontId="8" fillId="0" borderId="0" xfId="0" applyFont="1" applyAlignment="1">
      <alignment horizontal="left"/>
    </xf>
    <xf numFmtId="1" fontId="0" fillId="0" borderId="4" xfId="0" applyNumberFormat="1" applyBorder="1"/>
    <xf numFmtId="0" fontId="0" fillId="0" borderId="11" xfId="0" applyBorder="1"/>
    <xf numFmtId="0" fontId="0" fillId="0" borderId="12" xfId="0" applyBorder="1"/>
    <xf numFmtId="0" fontId="8" fillId="0" borderId="17" xfId="0" applyFont="1" applyBorder="1" applyAlignment="1">
      <alignment vertical="top"/>
    </xf>
    <xf numFmtId="0" fontId="8" fillId="0" borderId="31" xfId="0" applyFont="1" applyBorder="1" applyAlignment="1">
      <alignment vertical="top"/>
    </xf>
    <xf numFmtId="0" fontId="8" fillId="0" borderId="8" xfId="0" applyFont="1" applyBorder="1" applyAlignment="1">
      <alignment vertical="top"/>
    </xf>
    <xf numFmtId="0" fontId="8" fillId="0" borderId="19" xfId="0" applyFont="1" applyBorder="1" applyAlignment="1">
      <alignment vertical="top"/>
    </xf>
    <xf numFmtId="0" fontId="8" fillId="0" borderId="13" xfId="0" applyFont="1" applyBorder="1" applyAlignment="1">
      <alignment vertical="top"/>
    </xf>
    <xf numFmtId="0" fontId="9" fillId="0" borderId="17" xfId="0" applyFont="1" applyBorder="1" applyAlignment="1">
      <alignment vertical="top"/>
    </xf>
    <xf numFmtId="0" fontId="9" fillId="3" borderId="3" xfId="0" applyFont="1" applyFill="1" applyBorder="1" applyAlignment="1">
      <alignment vertical="top"/>
    </xf>
    <xf numFmtId="0" fontId="18" fillId="0" borderId="3" xfId="0" applyFont="1" applyBorder="1" applyAlignment="1">
      <alignment vertical="top"/>
    </xf>
    <xf numFmtId="0" fontId="8" fillId="0" borderId="10" xfId="0" applyFont="1" applyBorder="1" applyAlignment="1">
      <alignment vertical="top"/>
    </xf>
    <xf numFmtId="0" fontId="9" fillId="3" borderId="3" xfId="0" applyFont="1" applyFill="1" applyBorder="1" applyAlignment="1">
      <alignment horizontal="center" vertical="top"/>
    </xf>
    <xf numFmtId="0" fontId="9" fillId="3" borderId="8" xfId="0" applyFont="1" applyFill="1" applyBorder="1" applyAlignment="1">
      <alignment horizontal="center" vertical="top"/>
    </xf>
    <xf numFmtId="0" fontId="9" fillId="3" borderId="3" xfId="0" applyFont="1" applyFill="1" applyBorder="1" applyAlignment="1">
      <alignment vertical="top" wrapText="1"/>
    </xf>
    <xf numFmtId="0" fontId="9" fillId="3" borderId="15" xfId="0" applyFont="1" applyFill="1" applyBorder="1" applyAlignment="1">
      <alignment vertical="top"/>
    </xf>
    <xf numFmtId="0" fontId="8" fillId="0" borderId="3" xfId="0" applyFont="1" applyBorder="1" applyAlignment="1">
      <alignment vertical="top"/>
    </xf>
    <xf numFmtId="0" fontId="0" fillId="0" borderId="24" xfId="0" applyBorder="1"/>
    <xf numFmtId="0" fontId="0" fillId="0" borderId="18" xfId="0" applyBorder="1"/>
    <xf numFmtId="0" fontId="8" fillId="0" borderId="16" xfId="0" applyFont="1" applyBorder="1" applyAlignment="1">
      <alignment vertical="top"/>
    </xf>
    <xf numFmtId="0" fontId="8" fillId="0" borderId="24" xfId="0" applyFont="1" applyBorder="1" applyAlignment="1">
      <alignment vertical="top"/>
    </xf>
    <xf numFmtId="0" fontId="0" fillId="0" borderId="8" xfId="0" applyBorder="1"/>
    <xf numFmtId="0" fontId="0" fillId="0" borderId="13" xfId="0" applyBorder="1"/>
    <xf numFmtId="0" fontId="0" fillId="0" borderId="20" xfId="0" applyBorder="1"/>
    <xf numFmtId="0" fontId="0" fillId="0" borderId="9" xfId="0" applyBorder="1"/>
    <xf numFmtId="0" fontId="0" fillId="0" borderId="21" xfId="0" applyBorder="1"/>
    <xf numFmtId="0" fontId="2" fillId="0" borderId="22" xfId="0" applyFont="1" applyBorder="1"/>
    <xf numFmtId="0" fontId="2" fillId="0" borderId="20" xfId="0" applyFont="1" applyBorder="1"/>
    <xf numFmtId="0" fontId="2" fillId="0" borderId="9" xfId="0" applyFont="1" applyBorder="1"/>
    <xf numFmtId="0" fontId="2" fillId="0" borderId="21" xfId="0" applyFont="1" applyBorder="1"/>
    <xf numFmtId="0" fontId="2" fillId="0" borderId="23" xfId="0" applyFont="1" applyBorder="1"/>
    <xf numFmtId="0" fontId="2" fillId="0" borderId="27" xfId="0" applyFont="1" applyBorder="1"/>
    <xf numFmtId="0" fontId="2" fillId="0" borderId="25" xfId="0" applyFont="1" applyBorder="1"/>
    <xf numFmtId="0" fontId="2" fillId="0" borderId="26" xfId="0" applyFont="1" applyBorder="1"/>
    <xf numFmtId="0" fontId="0" fillId="0" borderId="22" xfId="0" applyBorder="1" applyAlignment="1">
      <alignment vertical="center"/>
    </xf>
    <xf numFmtId="0" fontId="24" fillId="0" borderId="16" xfId="0" applyFont="1" applyBorder="1"/>
    <xf numFmtId="0" fontId="2" fillId="0" borderId="24" xfId="0" applyFont="1" applyBorder="1" applyAlignment="1">
      <alignment horizontal="left" vertical="center"/>
    </xf>
    <xf numFmtId="0" fontId="2" fillId="0" borderId="16" xfId="0" applyFont="1" applyBorder="1" applyAlignment="1">
      <alignment horizontal="center" vertical="center"/>
    </xf>
    <xf numFmtId="0" fontId="0" fillId="0" borderId="24" xfId="0" applyBorder="1" applyAlignment="1">
      <alignment vertical="center"/>
    </xf>
    <xf numFmtId="0" fontId="2" fillId="0" borderId="24" xfId="0" applyFont="1" applyBorder="1" applyAlignment="1">
      <alignment horizontal="center" vertical="center"/>
    </xf>
    <xf numFmtId="0" fontId="2" fillId="0" borderId="18" xfId="0" applyFont="1" applyBorder="1" applyAlignment="1">
      <alignment horizontal="left" vertical="center"/>
    </xf>
    <xf numFmtId="0" fontId="2" fillId="0" borderId="8" xfId="0" applyFont="1" applyBorder="1" applyAlignment="1">
      <alignment horizontal="center" vertical="center"/>
    </xf>
    <xf numFmtId="0" fontId="2" fillId="0" borderId="19"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 fontId="2" fillId="0" borderId="24" xfId="0" applyNumberFormat="1" applyFont="1" applyBorder="1" applyAlignment="1">
      <alignment horizontal="center" vertical="center"/>
    </xf>
    <xf numFmtId="2" fontId="2" fillId="0" borderId="24" xfId="0" applyNumberFormat="1" applyFont="1" applyBorder="1" applyAlignment="1">
      <alignment horizontal="center" vertical="center"/>
    </xf>
    <xf numFmtId="0" fontId="24" fillId="0" borderId="28" xfId="0" applyFont="1" applyBorder="1"/>
    <xf numFmtId="0" fontId="2" fillId="0" borderId="29" xfId="0" applyFont="1" applyBorder="1"/>
    <xf numFmtId="0" fontId="2" fillId="0" borderId="30" xfId="0" applyFont="1" applyBorder="1"/>
    <xf numFmtId="0" fontId="0" fillId="0" borderId="28" xfId="0" applyBorder="1"/>
    <xf numFmtId="0" fontId="0" fillId="0" borderId="29" xfId="0" applyBorder="1"/>
    <xf numFmtId="0" fontId="0" fillId="0" borderId="37" xfId="0" applyBorder="1"/>
    <xf numFmtId="0" fontId="24" fillId="0" borderId="8" xfId="0" applyFont="1" applyBorder="1"/>
    <xf numFmtId="0" fontId="2" fillId="0" borderId="19" xfId="0" applyFont="1" applyBorder="1"/>
    <xf numFmtId="0" fontId="2" fillId="0" borderId="13" xfId="0" applyFont="1" applyBorder="1"/>
    <xf numFmtId="0" fontId="0" fillId="0" borderId="35" xfId="0" applyBorder="1"/>
    <xf numFmtId="0" fontId="2" fillId="0" borderId="4" xfId="0" applyFont="1" applyBorder="1" applyAlignment="1">
      <alignment horizontal="center" vertical="center"/>
    </xf>
    <xf numFmtId="1" fontId="2" fillId="0" borderId="4" xfId="0" applyNumberFormat="1" applyFont="1" applyBorder="1" applyAlignment="1">
      <alignment horizontal="center" vertical="center"/>
    </xf>
    <xf numFmtId="1" fontId="2" fillId="0" borderId="33" xfId="0" applyNumberFormat="1" applyFont="1" applyBorder="1" applyAlignment="1">
      <alignment horizontal="center" vertical="center"/>
    </xf>
    <xf numFmtId="0" fontId="25" fillId="0" borderId="0" xfId="0" applyFont="1" applyAlignment="1">
      <alignment horizontal="center"/>
    </xf>
    <xf numFmtId="0" fontId="26" fillId="0" borderId="0" xfId="0" applyFont="1" applyAlignment="1">
      <alignment horizontal="center"/>
    </xf>
    <xf numFmtId="0" fontId="27" fillId="0" borderId="0" xfId="0" applyFont="1"/>
    <xf numFmtId="0" fontId="28" fillId="0" borderId="0" xfId="0" applyFont="1" applyAlignment="1">
      <alignment wrapText="1"/>
    </xf>
    <xf numFmtId="0" fontId="28" fillId="0" borderId="0" xfId="0" applyFont="1"/>
    <xf numFmtId="0" fontId="29" fillId="0" borderId="0" xfId="0" applyFont="1" applyAlignment="1">
      <alignment horizontal="center"/>
    </xf>
    <xf numFmtId="0" fontId="29" fillId="0" borderId="0" xfId="0" applyFont="1" applyAlignment="1">
      <alignment wrapText="1"/>
    </xf>
    <xf numFmtId="0" fontId="29" fillId="0" borderId="0" xfId="0" applyFont="1"/>
    <xf numFmtId="0" fontId="30" fillId="0" borderId="32" xfId="0" applyFont="1" applyBorder="1" applyAlignment="1">
      <alignment horizontal="center" wrapText="1"/>
    </xf>
    <xf numFmtId="0" fontId="30" fillId="0" borderId="0" xfId="0" applyFont="1"/>
    <xf numFmtId="0" fontId="31" fillId="0" borderId="3" xfId="0" applyFont="1" applyBorder="1" applyAlignment="1">
      <alignment horizontal="center" vertical="center" wrapText="1"/>
    </xf>
    <xf numFmtId="0" fontId="30" fillId="0" borderId="6" xfId="0" applyFont="1" applyBorder="1" applyAlignment="1">
      <alignment horizontal="center" wrapText="1"/>
    </xf>
    <xf numFmtId="0" fontId="32" fillId="0" borderId="0" xfId="0" applyFont="1" applyAlignment="1">
      <alignment horizontal="center" vertical="center" wrapText="1"/>
    </xf>
    <xf numFmtId="0" fontId="0" fillId="0" borderId="32" xfId="0" applyBorder="1" applyAlignment="1">
      <alignment horizontal="center"/>
    </xf>
    <xf numFmtId="0" fontId="0" fillId="0" borderId="32" xfId="0" applyBorder="1" applyAlignment="1">
      <alignment horizontal="center" wrapText="1"/>
    </xf>
    <xf numFmtId="0" fontId="0" fillId="0" borderId="3" xfId="0" applyBorder="1" applyAlignment="1">
      <alignment horizontal="center"/>
    </xf>
    <xf numFmtId="0" fontId="33" fillId="2" borderId="9" xfId="0" applyFont="1" applyFill="1" applyBorder="1" applyAlignment="1">
      <alignment horizontal="center" vertical="top" wrapText="1"/>
    </xf>
    <xf numFmtId="0" fontId="33" fillId="2" borderId="21" xfId="0" applyFont="1" applyFill="1" applyBorder="1" applyAlignment="1">
      <alignment horizontal="center" vertical="top" wrapText="1"/>
    </xf>
    <xf numFmtId="0" fontId="33" fillId="2" borderId="0" xfId="0" applyFont="1" applyFill="1" applyAlignment="1">
      <alignment horizontal="center" vertical="top" wrapText="1"/>
    </xf>
    <xf numFmtId="0" fontId="33" fillId="2" borderId="23" xfId="0" applyFont="1" applyFill="1" applyBorder="1" applyAlignment="1">
      <alignment horizontal="center" vertical="top" wrapText="1"/>
    </xf>
    <xf numFmtId="0" fontId="0" fillId="2" borderId="0" xfId="0" applyFill="1" applyAlignment="1">
      <alignment horizontal="center" vertical="top" wrapText="1"/>
    </xf>
    <xf numFmtId="0" fontId="0" fillId="2" borderId="23" xfId="0" applyFill="1" applyBorder="1" applyAlignment="1">
      <alignment horizontal="center" vertical="top" wrapText="1"/>
    </xf>
    <xf numFmtId="0" fontId="34" fillId="2" borderId="0" xfId="0" applyFont="1" applyFill="1" applyAlignment="1">
      <alignment horizontal="center" vertical="top" wrapText="1"/>
    </xf>
    <xf numFmtId="0" fontId="34" fillId="2" borderId="23" xfId="0" applyFont="1" applyFill="1" applyBorder="1" applyAlignment="1">
      <alignment horizontal="center" vertical="top" wrapText="1"/>
    </xf>
    <xf numFmtId="0" fontId="34" fillId="2" borderId="22" xfId="0" applyFont="1" applyFill="1" applyBorder="1" applyAlignment="1">
      <alignment horizontal="center" vertical="top" wrapText="1"/>
    </xf>
    <xf numFmtId="0" fontId="35" fillId="2" borderId="22" xfId="0" applyFont="1" applyFill="1" applyBorder="1" applyAlignment="1">
      <alignment horizontal="center" vertical="top" wrapText="1"/>
    </xf>
    <xf numFmtId="0" fontId="35" fillId="2" borderId="0" xfId="0" applyFont="1" applyFill="1" applyAlignment="1">
      <alignment horizontal="center" vertical="top" wrapText="1"/>
    </xf>
    <xf numFmtId="0" fontId="35" fillId="2" borderId="23" xfId="0" applyFont="1" applyFill="1" applyBorder="1" applyAlignment="1">
      <alignment horizontal="center" vertical="top" wrapText="1"/>
    </xf>
    <xf numFmtId="0" fontId="36" fillId="2" borderId="22" xfId="0" applyFont="1" applyFill="1" applyBorder="1" applyAlignment="1">
      <alignment horizontal="left" vertical="center"/>
    </xf>
    <xf numFmtId="0" fontId="36" fillId="2" borderId="0" xfId="0" applyFont="1" applyFill="1" applyAlignment="1">
      <alignment horizontal="left" vertical="center"/>
    </xf>
    <xf numFmtId="0" fontId="10" fillId="0" borderId="0" xfId="0" applyFont="1" applyAlignment="1">
      <alignment horizontal="left" vertical="center"/>
    </xf>
    <xf numFmtId="0" fontId="36" fillId="2" borderId="22" xfId="0" applyFont="1" applyFill="1" applyBorder="1"/>
    <xf numFmtId="0" fontId="36" fillId="2" borderId="0" xfId="0" applyFont="1" applyFill="1" applyAlignment="1">
      <alignment horizontal="center"/>
    </xf>
    <xf numFmtId="0" fontId="36" fillId="0" borderId="0" xfId="0" applyFont="1" applyAlignment="1">
      <alignment horizontal="center"/>
    </xf>
    <xf numFmtId="0" fontId="36" fillId="2" borderId="0" xfId="0" applyFont="1" applyFill="1" applyAlignment="1">
      <alignment horizontal="center" wrapText="1"/>
    </xf>
    <xf numFmtId="0" fontId="36" fillId="2" borderId="0" xfId="0" applyFont="1" applyFill="1" applyAlignment="1">
      <alignment horizontal="left" wrapText="1"/>
    </xf>
    <xf numFmtId="0" fontId="36" fillId="2" borderId="0" xfId="0" applyFont="1" applyFill="1"/>
    <xf numFmtId="0" fontId="36" fillId="2" borderId="23" xfId="0" applyFont="1" applyFill="1" applyBorder="1"/>
    <xf numFmtId="0" fontId="37" fillId="2" borderId="22" xfId="0" applyFont="1" applyFill="1" applyBorder="1"/>
    <xf numFmtId="0" fontId="37" fillId="2" borderId="0" xfId="0" applyFont="1" applyFill="1" applyAlignment="1">
      <alignment horizontal="center"/>
    </xf>
    <xf numFmtId="0" fontId="37" fillId="2" borderId="0" xfId="0" applyFont="1" applyFill="1" applyAlignment="1">
      <alignment vertical="center"/>
    </xf>
    <xf numFmtId="0" fontId="37" fillId="2" borderId="0" xfId="0" applyFont="1" applyFill="1"/>
    <xf numFmtId="0" fontId="37" fillId="2" borderId="23" xfId="0" applyFont="1" applyFill="1" applyBorder="1"/>
    <xf numFmtId="0" fontId="33" fillId="2" borderId="0" xfId="0" applyFont="1" applyFill="1" applyAlignment="1">
      <alignment vertical="top" wrapText="1"/>
    </xf>
    <xf numFmtId="0" fontId="38" fillId="2" borderId="0" xfId="0" applyFont="1" applyFill="1" applyAlignment="1">
      <alignment vertical="top" wrapText="1"/>
    </xf>
    <xf numFmtId="0" fontId="38" fillId="2" borderId="0" xfId="0" applyFont="1" applyFill="1" applyAlignment="1">
      <alignment horizontal="justify" vertical="top" wrapText="1"/>
    </xf>
    <xf numFmtId="0" fontId="38" fillId="2" borderId="23" xfId="0" applyFont="1" applyFill="1" applyBorder="1" applyAlignment="1">
      <alignment horizontal="justify" vertical="top" wrapText="1"/>
    </xf>
    <xf numFmtId="0" fontId="38" fillId="2" borderId="22" xfId="0" applyFont="1" applyFill="1" applyBorder="1" applyAlignment="1">
      <alignment horizontal="left" vertical="top" wrapText="1"/>
    </xf>
    <xf numFmtId="0" fontId="38" fillId="2" borderId="0" xfId="0" applyFont="1" applyFill="1" applyAlignment="1">
      <alignment horizontal="left" vertical="top" wrapText="1"/>
    </xf>
    <xf numFmtId="0" fontId="0" fillId="2" borderId="0" xfId="0" applyFill="1" applyAlignment="1">
      <alignment horizontal="justify" vertical="top" wrapText="1"/>
    </xf>
    <xf numFmtId="0" fontId="0" fillId="2" borderId="23" xfId="0" applyFill="1" applyBorder="1" applyAlignment="1">
      <alignment horizontal="justify" vertical="top" wrapText="1"/>
    </xf>
    <xf numFmtId="0" fontId="39" fillId="2" borderId="22" xfId="0" applyFont="1" applyFill="1" applyBorder="1" applyAlignment="1">
      <alignment horizontal="center" vertical="top" wrapText="1"/>
    </xf>
    <xf numFmtId="0" fontId="39" fillId="2" borderId="0" xfId="0" applyFont="1" applyFill="1" applyAlignment="1">
      <alignment horizontal="center" vertical="top" wrapText="1"/>
    </xf>
    <xf numFmtId="0" fontId="39" fillId="2" borderId="23" xfId="0" applyFont="1" applyFill="1" applyBorder="1" applyAlignment="1">
      <alignment horizontal="center" vertical="top" wrapText="1"/>
    </xf>
    <xf numFmtId="0" fontId="39" fillId="2" borderId="39" xfId="0" applyFont="1" applyFill="1" applyBorder="1" applyAlignment="1">
      <alignment horizontal="center" vertical="center" wrapText="1"/>
    </xf>
    <xf numFmtId="0" fontId="39" fillId="2" borderId="32" xfId="0" applyFont="1" applyFill="1" applyBorder="1" applyAlignment="1">
      <alignment horizontal="center" vertical="center" wrapText="1"/>
    </xf>
    <xf numFmtId="0" fontId="39" fillId="2" borderId="34" xfId="0" applyFont="1" applyFill="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vertical="center"/>
    </xf>
    <xf numFmtId="0" fontId="2" fillId="0" borderId="4" xfId="0" applyFont="1" applyBorder="1"/>
    <xf numFmtId="1" fontId="2" fillId="0" borderId="22" xfId="0" applyNumberFormat="1" applyFont="1" applyBorder="1"/>
    <xf numFmtId="0" fontId="2" fillId="0" borderId="29" xfId="0" applyFont="1" applyBorder="1" applyAlignment="1">
      <alignment horizontal="left" vertical="center"/>
    </xf>
    <xf numFmtId="0" fontId="2" fillId="0" borderId="30" xfId="0" applyFont="1" applyBorder="1" applyAlignment="1">
      <alignment horizontal="left"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1" fontId="2" fillId="0" borderId="29" xfId="0" applyNumberFormat="1" applyFont="1" applyBorder="1" applyAlignment="1">
      <alignment horizontal="center" vertical="center"/>
    </xf>
    <xf numFmtId="0" fontId="2" fillId="0" borderId="37"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8" fillId="0" borderId="0" xfId="0" applyFont="1" applyAlignment="1">
      <alignment horizontal="left" vertical="center" wrapText="1"/>
    </xf>
    <xf numFmtId="0" fontId="0" fillId="0" borderId="22" xfId="0" applyBorder="1" applyAlignment="1">
      <alignment horizontal="center"/>
    </xf>
    <xf numFmtId="0" fontId="0" fillId="0" borderId="23" xfId="0" applyBorder="1" applyAlignment="1">
      <alignment horizontal="center"/>
    </xf>
    <xf numFmtId="1" fontId="2" fillId="0" borderId="4" xfId="0" applyNumberFormat="1" applyFont="1" applyBorder="1" applyAlignment="1">
      <alignment horizontal="center" vertical="center" wrapText="1"/>
    </xf>
    <xf numFmtId="1" fontId="2" fillId="0" borderId="16" xfId="0" applyNumberFormat="1" applyFont="1" applyBorder="1" applyAlignment="1">
      <alignment horizontal="center" vertical="center"/>
    </xf>
    <xf numFmtId="1" fontId="2" fillId="0" borderId="16" xfId="0" applyNumberFormat="1" applyFont="1" applyBorder="1" applyAlignment="1">
      <alignment horizontal="center" vertical="center" wrapText="1"/>
    </xf>
    <xf numFmtId="0" fontId="2" fillId="0" borderId="4" xfId="0" applyFont="1" applyBorder="1" applyAlignment="1">
      <alignment horizontal="center" wrapText="1"/>
    </xf>
    <xf numFmtId="0" fontId="24" fillId="0" borderId="16" xfId="5" applyNumberFormat="1" applyFont="1" applyBorder="1"/>
    <xf numFmtId="1" fontId="2" fillId="0" borderId="18" xfId="0" applyNumberFormat="1" applyFont="1" applyBorder="1" applyAlignment="1">
      <alignment horizontal="center" vertical="center" wrapText="1"/>
    </xf>
    <xf numFmtId="0" fontId="2" fillId="0" borderId="0" xfId="0" applyFont="1" applyAlignment="1">
      <alignment horizontal="left" vertical="center"/>
    </xf>
    <xf numFmtId="0" fontId="2" fillId="0" borderId="16" xfId="0" applyFont="1" applyBorder="1" applyAlignment="1">
      <alignment horizontal="right" vertical="center"/>
    </xf>
    <xf numFmtId="1" fontId="0" fillId="0" borderId="24" xfId="0" applyNumberFormat="1" applyBorder="1"/>
    <xf numFmtId="0" fontId="42" fillId="0" borderId="0" xfId="0" applyFont="1"/>
    <xf numFmtId="0" fontId="24"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23" xfId="0" applyFont="1" applyBorder="1" applyAlignment="1">
      <alignment horizontal="center" vertical="center"/>
    </xf>
    <xf numFmtId="0" fontId="22" fillId="0" borderId="9" xfId="0" applyFont="1" applyBorder="1"/>
    <xf numFmtId="0" fontId="22" fillId="0" borderId="21" xfId="0" applyFont="1" applyBorder="1"/>
    <xf numFmtId="0" fontId="43" fillId="0" borderId="9" xfId="0" applyFont="1" applyBorder="1"/>
    <xf numFmtId="0" fontId="0" fillId="0" borderId="0" xfId="0" applyAlignment="1">
      <alignment vertical="top"/>
    </xf>
    <xf numFmtId="0" fontId="2" fillId="0" borderId="0" xfId="0" applyFont="1" applyAlignment="1">
      <alignment vertical="center" wrapText="1"/>
    </xf>
    <xf numFmtId="0" fontId="2" fillId="0" borderId="24" xfId="0" applyFont="1" applyBorder="1"/>
    <xf numFmtId="0" fontId="2" fillId="0" borderId="18" xfId="0" applyFont="1" applyBorder="1"/>
    <xf numFmtId="0" fontId="2" fillId="0" borderId="16" xfId="0" applyFont="1" applyBorder="1"/>
    <xf numFmtId="0" fontId="0" fillId="0" borderId="16" xfId="0" applyBorder="1"/>
    <xf numFmtId="0" fontId="2" fillId="0" borderId="18" xfId="0" applyFont="1" applyBorder="1" applyAlignment="1">
      <alignment horizontal="center" vertical="center"/>
    </xf>
    <xf numFmtId="0" fontId="2" fillId="0" borderId="16" xfId="0" applyFont="1" applyBorder="1" applyAlignment="1">
      <alignment horizontal="center" wrapText="1"/>
    </xf>
    <xf numFmtId="0" fontId="2" fillId="0" borderId="16" xfId="0" applyFont="1" applyBorder="1" applyAlignment="1">
      <alignment horizontal="left" wrapText="1"/>
    </xf>
    <xf numFmtId="0" fontId="2" fillId="0" borderId="23" xfId="0" applyFont="1" applyBorder="1" applyAlignment="1">
      <alignment vertical="center" wrapText="1"/>
    </xf>
    <xf numFmtId="0" fontId="0" fillId="0" borderId="36" xfId="0" applyBorder="1"/>
    <xf numFmtId="0" fontId="45" fillId="2" borderId="29" xfId="0" applyFont="1" applyFill="1" applyBorder="1" applyAlignment="1">
      <alignment vertical="center"/>
    </xf>
    <xf numFmtId="0" fontId="45" fillId="2" borderId="30" xfId="0" applyFont="1" applyFill="1" applyBorder="1" applyAlignment="1">
      <alignment vertical="center"/>
    </xf>
    <xf numFmtId="0" fontId="45" fillId="2" borderId="8" xfId="0" applyFont="1" applyFill="1" applyBorder="1" applyAlignment="1">
      <alignment vertical="center"/>
    </xf>
    <xf numFmtId="0" fontId="45" fillId="2" borderId="19" xfId="0" applyFont="1" applyFill="1" applyBorder="1" applyAlignment="1">
      <alignment vertical="center"/>
    </xf>
    <xf numFmtId="0" fontId="45" fillId="2" borderId="13" xfId="0" applyFont="1" applyFill="1" applyBorder="1" applyAlignment="1">
      <alignment vertical="center"/>
    </xf>
    <xf numFmtId="0" fontId="45" fillId="2" borderId="0" xfId="0" applyFont="1" applyFill="1" applyAlignment="1">
      <alignment vertical="center"/>
    </xf>
    <xf numFmtId="0" fontId="45" fillId="2" borderId="0" xfId="0" applyFont="1" applyFill="1" applyAlignment="1">
      <alignment horizontal="center" vertical="center"/>
    </xf>
    <xf numFmtId="0" fontId="45" fillId="2" borderId="16" xfId="0" applyFont="1" applyFill="1" applyBorder="1" applyAlignment="1">
      <alignment horizontal="center" vertical="center"/>
    </xf>
    <xf numFmtId="0" fontId="45" fillId="2" borderId="24" xfId="0" applyFont="1" applyFill="1" applyBorder="1" applyAlignment="1">
      <alignment vertical="center"/>
    </xf>
    <xf numFmtId="0" fontId="45" fillId="2" borderId="18" xfId="0" applyFont="1" applyFill="1" applyBorder="1" applyAlignment="1">
      <alignment vertical="center"/>
    </xf>
    <xf numFmtId="0" fontId="2" fillId="0" borderId="16" xfId="0" applyFont="1" applyBorder="1" applyAlignment="1">
      <alignment horizontal="left" vertical="center"/>
    </xf>
    <xf numFmtId="0" fontId="23" fillId="0" borderId="0" xfId="0" applyFont="1"/>
    <xf numFmtId="0" fontId="5" fillId="0" borderId="16" xfId="0" applyFont="1" applyBorder="1"/>
    <xf numFmtId="0" fontId="5" fillId="0" borderId="28" xfId="0" applyFont="1" applyBorder="1"/>
    <xf numFmtId="0" fontId="23" fillId="0" borderId="29" xfId="0" applyFont="1" applyBorder="1"/>
    <xf numFmtId="0" fontId="5" fillId="0" borderId="24" xfId="0" applyFont="1" applyBorder="1"/>
    <xf numFmtId="0" fontId="45" fillId="0" borderId="16" xfId="0" applyFont="1" applyBorder="1" applyAlignment="1">
      <alignment vertical="center"/>
    </xf>
    <xf numFmtId="0" fontId="46" fillId="2" borderId="29" xfId="0" applyFont="1" applyFill="1" applyBorder="1" applyAlignment="1" applyProtection="1">
      <alignment horizontal="center" vertical="center"/>
      <protection locked="0"/>
    </xf>
    <xf numFmtId="0" fontId="45" fillId="2" borderId="16" xfId="0" applyFont="1" applyFill="1" applyBorder="1" applyAlignment="1">
      <alignment vertical="center"/>
    </xf>
    <xf numFmtId="0" fontId="11" fillId="0" borderId="0" xfId="0" applyFont="1"/>
    <xf numFmtId="0" fontId="2" fillId="0" borderId="0" xfId="0" applyFont="1" applyAlignment="1">
      <alignment vertical="top"/>
    </xf>
    <xf numFmtId="0" fontId="45" fillId="2" borderId="0" xfId="0" applyFont="1" applyFill="1" applyAlignment="1">
      <alignment vertical="center" wrapText="1"/>
    </xf>
    <xf numFmtId="0" fontId="45" fillId="2" borderId="4" xfId="0" applyFont="1" applyFill="1" applyBorder="1" applyAlignment="1">
      <alignment vertical="center" wrapText="1"/>
    </xf>
    <xf numFmtId="0" fontId="45" fillId="2" borderId="16" xfId="0" applyFont="1" applyFill="1" applyBorder="1" applyAlignment="1">
      <alignment vertical="center" wrapText="1"/>
    </xf>
    <xf numFmtId="0" fontId="45" fillId="2" borderId="18" xfId="0" applyFont="1" applyFill="1" applyBorder="1" applyAlignment="1">
      <alignment vertical="center" wrapText="1"/>
    </xf>
    <xf numFmtId="0" fontId="48" fillId="2" borderId="0" xfId="0" applyFont="1" applyFill="1" applyAlignment="1">
      <alignment vertical="center"/>
    </xf>
    <xf numFmtId="0" fontId="48" fillId="2" borderId="24" xfId="0" applyFont="1" applyFill="1" applyBorder="1" applyAlignment="1">
      <alignment vertical="center"/>
    </xf>
    <xf numFmtId="0" fontId="51" fillId="0" borderId="0" xfId="0" applyFont="1" applyAlignment="1">
      <alignment horizontal="left" vertical="center"/>
    </xf>
    <xf numFmtId="0" fontId="51" fillId="0" borderId="0" xfId="0" applyFont="1"/>
    <xf numFmtId="0" fontId="47" fillId="2" borderId="0" xfId="0" applyFont="1" applyFill="1" applyAlignment="1">
      <alignment vertical="center"/>
    </xf>
    <xf numFmtId="0" fontId="52"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1" fillId="0" borderId="24" xfId="0" applyFont="1" applyBorder="1"/>
    <xf numFmtId="0" fontId="54" fillId="0" borderId="24" xfId="0" applyFont="1" applyBorder="1" applyAlignment="1">
      <alignment horizontal="left" vertical="center"/>
    </xf>
    <xf numFmtId="0" fontId="54" fillId="0" borderId="18" xfId="0" applyFont="1" applyBorder="1" applyAlignment="1">
      <alignment horizontal="left" vertical="center"/>
    </xf>
    <xf numFmtId="0" fontId="55" fillId="0" borderId="16" xfId="0" applyFont="1" applyBorder="1" applyAlignment="1">
      <alignment horizontal="left" vertical="center"/>
    </xf>
    <xf numFmtId="0" fontId="55" fillId="0" borderId="0" xfId="0" applyFont="1" applyAlignment="1">
      <alignment horizontal="left" vertical="center"/>
    </xf>
    <xf numFmtId="0" fontId="55" fillId="0" borderId="0" xfId="0" applyFont="1"/>
    <xf numFmtId="0" fontId="56" fillId="0" borderId="0" xfId="0" applyFont="1"/>
    <xf numFmtId="0" fontId="56" fillId="0" borderId="0" xfId="5" applyNumberFormat="1" applyFont="1"/>
    <xf numFmtId="0" fontId="57" fillId="0" borderId="0" xfId="0" applyFont="1"/>
    <xf numFmtId="0" fontId="23" fillId="0" borderId="23" xfId="0" applyFont="1" applyBorder="1"/>
    <xf numFmtId="0" fontId="54" fillId="0" borderId="0" xfId="0" applyFont="1" applyAlignment="1">
      <alignment horizontal="left" vertical="center"/>
    </xf>
    <xf numFmtId="0" fontId="23" fillId="0" borderId="37" xfId="0" applyFont="1" applyBorder="1"/>
    <xf numFmtId="0" fontId="5" fillId="0" borderId="36" xfId="0" applyFont="1" applyBorder="1"/>
    <xf numFmtId="0" fontId="45" fillId="2" borderId="36" xfId="0" applyFont="1" applyFill="1" applyBorder="1" applyAlignment="1">
      <alignment vertical="center"/>
    </xf>
    <xf numFmtId="0" fontId="45" fillId="2" borderId="33" xfId="0" applyFont="1" applyFill="1" applyBorder="1" applyAlignment="1">
      <alignment horizontal="center" vertical="center"/>
    </xf>
    <xf numFmtId="0" fontId="48" fillId="2" borderId="36" xfId="0" applyFont="1" applyFill="1" applyBorder="1" applyAlignment="1">
      <alignment vertical="center"/>
    </xf>
    <xf numFmtId="0" fontId="52" fillId="0" borderId="23" xfId="0" applyFont="1" applyBorder="1" applyAlignment="1">
      <alignment horizontal="left" vertical="top" wrapText="1"/>
    </xf>
    <xf numFmtId="0" fontId="47" fillId="2" borderId="23" xfId="0" applyFont="1" applyFill="1" applyBorder="1" applyAlignment="1">
      <alignment vertical="center"/>
    </xf>
    <xf numFmtId="1" fontId="0" fillId="0" borderId="0" xfId="0" applyNumberFormat="1"/>
    <xf numFmtId="2" fontId="2" fillId="0" borderId="0" xfId="0" applyNumberFormat="1" applyFont="1" applyAlignment="1">
      <alignment horizontal="center" vertical="center"/>
    </xf>
    <xf numFmtId="0" fontId="60" fillId="0" borderId="0" xfId="0" applyFont="1" applyAlignment="1">
      <alignment vertical="center"/>
    </xf>
    <xf numFmtId="0" fontId="20" fillId="0" borderId="22" xfId="0" applyFont="1" applyBorder="1"/>
    <xf numFmtId="0" fontId="60" fillId="0" borderId="22" xfId="0" applyFont="1" applyBorder="1" applyAlignment="1">
      <alignment horizontal="left" vertical="center" wrapText="1"/>
    </xf>
    <xf numFmtId="0" fontId="0" fillId="0" borderId="22"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20" fillId="0" borderId="0" xfId="0" applyFont="1"/>
    <xf numFmtId="0" fontId="20" fillId="0" borderId="23" xfId="0" applyFont="1" applyBorder="1"/>
    <xf numFmtId="0" fontId="20" fillId="0" borderId="40"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33" xfId="0" applyFont="1" applyBorder="1" applyAlignment="1">
      <alignment horizontal="center" vertical="center" wrapText="1"/>
    </xf>
    <xf numFmtId="0" fontId="0" fillId="0" borderId="40" xfId="0" applyBorder="1" applyAlignment="1">
      <alignment horizontal="center"/>
    </xf>
    <xf numFmtId="0" fontId="0" fillId="0" borderId="4" xfId="0" applyBorder="1" applyAlignment="1">
      <alignment horizontal="center"/>
    </xf>
    <xf numFmtId="0" fontId="0" fillId="0" borderId="33" xfId="0" applyBorder="1" applyAlignment="1">
      <alignment horizontal="center"/>
    </xf>
    <xf numFmtId="0" fontId="0" fillId="0" borderId="33" xfId="0" applyBorder="1"/>
    <xf numFmtId="0" fontId="16" fillId="0" borderId="0" xfId="0" applyFont="1"/>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8" fillId="0" borderId="22" xfId="0" applyFont="1" applyBorder="1" applyAlignment="1">
      <alignment horizontal="left" vertical="center"/>
    </xf>
    <xf numFmtId="0" fontId="8" fillId="0" borderId="0" xfId="0" applyFont="1" applyAlignment="1">
      <alignment horizontal="left" vertical="center"/>
    </xf>
    <xf numFmtId="0" fontId="8" fillId="0" borderId="23" xfId="0" applyFont="1" applyBorder="1" applyAlignment="1">
      <alignment horizontal="left" vertical="center"/>
    </xf>
    <xf numFmtId="0" fontId="0" fillId="0" borderId="23" xfId="0" applyBorder="1" applyAlignment="1">
      <alignment horizontal="left" vertical="center"/>
    </xf>
    <xf numFmtId="0" fontId="9" fillId="0" borderId="22" xfId="0" applyFont="1" applyBorder="1" applyAlignment="1">
      <alignment vertical="center"/>
    </xf>
    <xf numFmtId="0" fontId="20" fillId="0" borderId="0" xfId="0" applyFont="1" applyAlignment="1">
      <alignment horizontal="center"/>
    </xf>
    <xf numFmtId="1" fontId="11" fillId="0" borderId="0" xfId="0" applyNumberFormat="1" applyFont="1"/>
    <xf numFmtId="0" fontId="0" fillId="0" borderId="2" xfId="0" applyBorder="1"/>
    <xf numFmtId="0" fontId="20" fillId="0" borderId="10" xfId="0" applyFont="1" applyBorder="1"/>
    <xf numFmtId="0" fontId="2" fillId="0" borderId="11" xfId="0" applyFont="1" applyBorder="1"/>
    <xf numFmtId="0" fontId="0" fillId="0" borderId="40" xfId="0" applyBorder="1"/>
    <xf numFmtId="0" fontId="20" fillId="0" borderId="27" xfId="0" applyFont="1" applyBorder="1"/>
    <xf numFmtId="0" fontId="0" fillId="0" borderId="0" xfId="0" applyAlignment="1">
      <alignment horizontal="center" vertical="center"/>
    </xf>
    <xf numFmtId="0" fontId="9" fillId="0" borderId="0" xfId="0" applyFont="1" applyAlignment="1">
      <alignment horizontal="left"/>
    </xf>
    <xf numFmtId="0" fontId="0" fillId="0" borderId="4" xfId="0" applyBorder="1" applyAlignment="1">
      <alignment horizontal="center" vertical="center" wrapText="1"/>
    </xf>
    <xf numFmtId="0" fontId="61" fillId="0" borderId="40" xfId="0" applyFont="1" applyBorder="1" applyAlignment="1">
      <alignment horizontal="center"/>
    </xf>
    <xf numFmtId="0" fontId="61" fillId="0" borderId="4" xfId="0" applyFont="1" applyBorder="1" applyAlignment="1">
      <alignment horizontal="center"/>
    </xf>
    <xf numFmtId="0" fontId="61" fillId="0" borderId="33" xfId="0" applyFont="1" applyBorder="1" applyAlignment="1">
      <alignment horizontal="center"/>
    </xf>
    <xf numFmtId="0" fontId="8" fillId="0" borderId="11" xfId="0" applyFont="1" applyBorder="1"/>
    <xf numFmtId="14" fontId="0" fillId="0" borderId="0" xfId="0" applyNumberFormat="1"/>
    <xf numFmtId="9" fontId="0" fillId="0" borderId="4" xfId="0" applyNumberFormat="1" applyBorder="1"/>
    <xf numFmtId="0" fontId="56" fillId="0" borderId="16" xfId="0" applyFont="1" applyBorder="1"/>
    <xf numFmtId="14" fontId="0" fillId="0" borderId="25" xfId="0" applyNumberFormat="1" applyBorder="1"/>
    <xf numFmtId="1" fontId="23" fillId="0" borderId="29" xfId="0" applyNumberFormat="1" applyFont="1" applyBorder="1"/>
    <xf numFmtId="14" fontId="2" fillId="0" borderId="0" xfId="0" applyNumberFormat="1" applyFont="1"/>
    <xf numFmtId="1" fontId="11" fillId="0" borderId="24" xfId="0" applyNumberFormat="1" applyFont="1" applyBorder="1"/>
    <xf numFmtId="9" fontId="0" fillId="0" borderId="23" xfId="0" applyNumberFormat="1" applyBorder="1" applyAlignment="1">
      <alignment horizontal="center"/>
    </xf>
    <xf numFmtId="14" fontId="20" fillId="0" borderId="0" xfId="0" applyNumberFormat="1" applyFont="1"/>
    <xf numFmtId="1" fontId="0" fillId="0" borderId="22" xfId="0" applyNumberFormat="1" applyBorder="1"/>
    <xf numFmtId="0" fontId="0" fillId="0" borderId="42" xfId="0" applyBorder="1"/>
    <xf numFmtId="1" fontId="8" fillId="0" borderId="0" xfId="0" applyNumberFormat="1" applyFont="1"/>
    <xf numFmtId="0" fontId="8" fillId="0" borderId="42" xfId="0" applyFont="1" applyBorder="1"/>
    <xf numFmtId="1" fontId="8" fillId="0" borderId="42" xfId="0" applyNumberFormat="1" applyFont="1" applyBorder="1"/>
    <xf numFmtId="1" fontId="0" fillId="0" borderId="42" xfId="0" applyNumberFormat="1" applyBorder="1"/>
    <xf numFmtId="0" fontId="0" fillId="2" borderId="4" xfId="0" applyFill="1" applyBorder="1"/>
    <xf numFmtId="0" fontId="0" fillId="2" borderId="4" xfId="0" applyFill="1" applyBorder="1" applyAlignment="1">
      <alignment horizontal="center" vertical="center"/>
    </xf>
    <xf numFmtId="0" fontId="67" fillId="2" borderId="4" xfId="0" applyFont="1" applyFill="1" applyBorder="1" applyAlignment="1" applyProtection="1">
      <alignment vertical="top" wrapText="1" readingOrder="1"/>
      <protection locked="0"/>
    </xf>
    <xf numFmtId="0" fontId="61" fillId="2" borderId="4" xfId="0" applyFont="1" applyFill="1" applyBorder="1" applyAlignment="1">
      <alignment horizontal="center" vertical="center" wrapText="1"/>
    </xf>
    <xf numFmtId="0" fontId="61" fillId="0" borderId="0" xfId="0" applyFont="1"/>
    <xf numFmtId="0" fontId="8" fillId="0" borderId="9" xfId="0" applyNumberFormat="1" applyFont="1" applyFill="1" applyBorder="1" applyAlignment="1" applyProtection="1">
      <alignment vertical="top"/>
    </xf>
    <xf numFmtId="0" fontId="8" fillId="0" borderId="21"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23" xfId="0" applyNumberFormat="1" applyFont="1" applyFill="1" applyBorder="1" applyAlignment="1" applyProtection="1">
      <alignment vertical="top"/>
    </xf>
    <xf numFmtId="0" fontId="8" fillId="0" borderId="27" xfId="0" applyNumberFormat="1" applyFont="1" applyFill="1" applyBorder="1" applyAlignment="1" applyProtection="1">
      <alignment vertical="top"/>
    </xf>
    <xf numFmtId="0" fontId="8" fillId="0" borderId="25" xfId="0" applyNumberFormat="1" applyFont="1" applyFill="1" applyBorder="1" applyAlignment="1" applyProtection="1">
      <alignment vertical="top"/>
    </xf>
    <xf numFmtId="0" fontId="8" fillId="0" borderId="26" xfId="0" applyNumberFormat="1" applyFont="1" applyFill="1" applyBorder="1" applyAlignment="1" applyProtection="1">
      <alignment vertical="top"/>
    </xf>
    <xf numFmtId="0" fontId="8" fillId="0" borderId="20" xfId="0" applyNumberFormat="1" applyFont="1" applyFill="1" applyBorder="1" applyAlignment="1" applyProtection="1">
      <alignment vertical="top"/>
    </xf>
    <xf numFmtId="0" fontId="9" fillId="0" borderId="22" xfId="0" applyNumberFormat="1" applyFont="1" applyFill="1" applyBorder="1" applyAlignment="1" applyProtection="1">
      <alignment vertical="top"/>
    </xf>
    <xf numFmtId="0" fontId="8" fillId="0" borderId="8" xfId="0" applyNumberFormat="1" applyFont="1" applyFill="1" applyBorder="1" applyAlignment="1" applyProtection="1">
      <alignment vertical="top"/>
    </xf>
    <xf numFmtId="0" fontId="8" fillId="0" borderId="19" xfId="0" applyNumberFormat="1" applyFont="1" applyFill="1" applyBorder="1" applyAlignment="1" applyProtection="1">
      <alignment vertical="top"/>
    </xf>
    <xf numFmtId="0" fontId="0" fillId="0" borderId="48" xfId="0" applyBorder="1"/>
    <xf numFmtId="0" fontId="0" fillId="2" borderId="48" xfId="0" applyFill="1" applyBorder="1"/>
    <xf numFmtId="0" fontId="9" fillId="3" borderId="48" xfId="0" applyNumberFormat="1" applyFont="1" applyFill="1" applyBorder="1" applyAlignment="1" applyProtection="1">
      <alignment horizontal="center" vertical="top"/>
    </xf>
    <xf numFmtId="0" fontId="0" fillId="2" borderId="48" xfId="0" applyFill="1" applyBorder="1" applyAlignment="1">
      <alignment horizontal="center" vertical="center"/>
    </xf>
    <xf numFmtId="0" fontId="69" fillId="2" borderId="48" xfId="0" applyFont="1" applyFill="1" applyBorder="1" applyAlignment="1" applyProtection="1">
      <alignment horizontal="center" wrapText="1" readingOrder="1"/>
      <protection locked="0"/>
    </xf>
    <xf numFmtId="3" fontId="14" fillId="2" borderId="48" xfId="3" applyNumberFormat="1" applyFont="1" applyFill="1" applyBorder="1" applyAlignment="1">
      <alignment horizontal="left"/>
    </xf>
    <xf numFmtId="0" fontId="69" fillId="2" borderId="48" xfId="0" applyFont="1" applyFill="1" applyBorder="1" applyAlignment="1" applyProtection="1">
      <alignment vertical="top" wrapText="1" readingOrder="1"/>
      <protection locked="0"/>
    </xf>
    <xf numFmtId="168" fontId="14" fillId="2" borderId="48" xfId="0" applyNumberFormat="1" applyFont="1" applyFill="1" applyBorder="1" applyAlignment="1">
      <alignment horizontal="left"/>
    </xf>
    <xf numFmtId="1" fontId="70" fillId="2" borderId="48" xfId="1" applyNumberFormat="1" applyFont="1" applyFill="1" applyBorder="1" applyAlignment="1">
      <alignment horizontal="center" vertical="center"/>
    </xf>
    <xf numFmtId="0" fontId="67" fillId="0" borderId="48" xfId="0" applyFont="1" applyBorder="1" applyAlignment="1" applyProtection="1">
      <alignment vertical="top" wrapText="1" readingOrder="1"/>
      <protection locked="0"/>
    </xf>
    <xf numFmtId="0" fontId="13" fillId="0" borderId="48" xfId="0" applyFont="1" applyBorder="1" applyAlignment="1" applyProtection="1">
      <alignment vertical="top" wrapText="1"/>
      <protection locked="0"/>
    </xf>
    <xf numFmtId="0" fontId="67" fillId="0" borderId="48" xfId="0" applyFont="1" applyBorder="1" applyAlignment="1" applyProtection="1">
      <alignment horizontal="center" vertical="top" wrapText="1" readingOrder="1"/>
      <protection locked="0"/>
    </xf>
    <xf numFmtId="0" fontId="71" fillId="0" borderId="48" xfId="0" applyFont="1" applyBorder="1" applyAlignment="1" applyProtection="1">
      <alignment vertical="top" wrapText="1" readingOrder="1"/>
      <protection locked="0"/>
    </xf>
    <xf numFmtId="0" fontId="67" fillId="0" borderId="48" xfId="0" applyFont="1" applyBorder="1" applyAlignment="1" applyProtection="1">
      <alignment horizontal="left" textRotation="90" wrapText="1" readingOrder="1"/>
      <protection locked="0"/>
    </xf>
    <xf numFmtId="0" fontId="45" fillId="2" borderId="48" xfId="0" applyFont="1" applyFill="1" applyBorder="1" applyAlignment="1" applyProtection="1">
      <alignment vertical="top" wrapText="1" readingOrder="1"/>
      <protection locked="0"/>
    </xf>
    <xf numFmtId="0" fontId="14" fillId="2" borderId="48" xfId="3" applyFont="1" applyFill="1" applyBorder="1" applyAlignment="1">
      <alignment horizontal="left"/>
    </xf>
    <xf numFmtId="0" fontId="76" fillId="2" borderId="48" xfId="0" applyFont="1" applyFill="1" applyBorder="1" applyAlignment="1">
      <alignment vertical="center"/>
    </xf>
    <xf numFmtId="0" fontId="74" fillId="2" borderId="48" xfId="0" applyFont="1" applyFill="1" applyBorder="1"/>
    <xf numFmtId="1" fontId="73" fillId="2" borderId="48" xfId="0" applyNumberFormat="1" applyFont="1" applyFill="1" applyBorder="1"/>
    <xf numFmtId="0" fontId="16" fillId="2" borderId="45" xfId="0" applyNumberFormat="1" applyFont="1" applyFill="1" applyBorder="1" applyAlignment="1" applyProtection="1">
      <alignment vertical="top"/>
    </xf>
    <xf numFmtId="0" fontId="9" fillId="3" borderId="0" xfId="0" applyNumberFormat="1" applyFont="1" applyFill="1" applyBorder="1" applyAlignment="1" applyProtection="1">
      <alignment horizontal="center" vertical="center"/>
    </xf>
    <xf numFmtId="0" fontId="8" fillId="0" borderId="48" xfId="0" applyNumberFormat="1" applyFont="1" applyFill="1" applyBorder="1" applyAlignment="1" applyProtection="1">
      <alignment vertical="top"/>
    </xf>
    <xf numFmtId="0" fontId="0" fillId="2" borderId="48" xfId="0" applyFill="1" applyBorder="1" applyAlignment="1">
      <alignment wrapText="1"/>
    </xf>
    <xf numFmtId="0" fontId="0" fillId="2" borderId="48" xfId="0" applyFill="1" applyBorder="1" applyAlignment="1">
      <alignment horizontal="center"/>
    </xf>
    <xf numFmtId="1" fontId="69" fillId="2" borderId="48" xfId="0" applyNumberFormat="1" applyFont="1" applyFill="1" applyBorder="1" applyAlignment="1" applyProtection="1">
      <alignment wrapText="1" readingOrder="1"/>
      <protection locked="0"/>
    </xf>
    <xf numFmtId="0" fontId="16" fillId="0" borderId="20" xfId="0" applyNumberFormat="1" applyFont="1" applyFill="1" applyBorder="1" applyAlignment="1" applyProtection="1">
      <alignment vertical="top"/>
    </xf>
    <xf numFmtId="0" fontId="8" fillId="0" borderId="9" xfId="0" applyNumberFormat="1" applyFont="1" applyFill="1" applyBorder="1" applyAlignment="1" applyProtection="1">
      <alignment vertical="top" wrapText="1"/>
    </xf>
    <xf numFmtId="0" fontId="8" fillId="0" borderId="22" xfId="0" applyNumberFormat="1" applyFont="1" applyFill="1" applyBorder="1" applyAlignment="1" applyProtection="1">
      <alignment vertical="top"/>
    </xf>
    <xf numFmtId="0" fontId="8" fillId="0" borderId="22" xfId="0" applyNumberFormat="1" applyFont="1" applyFill="1" applyBorder="1" applyAlignment="1" applyProtection="1">
      <alignment vertical="top" wrapText="1"/>
    </xf>
    <xf numFmtId="0" fontId="8" fillId="0" borderId="0" xfId="0" applyNumberFormat="1" applyFont="1" applyFill="1" applyBorder="1" applyAlignment="1" applyProtection="1">
      <alignment vertical="top" wrapText="1"/>
    </xf>
    <xf numFmtId="14" fontId="8" fillId="0" borderId="9" xfId="0" applyNumberFormat="1" applyFont="1" applyFill="1" applyBorder="1" applyAlignment="1" applyProtection="1">
      <alignment vertical="top"/>
    </xf>
    <xf numFmtId="0" fontId="0" fillId="0" borderId="22" xfId="0" applyFill="1" applyBorder="1" applyAlignment="1">
      <alignment horizontal="left"/>
    </xf>
    <xf numFmtId="0" fontId="8" fillId="0" borderId="35" xfId="0" applyNumberFormat="1" applyFont="1" applyFill="1" applyBorder="1" applyAlignment="1" applyProtection="1">
      <alignment vertical="top"/>
    </xf>
    <xf numFmtId="0" fontId="9" fillId="3" borderId="3" xfId="0" applyNumberFormat="1" applyFont="1" applyFill="1" applyBorder="1" applyAlignment="1" applyProtection="1">
      <alignment horizontal="center" vertical="top"/>
    </xf>
    <xf numFmtId="0" fontId="8" fillId="0" borderId="48" xfId="0" applyNumberFormat="1" applyFont="1" applyFill="1" applyBorder="1" applyAlignment="1" applyProtection="1">
      <alignment vertical="top" wrapText="1"/>
    </xf>
    <xf numFmtId="14" fontId="8" fillId="0" borderId="48" xfId="0" applyNumberFormat="1" applyFont="1" applyFill="1" applyBorder="1" applyAlignment="1" applyProtection="1">
      <alignment vertical="top"/>
    </xf>
    <xf numFmtId="0" fontId="0" fillId="0" borderId="48" xfId="0" applyBorder="1" applyAlignment="1">
      <alignment horizontal="center" vertical="center"/>
    </xf>
    <xf numFmtId="1" fontId="0" fillId="0" borderId="4" xfId="0" applyNumberFormat="1" applyBorder="1" applyAlignment="1">
      <alignment horizontal="center" vertical="center"/>
    </xf>
    <xf numFmtId="0" fontId="8" fillId="0" borderId="0" xfId="0" applyFont="1" applyBorder="1" applyAlignment="1">
      <alignment vertical="top"/>
    </xf>
    <xf numFmtId="0" fontId="0" fillId="0" borderId="0" xfId="0" applyBorder="1" applyAlignment="1">
      <alignment horizontal="center" vertical="center"/>
    </xf>
    <xf numFmtId="166" fontId="0" fillId="0" borderId="0" xfId="0" applyNumberFormat="1" applyBorder="1" applyAlignment="1">
      <alignment horizontal="center" vertical="center"/>
    </xf>
    <xf numFmtId="0" fontId="0" fillId="0" borderId="0" xfId="0" applyBorder="1" applyAlignment="1">
      <alignment vertical="center"/>
    </xf>
    <xf numFmtId="0" fontId="0" fillId="0" borderId="0" xfId="0" applyBorder="1"/>
    <xf numFmtId="0" fontId="2" fillId="0" borderId="0" xfId="0" applyFont="1" applyBorder="1"/>
    <xf numFmtId="0" fontId="9" fillId="3" borderId="45" xfId="0" applyNumberFormat="1" applyFont="1" applyFill="1" applyBorder="1" applyAlignment="1" applyProtection="1">
      <alignment horizontal="left" vertical="center" textRotation="90" wrapText="1"/>
    </xf>
    <xf numFmtId="0" fontId="9" fillId="3" borderId="13" xfId="0" applyNumberFormat="1" applyFont="1" applyFill="1" applyBorder="1" applyAlignment="1" applyProtection="1">
      <alignment horizontal="center" vertical="top" textRotation="90" wrapText="1"/>
    </xf>
    <xf numFmtId="0" fontId="9" fillId="3" borderId="13" xfId="0" applyNumberFormat="1" applyFont="1" applyFill="1" applyBorder="1" applyAlignment="1" applyProtection="1">
      <alignment horizontal="center" vertical="top" textRotation="90"/>
    </xf>
    <xf numFmtId="0" fontId="9" fillId="3" borderId="3" xfId="0" applyNumberFormat="1" applyFont="1" applyFill="1" applyBorder="1" applyAlignment="1" applyProtection="1">
      <alignment vertical="center" textRotation="90" wrapText="1"/>
    </xf>
    <xf numFmtId="0" fontId="8" fillId="4" borderId="48" xfId="0" applyNumberFormat="1" applyFont="1" applyFill="1" applyBorder="1" applyAlignment="1" applyProtection="1">
      <alignment vertical="top"/>
    </xf>
    <xf numFmtId="0" fontId="8" fillId="4" borderId="3" xfId="0" applyNumberFormat="1" applyFont="1" applyFill="1" applyBorder="1" applyAlignment="1" applyProtection="1">
      <alignment vertical="top"/>
    </xf>
    <xf numFmtId="0" fontId="8" fillId="0" borderId="50" xfId="0" applyNumberFormat="1" applyFont="1" applyFill="1" applyBorder="1" applyAlignment="1" applyProtection="1">
      <alignment vertical="top"/>
    </xf>
    <xf numFmtId="0" fontId="0" fillId="0" borderId="0" xfId="0"/>
    <xf numFmtId="1" fontId="0" fillId="0" borderId="48" xfId="0" applyNumberFormat="1" applyBorder="1"/>
    <xf numFmtId="0" fontId="8" fillId="0" borderId="55" xfId="0" applyNumberFormat="1" applyFont="1" applyFill="1" applyBorder="1" applyAlignment="1" applyProtection="1">
      <alignment vertical="top"/>
    </xf>
    <xf numFmtId="0" fontId="9" fillId="3" borderId="40" xfId="0" applyNumberFormat="1" applyFont="1" applyFill="1" applyBorder="1" applyAlignment="1" applyProtection="1">
      <alignment horizontal="center" vertical="top"/>
    </xf>
    <xf numFmtId="0" fontId="9" fillId="3" borderId="23" xfId="0" applyNumberFormat="1" applyFont="1" applyFill="1" applyBorder="1" applyAlignment="1" applyProtection="1">
      <alignment horizontal="center" vertical="center"/>
    </xf>
    <xf numFmtId="0" fontId="8" fillId="0" borderId="40" xfId="0" applyNumberFormat="1" applyFont="1" applyFill="1" applyBorder="1" applyAlignment="1" applyProtection="1">
      <alignment vertical="top"/>
    </xf>
    <xf numFmtId="0" fontId="8" fillId="0" borderId="48" xfId="0" applyNumberFormat="1" applyFont="1" applyFill="1" applyBorder="1" applyAlignment="1" applyProtection="1">
      <alignment horizontal="center" vertical="center" wrapText="1"/>
    </xf>
    <xf numFmtId="0" fontId="8" fillId="0" borderId="33" xfId="0" applyNumberFormat="1" applyFont="1" applyFill="1" applyBorder="1" applyAlignment="1" applyProtection="1">
      <alignment horizontal="center" vertical="center" wrapText="1"/>
    </xf>
    <xf numFmtId="0" fontId="8" fillId="0" borderId="48" xfId="0" applyNumberFormat="1" applyFont="1" applyFill="1" applyBorder="1" applyAlignment="1" applyProtection="1">
      <alignment horizontal="center" vertical="center"/>
    </xf>
    <xf numFmtId="0" fontId="8" fillId="0" borderId="33" xfId="0" applyNumberFormat="1" applyFont="1" applyFill="1" applyBorder="1" applyAlignment="1" applyProtection="1">
      <alignment horizontal="center" vertical="center"/>
    </xf>
    <xf numFmtId="16" fontId="8" fillId="0" borderId="40" xfId="0" applyNumberFormat="1" applyFont="1" applyFill="1" applyBorder="1" applyAlignment="1" applyProtection="1">
      <alignment vertical="top"/>
    </xf>
    <xf numFmtId="0" fontId="0" fillId="0" borderId="0" xfId="0" applyBorder="1" applyAlignment="1"/>
    <xf numFmtId="0" fontId="0" fillId="0" borderId="22" xfId="0" applyBorder="1" applyAlignment="1"/>
    <xf numFmtId="0" fontId="0" fillId="0" borderId="27" xfId="0" applyBorder="1" applyAlignment="1"/>
    <xf numFmtId="0" fontId="0" fillId="0" borderId="25" xfId="0" applyBorder="1" applyAlignment="1"/>
    <xf numFmtId="0" fontId="24" fillId="0" borderId="44" xfId="0" applyFont="1" applyBorder="1"/>
    <xf numFmtId="0" fontId="24" fillId="0" borderId="51" xfId="0" applyFont="1" applyBorder="1"/>
    <xf numFmtId="0" fontId="2" fillId="0" borderId="49" xfId="0" applyFont="1" applyBorder="1"/>
    <xf numFmtId="0" fontId="2" fillId="0" borderId="46" xfId="0" applyFont="1" applyBorder="1"/>
    <xf numFmtId="0" fontId="0" fillId="0" borderId="45" xfId="0" applyBorder="1"/>
    <xf numFmtId="0" fontId="0" fillId="0" borderId="49" xfId="0" applyBorder="1"/>
    <xf numFmtId="0" fontId="24" fillId="0" borderId="55" xfId="0" applyFont="1" applyBorder="1"/>
    <xf numFmtId="17" fontId="8" fillId="0" borderId="18" xfId="0" applyNumberFormat="1" applyFont="1" applyBorder="1" applyAlignment="1">
      <alignment vertical="top"/>
    </xf>
    <xf numFmtId="0" fontId="8" fillId="0" borderId="48" xfId="0" applyFont="1" applyBorder="1" applyAlignment="1">
      <alignment vertical="top"/>
    </xf>
    <xf numFmtId="1" fontId="45" fillId="2" borderId="48" xfId="0" applyNumberFormat="1" applyFont="1" applyFill="1" applyBorder="1" applyAlignment="1" applyProtection="1">
      <alignment vertical="top" wrapText="1" readingOrder="1"/>
      <protection locked="0"/>
    </xf>
    <xf numFmtId="0" fontId="8" fillId="2" borderId="47" xfId="0" applyNumberFormat="1" applyFont="1" applyFill="1" applyBorder="1" applyAlignment="1" applyProtection="1">
      <alignment vertical="top"/>
    </xf>
    <xf numFmtId="0" fontId="8" fillId="2" borderId="49" xfId="0" applyNumberFormat="1" applyFont="1" applyFill="1" applyBorder="1" applyAlignment="1" applyProtection="1">
      <alignment vertical="top"/>
    </xf>
    <xf numFmtId="0" fontId="8" fillId="2" borderId="46" xfId="0" applyNumberFormat="1" applyFont="1" applyFill="1" applyBorder="1" applyAlignment="1" applyProtection="1">
      <alignment vertical="top"/>
    </xf>
    <xf numFmtId="0" fontId="8" fillId="2" borderId="17" xfId="0" applyNumberFormat="1" applyFont="1" applyFill="1" applyBorder="1" applyAlignment="1" applyProtection="1">
      <alignment vertical="top"/>
    </xf>
    <xf numFmtId="0" fontId="8" fillId="2" borderId="0" xfId="0" applyNumberFormat="1" applyFont="1" applyFill="1" applyBorder="1" applyAlignment="1" applyProtection="1">
      <alignment vertical="top"/>
    </xf>
    <xf numFmtId="0" fontId="8" fillId="2" borderId="31" xfId="0" applyNumberFormat="1" applyFont="1" applyFill="1" applyBorder="1" applyAlignment="1" applyProtection="1">
      <alignment vertical="top"/>
    </xf>
    <xf numFmtId="0" fontId="8" fillId="2" borderId="8" xfId="0" applyNumberFormat="1" applyFont="1" applyFill="1" applyBorder="1" applyAlignment="1" applyProtection="1">
      <alignment vertical="top"/>
    </xf>
    <xf numFmtId="0" fontId="8" fillId="2" borderId="19" xfId="0" applyNumberFormat="1" applyFont="1" applyFill="1" applyBorder="1" applyAlignment="1" applyProtection="1">
      <alignment vertical="top"/>
    </xf>
    <xf numFmtId="0" fontId="8" fillId="2" borderId="13" xfId="0" applyNumberFormat="1" applyFont="1" applyFill="1" applyBorder="1" applyAlignment="1" applyProtection="1">
      <alignment vertical="top"/>
    </xf>
    <xf numFmtId="0" fontId="8" fillId="2" borderId="20" xfId="0" applyNumberFormat="1" applyFont="1" applyFill="1" applyBorder="1" applyAlignment="1" applyProtection="1">
      <alignment vertical="top"/>
    </xf>
    <xf numFmtId="0" fontId="8" fillId="2" borderId="9" xfId="0" applyNumberFormat="1" applyFont="1" applyFill="1" applyBorder="1" applyAlignment="1" applyProtection="1">
      <alignment vertical="top"/>
    </xf>
    <xf numFmtId="0" fontId="8" fillId="2" borderId="21" xfId="0" applyNumberFormat="1" applyFont="1" applyFill="1" applyBorder="1" applyAlignment="1" applyProtection="1">
      <alignment vertical="top"/>
    </xf>
    <xf numFmtId="0" fontId="9" fillId="2" borderId="22" xfId="0" applyNumberFormat="1" applyFont="1" applyFill="1" applyBorder="1" applyAlignment="1" applyProtection="1">
      <alignment vertical="top"/>
    </xf>
    <xf numFmtId="0" fontId="8" fillId="2" borderId="23" xfId="0" applyNumberFormat="1" applyFont="1" applyFill="1" applyBorder="1" applyAlignment="1" applyProtection="1">
      <alignment vertical="top"/>
    </xf>
    <xf numFmtId="0" fontId="8" fillId="2" borderId="27" xfId="0" applyNumberFormat="1" applyFont="1" applyFill="1" applyBorder="1" applyAlignment="1" applyProtection="1">
      <alignment vertical="top"/>
    </xf>
    <xf numFmtId="0" fontId="8" fillId="2" borderId="25" xfId="0" applyNumberFormat="1" applyFont="1" applyFill="1" applyBorder="1" applyAlignment="1" applyProtection="1">
      <alignment vertical="top"/>
    </xf>
    <xf numFmtId="0" fontId="8" fillId="2" borderId="26" xfId="0" applyNumberFormat="1" applyFont="1" applyFill="1" applyBorder="1" applyAlignment="1" applyProtection="1">
      <alignment vertical="top"/>
    </xf>
    <xf numFmtId="0" fontId="9" fillId="2" borderId="48" xfId="0" applyNumberFormat="1" applyFont="1" applyFill="1" applyBorder="1" applyAlignment="1" applyProtection="1">
      <alignment horizontal="center" vertical="top" wrapText="1"/>
    </xf>
    <xf numFmtId="0" fontId="9" fillId="2" borderId="4" xfId="0" applyNumberFormat="1" applyFont="1" applyFill="1" applyBorder="1" applyAlignment="1" applyProtection="1">
      <alignment horizontal="center" vertical="top"/>
    </xf>
    <xf numFmtId="0" fontId="9" fillId="2" borderId="48" xfId="0" applyNumberFormat="1" applyFont="1" applyFill="1" applyBorder="1" applyAlignment="1" applyProtection="1">
      <alignment horizontal="center" vertical="top"/>
    </xf>
    <xf numFmtId="0" fontId="0" fillId="2" borderId="48" xfId="0" applyFill="1" applyBorder="1" applyAlignment="1">
      <alignment horizontal="center" vertical="center" wrapText="1"/>
    </xf>
    <xf numFmtId="14" fontId="69" fillId="2" borderId="48" xfId="0" applyNumberFormat="1" applyFont="1" applyFill="1" applyBorder="1" applyAlignment="1" applyProtection="1">
      <alignment horizontal="center" vertical="center" wrapText="1" readingOrder="1"/>
      <protection locked="0"/>
    </xf>
    <xf numFmtId="168" fontId="73" fillId="2" borderId="48" xfId="0" applyNumberFormat="1" applyFont="1" applyFill="1" applyBorder="1" applyAlignment="1">
      <alignment horizontal="left"/>
    </xf>
    <xf numFmtId="0" fontId="2" fillId="0" borderId="48" xfId="0" applyFont="1" applyBorder="1" applyAlignment="1">
      <alignment horizontal="center" vertical="center"/>
    </xf>
    <xf numFmtId="1" fontId="2" fillId="0" borderId="4" xfId="0" applyNumberFormat="1" applyFont="1" applyBorder="1" applyAlignment="1">
      <alignment horizontal="center" vertical="center"/>
    </xf>
    <xf numFmtId="0" fontId="2" fillId="0" borderId="4" xfId="0" applyFont="1" applyBorder="1" applyAlignment="1">
      <alignment horizontal="center" vertical="center"/>
    </xf>
    <xf numFmtId="1" fontId="2" fillId="0" borderId="24" xfId="0" applyNumberFormat="1" applyFont="1" applyBorder="1" applyAlignment="1">
      <alignment horizontal="center" vertical="center"/>
    </xf>
    <xf numFmtId="0" fontId="9" fillId="3" borderId="46" xfId="0" applyNumberFormat="1" applyFont="1" applyFill="1" applyBorder="1" applyAlignment="1" applyProtection="1">
      <alignment horizontal="center" vertical="top" wrapText="1"/>
    </xf>
    <xf numFmtId="0" fontId="9" fillId="3" borderId="13" xfId="0" applyNumberFormat="1" applyFont="1" applyFill="1" applyBorder="1" applyAlignment="1" applyProtection="1">
      <alignment horizontal="center" vertical="top" wrapText="1"/>
    </xf>
    <xf numFmtId="1" fontId="2" fillId="0" borderId="33" xfId="0" applyNumberFormat="1" applyFont="1" applyBorder="1" applyAlignment="1">
      <alignment horizontal="center" vertical="center"/>
    </xf>
    <xf numFmtId="0" fontId="9" fillId="3" borderId="14" xfId="0" applyFont="1" applyFill="1" applyBorder="1" applyAlignment="1">
      <alignment horizontal="center" vertical="top" wrapText="1"/>
    </xf>
    <xf numFmtId="0" fontId="9" fillId="3" borderId="15" xfId="0" applyFont="1" applyFill="1" applyBorder="1" applyAlignment="1">
      <alignment horizontal="center" vertical="top" wrapText="1"/>
    </xf>
    <xf numFmtId="0" fontId="9" fillId="3" borderId="3" xfId="0" applyFont="1" applyFill="1" applyBorder="1" applyAlignment="1">
      <alignment horizontal="center" vertical="top" wrapText="1"/>
    </xf>
    <xf numFmtId="0" fontId="9" fillId="3" borderId="3" xfId="0" applyNumberFormat="1" applyFont="1" applyFill="1" applyBorder="1" applyAlignment="1" applyProtection="1">
      <alignment horizontal="center" vertical="center" textRotation="90"/>
    </xf>
    <xf numFmtId="0" fontId="69" fillId="2" borderId="0" xfId="0" applyFont="1" applyFill="1" applyBorder="1" applyAlignment="1" applyProtection="1">
      <alignment horizontal="center" wrapText="1" readingOrder="1"/>
      <protection locked="0"/>
    </xf>
    <xf numFmtId="3" fontId="14" fillId="2" borderId="0" xfId="3" applyNumberFormat="1" applyFont="1" applyFill="1" applyBorder="1" applyAlignment="1">
      <alignment horizontal="left"/>
    </xf>
    <xf numFmtId="14" fontId="69" fillId="2" borderId="0" xfId="0" applyNumberFormat="1" applyFont="1" applyFill="1" applyBorder="1" applyAlignment="1" applyProtection="1">
      <alignment horizontal="center" vertical="center" wrapText="1" readingOrder="1"/>
      <protection locked="0"/>
    </xf>
    <xf numFmtId="1" fontId="69" fillId="2" borderId="0" xfId="0" applyNumberFormat="1" applyFont="1" applyFill="1" applyBorder="1" applyAlignment="1" applyProtection="1">
      <alignment wrapText="1" readingOrder="1"/>
      <protection locked="0"/>
    </xf>
    <xf numFmtId="168" fontId="73" fillId="2" borderId="0" xfId="0" applyNumberFormat="1" applyFont="1" applyFill="1" applyBorder="1" applyAlignment="1">
      <alignment horizontal="left"/>
    </xf>
    <xf numFmtId="0" fontId="69" fillId="2" borderId="0" xfId="0" applyFont="1" applyFill="1" applyBorder="1" applyAlignment="1" applyProtection="1">
      <alignment vertical="top" wrapText="1" readingOrder="1"/>
      <protection locked="0"/>
    </xf>
    <xf numFmtId="1" fontId="65" fillId="2" borderId="0" xfId="1" applyNumberFormat="1" applyFont="1" applyFill="1" applyBorder="1" applyAlignment="1">
      <alignment horizontal="center"/>
    </xf>
    <xf numFmtId="0" fontId="68" fillId="2" borderId="0" xfId="0" applyFont="1" applyFill="1" applyBorder="1" applyAlignment="1" applyProtection="1">
      <alignment horizontal="center" vertical="center" wrapText="1" readingOrder="1"/>
      <protection locked="0"/>
    </xf>
    <xf numFmtId="1" fontId="70" fillId="2" borderId="0" xfId="1" applyNumberFormat="1" applyFont="1" applyFill="1" applyBorder="1" applyAlignment="1">
      <alignment horizontal="center" vertical="center"/>
    </xf>
    <xf numFmtId="0" fontId="45" fillId="2" borderId="0" xfId="0" applyFont="1" applyFill="1" applyBorder="1" applyAlignment="1" applyProtection="1">
      <alignment vertical="top" wrapText="1" readingOrder="1"/>
      <protection locked="0"/>
    </xf>
    <xf numFmtId="168" fontId="14" fillId="2" borderId="0" xfId="0" applyNumberFormat="1" applyFont="1" applyFill="1" applyBorder="1" applyAlignment="1">
      <alignment horizontal="left"/>
    </xf>
    <xf numFmtId="0" fontId="14" fillId="2" borderId="0" xfId="3" applyFont="1" applyFill="1" applyBorder="1" applyAlignment="1">
      <alignment horizontal="left"/>
    </xf>
    <xf numFmtId="1" fontId="72" fillId="2" borderId="0" xfId="1" applyNumberFormat="1" applyFont="1" applyFill="1" applyBorder="1"/>
    <xf numFmtId="1" fontId="14" fillId="2" borderId="0" xfId="1" applyNumberFormat="1" applyFont="1" applyFill="1" applyBorder="1"/>
    <xf numFmtId="1" fontId="66" fillId="2" borderId="0" xfId="0" applyNumberFormat="1" applyFont="1" applyFill="1" applyBorder="1" applyAlignment="1">
      <alignment horizontal="center"/>
    </xf>
    <xf numFmtId="1" fontId="45" fillId="2" borderId="0" xfId="0" applyNumberFormat="1" applyFont="1" applyFill="1" applyBorder="1" applyAlignment="1" applyProtection="1">
      <alignment horizontal="center" vertical="center" wrapText="1" readingOrder="1"/>
      <protection locked="0"/>
    </xf>
    <xf numFmtId="1" fontId="45" fillId="2" borderId="0" xfId="0" applyNumberFormat="1" applyFont="1" applyFill="1" applyBorder="1" applyAlignment="1" applyProtection="1">
      <alignment horizontal="center" vertical="top" wrapText="1" readingOrder="1"/>
      <protection locked="0"/>
    </xf>
    <xf numFmtId="1" fontId="61" fillId="2" borderId="0" xfId="0" applyNumberFormat="1" applyFont="1" applyFill="1" applyBorder="1"/>
    <xf numFmtId="0" fontId="45" fillId="2" borderId="0" xfId="0" applyNumberFormat="1" applyFont="1" applyFill="1" applyBorder="1" applyAlignment="1" applyProtection="1">
      <alignment horizontal="center" vertical="top" wrapText="1" readingOrder="1"/>
      <protection locked="0"/>
    </xf>
    <xf numFmtId="14" fontId="45" fillId="2" borderId="0" xfId="0" applyNumberFormat="1" applyFont="1" applyFill="1" applyBorder="1" applyAlignment="1" applyProtection="1">
      <alignment vertical="top" wrapText="1" readingOrder="1"/>
      <protection locked="0"/>
    </xf>
    <xf numFmtId="1" fontId="45" fillId="2" borderId="0" xfId="0" applyNumberFormat="1" applyFont="1" applyFill="1" applyBorder="1" applyAlignment="1" applyProtection="1">
      <alignment vertical="top" wrapText="1" readingOrder="1"/>
      <protection locked="0"/>
    </xf>
    <xf numFmtId="0" fontId="18" fillId="0" borderId="48" xfId="0" applyFont="1" applyBorder="1" applyAlignment="1">
      <alignment vertical="top"/>
    </xf>
    <xf numFmtId="0" fontId="16" fillId="0" borderId="51" xfId="0" applyFont="1" applyBorder="1" applyAlignment="1">
      <alignment vertical="top"/>
    </xf>
    <xf numFmtId="0" fontId="8" fillId="0" borderId="49" xfId="0" applyFont="1" applyBorder="1" applyAlignment="1">
      <alignment vertical="top"/>
    </xf>
    <xf numFmtId="0" fontId="8" fillId="0" borderId="46" xfId="0" applyFont="1" applyBorder="1" applyAlignment="1">
      <alignment vertical="top"/>
    </xf>
    <xf numFmtId="0" fontId="8" fillId="0" borderId="22" xfId="0" applyFont="1" applyBorder="1" applyAlignment="1">
      <alignment vertical="top"/>
    </xf>
    <xf numFmtId="0" fontId="8" fillId="0" borderId="55" xfId="0" applyFont="1" applyBorder="1" applyAlignment="1">
      <alignment vertical="top"/>
    </xf>
    <xf numFmtId="0" fontId="8" fillId="0" borderId="35" xfId="0" applyFont="1" applyBorder="1" applyAlignment="1">
      <alignment vertical="top"/>
    </xf>
    <xf numFmtId="0" fontId="8" fillId="0" borderId="51" xfId="0" applyFont="1" applyBorder="1" applyAlignment="1">
      <alignment vertical="top"/>
    </xf>
    <xf numFmtId="0" fontId="8" fillId="0" borderId="45" xfId="0" applyFont="1" applyBorder="1" applyAlignment="1">
      <alignment vertical="top"/>
    </xf>
    <xf numFmtId="0" fontId="8" fillId="0" borderId="37" xfId="0" applyFont="1" applyBorder="1" applyAlignment="1">
      <alignment vertical="top"/>
    </xf>
    <xf numFmtId="0" fontId="8" fillId="0" borderId="23" xfId="0" applyFont="1" applyBorder="1" applyAlignment="1">
      <alignment vertical="top"/>
    </xf>
    <xf numFmtId="0" fontId="9" fillId="3" borderId="50" xfId="0" applyFont="1" applyFill="1" applyBorder="1" applyAlignment="1">
      <alignment horizontal="center" vertical="top" wrapText="1"/>
    </xf>
    <xf numFmtId="0" fontId="9" fillId="3" borderId="33" xfId="0" applyFont="1" applyFill="1" applyBorder="1" applyAlignment="1">
      <alignment vertical="top" wrapText="1"/>
    </xf>
    <xf numFmtId="0" fontId="9" fillId="3" borderId="48" xfId="0" applyFont="1" applyFill="1" applyBorder="1" applyAlignment="1">
      <alignment horizontal="center" vertical="top" wrapText="1"/>
    </xf>
    <xf numFmtId="0" fontId="9" fillId="3" borderId="33" xfId="0" applyFont="1" applyFill="1" applyBorder="1" applyAlignment="1">
      <alignment vertical="top"/>
    </xf>
    <xf numFmtId="0" fontId="9" fillId="3" borderId="40" xfId="0" applyFont="1" applyFill="1" applyBorder="1" applyAlignment="1">
      <alignment horizontal="center" vertical="top"/>
    </xf>
    <xf numFmtId="0" fontId="9" fillId="3" borderId="48" xfId="0" applyFont="1" applyFill="1" applyBorder="1" applyAlignment="1">
      <alignment horizontal="center" vertical="top"/>
    </xf>
    <xf numFmtId="0" fontId="9" fillId="3" borderId="33" xfId="0" applyFont="1" applyFill="1" applyBorder="1" applyAlignment="1">
      <alignment horizontal="center" vertical="top"/>
    </xf>
    <xf numFmtId="0" fontId="18" fillId="0" borderId="40" xfId="0" applyFont="1" applyBorder="1" applyAlignment="1">
      <alignment vertical="top"/>
    </xf>
    <xf numFmtId="0" fontId="18" fillId="0" borderId="33" xfId="0" applyFont="1" applyBorder="1" applyAlignment="1">
      <alignment vertical="top"/>
    </xf>
    <xf numFmtId="0" fontId="18" fillId="0" borderId="50" xfId="0" applyFont="1" applyBorder="1" applyAlignment="1">
      <alignment vertical="top"/>
    </xf>
    <xf numFmtId="0" fontId="18" fillId="0" borderId="34" xfId="0" applyFont="1" applyBorder="1" applyAlignment="1">
      <alignment vertical="top"/>
    </xf>
    <xf numFmtId="17" fontId="8" fillId="0" borderId="48" xfId="0" applyNumberFormat="1" applyFont="1" applyBorder="1" applyAlignment="1">
      <alignment vertical="top"/>
    </xf>
    <xf numFmtId="0" fontId="9" fillId="3" borderId="2" xfId="0" applyFont="1" applyFill="1" applyBorder="1" applyAlignment="1">
      <alignment horizontal="center" vertical="top"/>
    </xf>
    <xf numFmtId="0" fontId="9" fillId="3" borderId="35" xfId="0" applyFont="1" applyFill="1" applyBorder="1" applyAlignment="1">
      <alignment horizontal="center" vertical="top"/>
    </xf>
    <xf numFmtId="0" fontId="8" fillId="0" borderId="36" xfId="0" applyFont="1" applyBorder="1" applyAlignment="1">
      <alignment vertical="top"/>
    </xf>
    <xf numFmtId="0" fontId="8" fillId="0" borderId="40" xfId="0" applyFont="1" applyBorder="1" applyAlignment="1">
      <alignment vertical="top"/>
    </xf>
    <xf numFmtId="0" fontId="8" fillId="0" borderId="33" xfId="0" applyFont="1" applyBorder="1" applyAlignment="1">
      <alignment vertical="top"/>
    </xf>
    <xf numFmtId="0" fontId="8" fillId="0" borderId="50" xfId="0" applyFont="1" applyBorder="1" applyAlignment="1">
      <alignment vertical="top"/>
    </xf>
    <xf numFmtId="0" fontId="9" fillId="0" borderId="51" xfId="0" applyNumberFormat="1" applyFont="1" applyFill="1" applyBorder="1" applyAlignment="1" applyProtection="1">
      <alignment horizontal="center" vertical="top"/>
    </xf>
    <xf numFmtId="0" fontId="9" fillId="3" borderId="33" xfId="0" applyNumberFormat="1" applyFont="1" applyFill="1" applyBorder="1" applyAlignment="1" applyProtection="1">
      <alignment horizontal="center" vertical="top"/>
    </xf>
    <xf numFmtId="0" fontId="8" fillId="4" borderId="40" xfId="0" applyNumberFormat="1" applyFont="1" applyFill="1" applyBorder="1" applyAlignment="1" applyProtection="1">
      <alignment vertical="top"/>
    </xf>
    <xf numFmtId="0" fontId="8" fillId="4" borderId="33" xfId="0" applyNumberFormat="1" applyFont="1" applyFill="1" applyBorder="1" applyAlignment="1" applyProtection="1">
      <alignment vertical="top"/>
    </xf>
    <xf numFmtId="0" fontId="8" fillId="0" borderId="33" xfId="0" applyNumberFormat="1" applyFont="1" applyFill="1" applyBorder="1" applyAlignment="1" applyProtection="1">
      <alignment vertical="top"/>
    </xf>
    <xf numFmtId="0" fontId="8" fillId="0" borderId="39" xfId="0" applyNumberFormat="1" applyFont="1" applyFill="1" applyBorder="1" applyAlignment="1" applyProtection="1">
      <alignment vertical="top"/>
    </xf>
    <xf numFmtId="0" fontId="8" fillId="0" borderId="34" xfId="0" applyNumberFormat="1" applyFont="1" applyFill="1" applyBorder="1" applyAlignment="1" applyProtection="1">
      <alignment vertical="top"/>
    </xf>
    <xf numFmtId="0" fontId="18" fillId="0" borderId="39" xfId="0" applyFont="1" applyBorder="1" applyAlignment="1">
      <alignment vertical="top"/>
    </xf>
    <xf numFmtId="0" fontId="18" fillId="0" borderId="2" xfId="0" applyFont="1" applyBorder="1" applyAlignment="1">
      <alignment vertical="top"/>
    </xf>
    <xf numFmtId="0" fontId="2" fillId="0" borderId="48" xfId="0" applyFont="1" applyBorder="1" applyAlignment="1">
      <alignment horizontal="center" vertical="center"/>
    </xf>
    <xf numFmtId="1" fontId="2" fillId="0" borderId="48" xfId="0" applyNumberFormat="1" applyFont="1" applyBorder="1" applyAlignment="1">
      <alignment horizontal="center" vertical="center"/>
    </xf>
    <xf numFmtId="0" fontId="2" fillId="0" borderId="24" xfId="0" applyFont="1" applyBorder="1" applyAlignment="1">
      <alignment horizontal="center" vertical="center"/>
    </xf>
    <xf numFmtId="0" fontId="2" fillId="0" borderId="36" xfId="0" applyFont="1" applyBorder="1" applyAlignment="1">
      <alignment horizontal="center" vertical="center"/>
    </xf>
    <xf numFmtId="0" fontId="2" fillId="0" borderId="16" xfId="0" applyFont="1" applyBorder="1" applyAlignment="1">
      <alignment horizontal="center" vertical="center"/>
    </xf>
    <xf numFmtId="0" fontId="0" fillId="0" borderId="4" xfId="0" applyBorder="1" applyAlignment="1">
      <alignment horizontal="left" vertical="center"/>
    </xf>
    <xf numFmtId="14" fontId="8" fillId="0" borderId="48" xfId="0" applyNumberFormat="1" applyFont="1" applyFill="1" applyBorder="1" applyAlignment="1" applyProtection="1">
      <alignment horizontal="center" vertical="top"/>
    </xf>
    <xf numFmtId="167" fontId="78" fillId="2" borderId="48" xfId="1" applyNumberFormat="1" applyFont="1" applyFill="1" applyBorder="1"/>
    <xf numFmtId="1" fontId="78" fillId="2" borderId="48" xfId="1" applyNumberFormat="1" applyFont="1" applyFill="1" applyBorder="1" applyAlignment="1">
      <alignment horizontal="center"/>
    </xf>
    <xf numFmtId="0" fontId="78" fillId="2" borderId="48" xfId="0" applyFont="1" applyFill="1" applyBorder="1" applyAlignment="1">
      <alignment horizontal="center"/>
    </xf>
    <xf numFmtId="1" fontId="78" fillId="2" borderId="48" xfId="0" applyNumberFormat="1" applyFont="1" applyFill="1" applyBorder="1" applyAlignment="1">
      <alignment horizontal="center"/>
    </xf>
    <xf numFmtId="1" fontId="79" fillId="2" borderId="48" xfId="0" applyNumberFormat="1" applyFont="1" applyFill="1" applyBorder="1" applyAlignment="1">
      <alignment horizontal="center"/>
    </xf>
    <xf numFmtId="0" fontId="78" fillId="2" borderId="48" xfId="0" applyNumberFormat="1" applyFont="1" applyFill="1" applyBorder="1" applyAlignment="1" applyProtection="1">
      <alignment horizontal="center" vertical="top" wrapText="1" readingOrder="1"/>
      <protection locked="0"/>
    </xf>
    <xf numFmtId="1" fontId="78" fillId="2" borderId="48" xfId="0" applyNumberFormat="1" applyFont="1" applyFill="1" applyBorder="1" applyAlignment="1" applyProtection="1">
      <alignment horizontal="center" vertical="center" wrapText="1"/>
      <protection locked="0"/>
    </xf>
    <xf numFmtId="1" fontId="78" fillId="2" borderId="48" xfId="0" applyNumberFormat="1" applyFont="1" applyFill="1" applyBorder="1" applyAlignment="1" applyProtection="1">
      <alignment horizontal="center" vertical="top" wrapText="1"/>
      <protection locked="0"/>
    </xf>
    <xf numFmtId="0" fontId="68" fillId="0" borderId="40" xfId="0" applyFont="1" applyBorder="1" applyAlignment="1" applyProtection="1">
      <alignment vertical="top" wrapText="1" readingOrder="1"/>
      <protection locked="0"/>
    </xf>
    <xf numFmtId="0" fontId="13" fillId="0" borderId="33" xfId="0" applyFont="1" applyBorder="1" applyAlignment="1" applyProtection="1">
      <alignment vertical="top" wrapText="1"/>
      <protection locked="0"/>
    </xf>
    <xf numFmtId="0" fontId="67" fillId="0" borderId="40" xfId="0" applyFont="1" applyBorder="1" applyAlignment="1" applyProtection="1">
      <alignment vertical="top" wrapText="1" readingOrder="1"/>
      <protection locked="0"/>
    </xf>
    <xf numFmtId="0" fontId="67" fillId="0" borderId="33" xfId="0" applyFont="1" applyBorder="1" applyAlignment="1" applyProtection="1">
      <alignment horizontal="left" textRotation="90" wrapText="1" readingOrder="1"/>
      <protection locked="0"/>
    </xf>
    <xf numFmtId="1" fontId="45" fillId="2" borderId="33" xfId="0" applyNumberFormat="1" applyFont="1" applyFill="1" applyBorder="1" applyAlignment="1" applyProtection="1">
      <alignment horizontal="left" vertical="top" wrapText="1" readingOrder="1"/>
      <protection locked="0"/>
    </xf>
    <xf numFmtId="0" fontId="45" fillId="2" borderId="22" xfId="0" applyFont="1" applyFill="1" applyBorder="1" applyAlignment="1" applyProtection="1">
      <alignment horizontal="center" wrapText="1" readingOrder="1"/>
      <protection locked="0"/>
    </xf>
    <xf numFmtId="1" fontId="45" fillId="2" borderId="23" xfId="0" applyNumberFormat="1" applyFont="1" applyFill="1" applyBorder="1" applyAlignment="1" applyProtection="1">
      <alignment horizontal="left" vertical="top" wrapText="1" readingOrder="1"/>
      <protection locked="0"/>
    </xf>
    <xf numFmtId="0" fontId="14" fillId="2" borderId="48" xfId="1" applyFont="1" applyFill="1" applyBorder="1"/>
    <xf numFmtId="3" fontId="0" fillId="2" borderId="48" xfId="0" applyNumberFormat="1" applyFill="1" applyBorder="1" applyAlignment="1">
      <alignment horizontal="right"/>
    </xf>
    <xf numFmtId="1" fontId="8" fillId="0" borderId="48" xfId="0" applyNumberFormat="1" applyFont="1" applyFill="1" applyBorder="1" applyAlignment="1" applyProtection="1">
      <alignment vertical="top"/>
    </xf>
    <xf numFmtId="0" fontId="45" fillId="2" borderId="48" xfId="0" applyFont="1" applyFill="1" applyBorder="1" applyAlignment="1" applyProtection="1">
      <alignment horizontal="center" wrapText="1" readingOrder="1"/>
      <protection locked="0"/>
    </xf>
    <xf numFmtId="0" fontId="82" fillId="2" borderId="48" xfId="0" applyFont="1" applyFill="1" applyBorder="1" applyAlignment="1" applyProtection="1">
      <alignment horizontal="center" wrapText="1" readingOrder="1"/>
      <protection locked="0"/>
    </xf>
    <xf numFmtId="0" fontId="82" fillId="2" borderId="48" xfId="0" applyFont="1" applyFill="1" applyBorder="1" applyAlignment="1" applyProtection="1">
      <alignment vertical="top" wrapText="1" readingOrder="1"/>
      <protection locked="0"/>
    </xf>
    <xf numFmtId="168" fontId="83" fillId="2" borderId="48" xfId="0" applyNumberFormat="1" applyFont="1" applyFill="1" applyBorder="1" applyAlignment="1">
      <alignment horizontal="left"/>
    </xf>
    <xf numFmtId="0" fontId="83" fillId="2" borderId="48" xfId="3" applyFont="1" applyFill="1" applyBorder="1" applyAlignment="1">
      <alignment horizontal="left"/>
    </xf>
    <xf numFmtId="1" fontId="84" fillId="2" borderId="48" xfId="1" applyNumberFormat="1" applyFont="1" applyFill="1" applyBorder="1" applyAlignment="1">
      <alignment horizontal="center"/>
    </xf>
    <xf numFmtId="0" fontId="84" fillId="2" borderId="48" xfId="0" applyNumberFormat="1" applyFont="1" applyFill="1" applyBorder="1" applyAlignment="1" applyProtection="1">
      <alignment horizontal="center" vertical="top" wrapText="1" readingOrder="1"/>
      <protection locked="0"/>
    </xf>
    <xf numFmtId="14" fontId="84" fillId="2" borderId="48" xfId="0" applyNumberFormat="1" applyFont="1" applyFill="1" applyBorder="1" applyAlignment="1" applyProtection="1">
      <alignment vertical="top" wrapText="1" readingOrder="1"/>
      <protection locked="0"/>
    </xf>
    <xf numFmtId="1" fontId="82" fillId="2" borderId="48" xfId="0" applyNumberFormat="1" applyFont="1" applyFill="1" applyBorder="1" applyAlignment="1" applyProtection="1">
      <alignment vertical="top" wrapText="1" readingOrder="1"/>
      <protection locked="0"/>
    </xf>
    <xf numFmtId="1" fontId="82" fillId="2" borderId="48" xfId="0" applyNumberFormat="1" applyFont="1" applyFill="1" applyBorder="1" applyAlignment="1" applyProtection="1">
      <alignment horizontal="left" vertical="top" wrapText="1" readingOrder="1"/>
      <protection locked="0"/>
    </xf>
    <xf numFmtId="1" fontId="14" fillId="2" borderId="48" xfId="1" applyNumberFormat="1" applyFont="1" applyFill="1" applyBorder="1" applyAlignment="1">
      <alignment horizontal="center"/>
    </xf>
    <xf numFmtId="0" fontId="77" fillId="2" borderId="0" xfId="0" applyFont="1" applyFill="1" applyBorder="1" applyAlignment="1">
      <alignment horizontal="center" vertical="center"/>
    </xf>
    <xf numFmtId="0" fontId="81" fillId="2" borderId="0" xfId="0" applyFont="1" applyFill="1" applyBorder="1" applyAlignment="1">
      <alignment horizontal="center" vertical="center"/>
    </xf>
    <xf numFmtId="0" fontId="67" fillId="2" borderId="48" xfId="0" applyFont="1" applyFill="1" applyBorder="1" applyAlignment="1" applyProtection="1">
      <alignment horizontal="center" vertical="center" wrapText="1" readingOrder="1"/>
      <protection locked="0"/>
    </xf>
    <xf numFmtId="0" fontId="14" fillId="2" borderId="48" xfId="0" applyFont="1" applyFill="1" applyBorder="1" applyAlignment="1">
      <alignment horizontal="left" vertical="center"/>
    </xf>
    <xf numFmtId="0" fontId="8" fillId="2" borderId="4" xfId="0" applyNumberFormat="1" applyFont="1" applyFill="1" applyBorder="1" applyAlignment="1" applyProtection="1">
      <alignment horizontal="center" vertical="center"/>
    </xf>
    <xf numFmtId="0" fontId="74" fillId="2" borderId="48" xfId="0" applyFont="1" applyFill="1" applyBorder="1" applyAlignment="1">
      <alignment vertical="center"/>
    </xf>
    <xf numFmtId="0" fontId="0" fillId="2" borderId="0" xfId="0" applyFill="1" applyAlignment="1">
      <alignment vertical="center"/>
    </xf>
    <xf numFmtId="0" fontId="0" fillId="2" borderId="48" xfId="0" applyFill="1" applyBorder="1" applyAlignment="1">
      <alignment vertical="center"/>
    </xf>
    <xf numFmtId="0" fontId="67" fillId="2" borderId="48" xfId="0" applyFont="1" applyFill="1" applyBorder="1" applyAlignment="1" applyProtection="1">
      <alignment vertical="top" wrapText="1" readingOrder="1"/>
      <protection locked="0"/>
    </xf>
    <xf numFmtId="0" fontId="61" fillId="2" borderId="48" xfId="0" applyFont="1" applyFill="1" applyBorder="1" applyAlignment="1">
      <alignment horizontal="center" vertical="center" wrapText="1"/>
    </xf>
    <xf numFmtId="0" fontId="69" fillId="5" borderId="48" xfId="0" applyFont="1" applyFill="1" applyBorder="1" applyAlignment="1" applyProtection="1">
      <alignment vertical="top" wrapText="1" readingOrder="1"/>
      <protection locked="0"/>
    </xf>
    <xf numFmtId="1" fontId="65" fillId="5" borderId="48" xfId="1" applyNumberFormat="1" applyFont="1" applyFill="1" applyBorder="1" applyAlignment="1">
      <alignment horizontal="center"/>
    </xf>
    <xf numFmtId="0" fontId="9" fillId="2" borderId="3" xfId="0" applyNumberFormat="1" applyFont="1" applyFill="1" applyBorder="1" applyAlignment="1" applyProtection="1">
      <alignment horizontal="center" vertical="top" wrapText="1"/>
    </xf>
    <xf numFmtId="0" fontId="9" fillId="2" borderId="6" xfId="0" applyNumberFormat="1" applyFont="1" applyFill="1" applyBorder="1" applyAlignment="1" applyProtection="1">
      <alignment horizontal="center" vertical="top" wrapText="1"/>
    </xf>
    <xf numFmtId="0" fontId="76" fillId="2" borderId="48" xfId="0" applyFont="1" applyFill="1" applyBorder="1" applyAlignment="1">
      <alignment horizontal="center" vertical="center" wrapText="1"/>
    </xf>
    <xf numFmtId="14" fontId="0" fillId="2" borderId="48" xfId="0" applyNumberFormat="1" applyFill="1" applyBorder="1" applyAlignment="1">
      <alignment horizontal="right"/>
    </xf>
    <xf numFmtId="14" fontId="0" fillId="2" borderId="3" xfId="0" applyNumberFormat="1" applyFill="1" applyBorder="1" applyAlignment="1">
      <alignment horizontal="right" vertical="center"/>
    </xf>
    <xf numFmtId="14" fontId="87" fillId="2" borderId="48" xfId="0" applyNumberFormat="1" applyFont="1" applyFill="1" applyBorder="1" applyAlignment="1"/>
    <xf numFmtId="14" fontId="78" fillId="2" borderId="48" xfId="0" applyNumberFormat="1" applyFont="1" applyFill="1" applyBorder="1" applyAlignment="1" applyProtection="1">
      <alignment horizontal="right" vertical="top" wrapText="1" readingOrder="1"/>
      <protection locked="0"/>
    </xf>
    <xf numFmtId="0" fontId="10" fillId="2" borderId="0" xfId="0" applyFont="1" applyFill="1"/>
    <xf numFmtId="0" fontId="0" fillId="2" borderId="0" xfId="0" applyFill="1" applyAlignment="1">
      <alignment horizontal="center"/>
    </xf>
    <xf numFmtId="0" fontId="2" fillId="2" borderId="0" xfId="0" applyFont="1" applyFill="1"/>
    <xf numFmtId="0" fontId="0" fillId="2" borderId="0" xfId="0" applyFill="1" applyAlignment="1">
      <alignment wrapText="1"/>
    </xf>
    <xf numFmtId="0" fontId="5" fillId="2" borderId="0" xfId="0" applyFont="1" applyFill="1"/>
    <xf numFmtId="0" fontId="2" fillId="2" borderId="0" xfId="0" applyFont="1" applyFill="1" applyAlignment="1">
      <alignment horizontal="left"/>
    </xf>
    <xf numFmtId="0" fontId="4" fillId="2" borderId="0" xfId="0" applyFont="1" applyFill="1"/>
    <xf numFmtId="0" fontId="6" fillId="2" borderId="0" xfId="0" applyFont="1" applyFill="1"/>
    <xf numFmtId="0" fontId="7" fillId="2" borderId="0" xfId="0" applyFont="1" applyFill="1"/>
    <xf numFmtId="0" fontId="2" fillId="2" borderId="0" xfId="0" applyFont="1" applyFill="1" applyAlignment="1">
      <alignment horizontal="center"/>
    </xf>
    <xf numFmtId="0" fontId="8" fillId="2" borderId="0" xfId="0" applyFont="1" applyFill="1"/>
    <xf numFmtId="0" fontId="0" fillId="2" borderId="0" xfId="0" applyFill="1" applyAlignment="1">
      <alignment horizontal="left"/>
    </xf>
    <xf numFmtId="0" fontId="7" fillId="2" borderId="0" xfId="0" applyFont="1" applyFill="1" applyAlignment="1">
      <alignment horizontal="center"/>
    </xf>
    <xf numFmtId="0" fontId="64" fillId="2" borderId="0" xfId="0" applyFont="1" applyFill="1"/>
    <xf numFmtId="0" fontId="9" fillId="2" borderId="0" xfId="0" applyFont="1" applyFill="1"/>
    <xf numFmtId="0" fontId="10" fillId="2" borderId="0" xfId="0" applyFont="1" applyFill="1" applyAlignment="1">
      <alignment horizontal="left"/>
    </xf>
    <xf numFmtId="17" fontId="2" fillId="2" borderId="0" xfId="0" applyNumberFormat="1" applyFont="1" applyFill="1"/>
    <xf numFmtId="0" fontId="10" fillId="2" borderId="0" xfId="0" applyFont="1" applyFill="1" applyAlignment="1">
      <alignment horizontal="center"/>
    </xf>
    <xf numFmtId="0" fontId="2" fillId="2" borderId="48" xfId="0" applyFont="1" applyFill="1" applyBorder="1" applyAlignment="1">
      <alignment horizontal="center" vertical="center" wrapText="1"/>
    </xf>
    <xf numFmtId="0" fontId="12" fillId="2" borderId="48" xfId="0" applyFont="1" applyFill="1" applyBorder="1" applyAlignment="1">
      <alignment horizontal="center" vertical="center" wrapText="1"/>
    </xf>
    <xf numFmtId="0" fontId="2" fillId="2" borderId="48" xfId="0" applyFont="1" applyFill="1" applyBorder="1" applyAlignment="1">
      <alignment horizontal="center" vertical="center"/>
    </xf>
    <xf numFmtId="0" fontId="2" fillId="2" borderId="48" xfId="0" applyFont="1" applyFill="1" applyBorder="1" applyAlignment="1">
      <alignment horizontal="center"/>
    </xf>
    <xf numFmtId="0" fontId="2" fillId="2" borderId="48" xfId="0" applyFont="1" applyFill="1" applyBorder="1" applyAlignment="1">
      <alignment horizontal="center" wrapText="1"/>
    </xf>
    <xf numFmtId="0" fontId="2" fillId="2" borderId="0" xfId="0" applyFont="1" applyFill="1" applyAlignment="1">
      <alignment horizontal="center" vertical="center"/>
    </xf>
    <xf numFmtId="0" fontId="0" fillId="2" borderId="48" xfId="0" applyFill="1" applyBorder="1" applyAlignment="1">
      <alignment horizontal="center" wrapText="1"/>
    </xf>
    <xf numFmtId="1" fontId="0" fillId="2" borderId="0" xfId="0" applyNumberFormat="1" applyFill="1"/>
    <xf numFmtId="167" fontId="0" fillId="2" borderId="0" xfId="0" applyNumberFormat="1" applyFill="1"/>
    <xf numFmtId="3" fontId="0" fillId="2" borderId="0" xfId="0" applyNumberFormat="1" applyFill="1"/>
    <xf numFmtId="1" fontId="0" fillId="2" borderId="0" xfId="0" applyNumberFormat="1" applyFill="1" applyAlignment="1">
      <alignment horizontal="center"/>
    </xf>
    <xf numFmtId="1" fontId="66" fillId="2" borderId="48" xfId="4" applyNumberFormat="1" applyFont="1" applyFill="1" applyBorder="1" applyAlignment="1">
      <alignment horizontal="left"/>
    </xf>
    <xf numFmtId="0" fontId="74" fillId="0" borderId="48" xfId="0" applyFont="1" applyBorder="1" applyAlignment="1">
      <alignment horizontal="left" wrapText="1"/>
    </xf>
    <xf numFmtId="0" fontId="74" fillId="0" borderId="48" xfId="0" applyFont="1" applyBorder="1" applyAlignment="1">
      <alignment horizontal="center" wrapText="1"/>
    </xf>
    <xf numFmtId="1" fontId="75" fillId="2" borderId="48" xfId="0" applyNumberFormat="1" applyFont="1" applyFill="1" applyBorder="1" applyAlignment="1"/>
    <xf numFmtId="1" fontId="66" fillId="2" borderId="48" xfId="0" quotePrefix="1" applyNumberFormat="1" applyFont="1" applyFill="1" applyBorder="1" applyAlignment="1">
      <alignment horizontal="left"/>
    </xf>
    <xf numFmtId="0" fontId="0" fillId="0" borderId="48" xfId="0" applyBorder="1" applyAlignment="1">
      <alignment horizontal="center"/>
    </xf>
    <xf numFmtId="14" fontId="74" fillId="0" borderId="48" xfId="0" applyNumberFormat="1" applyFont="1" applyBorder="1" applyAlignment="1">
      <alignment horizontal="center" wrapText="1"/>
    </xf>
    <xf numFmtId="17" fontId="8" fillId="0" borderId="40" xfId="0" applyNumberFormat="1" applyFont="1" applyFill="1" applyBorder="1" applyAlignment="1" applyProtection="1">
      <alignment horizontal="left" vertical="top"/>
    </xf>
    <xf numFmtId="0" fontId="89" fillId="6" borderId="4" xfId="0" applyNumberFormat="1" applyFont="1" applyFill="1" applyBorder="1" applyAlignment="1" applyProtection="1">
      <alignment horizontal="center"/>
    </xf>
    <xf numFmtId="0" fontId="86" fillId="6" borderId="48" xfId="0" applyFont="1" applyFill="1" applyBorder="1" applyAlignment="1">
      <alignment horizontal="left"/>
    </xf>
    <xf numFmtId="14" fontId="88" fillId="6" borderId="0" xfId="0" applyNumberFormat="1" applyFont="1" applyFill="1" applyAlignment="1">
      <alignment horizontal="center"/>
    </xf>
    <xf numFmtId="0" fontId="88" fillId="6" borderId="48" xfId="0" applyFont="1" applyFill="1" applyBorder="1" applyAlignment="1">
      <alignment horizontal="center"/>
    </xf>
    <xf numFmtId="0" fontId="88" fillId="6" borderId="0" xfId="0" applyFont="1" applyFill="1" applyAlignment="1">
      <alignment horizontal="center"/>
    </xf>
    <xf numFmtId="0" fontId="88" fillId="6" borderId="48" xfId="0" applyFont="1" applyFill="1" applyBorder="1" applyAlignment="1">
      <alignment horizontal="center" vertical="center" wrapText="1"/>
    </xf>
    <xf numFmtId="14" fontId="88" fillId="6" borderId="0" xfId="0" applyNumberFormat="1" applyFont="1" applyFill="1" applyAlignment="1">
      <alignment horizontal="center" vertical="center"/>
    </xf>
    <xf numFmtId="0" fontId="90" fillId="6" borderId="48" xfId="0" applyFont="1" applyFill="1" applyBorder="1"/>
    <xf numFmtId="0" fontId="88" fillId="6" borderId="48" xfId="0" applyFont="1" applyFill="1" applyBorder="1" applyAlignment="1">
      <alignment horizontal="center" vertical="center"/>
    </xf>
    <xf numFmtId="0" fontId="88" fillId="6" borderId="0" xfId="0" applyFont="1" applyFill="1"/>
    <xf numFmtId="14" fontId="88" fillId="6" borderId="48" xfId="0" applyNumberFormat="1" applyFont="1" applyFill="1" applyBorder="1" applyAlignment="1">
      <alignment horizontal="center"/>
    </xf>
    <xf numFmtId="0" fontId="88" fillId="6" borderId="48" xfId="0" applyFont="1" applyFill="1" applyBorder="1"/>
    <xf numFmtId="0" fontId="88" fillId="6" borderId="48" xfId="0" applyFont="1" applyFill="1" applyBorder="1" applyAlignment="1">
      <alignment horizontal="center" wrapText="1"/>
    </xf>
    <xf numFmtId="14" fontId="86" fillId="6" borderId="48" xfId="0" applyNumberFormat="1" applyFont="1" applyFill="1" applyBorder="1" applyAlignment="1">
      <alignment horizontal="center" vertical="center"/>
    </xf>
    <xf numFmtId="14" fontId="90" fillId="6" borderId="48" xfId="0" applyNumberFormat="1" applyFont="1" applyFill="1" applyBorder="1"/>
    <xf numFmtId="0" fontId="91" fillId="6" borderId="48" xfId="0" applyFont="1" applyFill="1" applyBorder="1" applyAlignment="1">
      <alignment horizontal="center"/>
    </xf>
    <xf numFmtId="0" fontId="88" fillId="6" borderId="48" xfId="0" applyFont="1" applyFill="1" applyBorder="1" applyAlignment="1">
      <alignment horizontal="left"/>
    </xf>
    <xf numFmtId="0" fontId="88" fillId="6" borderId="48" xfId="0" applyFont="1" applyFill="1" applyBorder="1" applyAlignment="1">
      <alignment wrapText="1"/>
    </xf>
    <xf numFmtId="14" fontId="88" fillId="6" borderId="48" xfId="0" applyNumberFormat="1" applyFont="1" applyFill="1" applyBorder="1" applyAlignment="1">
      <alignment horizontal="left"/>
    </xf>
    <xf numFmtId="1" fontId="2" fillId="0" borderId="4" xfId="0" applyNumberFormat="1" applyFont="1" applyBorder="1" applyAlignment="1">
      <alignment horizontal="center" vertical="center"/>
    </xf>
    <xf numFmtId="0" fontId="0" fillId="2" borderId="48" xfId="0" quotePrefix="1" applyFill="1" applyBorder="1" applyAlignment="1">
      <alignment horizontal="center" vertical="center"/>
    </xf>
    <xf numFmtId="0" fontId="0" fillId="2" borderId="48" xfId="0" quotePrefix="1" applyFill="1" applyBorder="1" applyAlignment="1">
      <alignment horizontal="center"/>
    </xf>
    <xf numFmtId="14" fontId="54" fillId="2" borderId="48" xfId="0" applyNumberFormat="1" applyFont="1" applyFill="1" applyBorder="1" applyAlignment="1">
      <alignment horizontal="center"/>
    </xf>
    <xf numFmtId="17" fontId="9" fillId="0" borderId="18" xfId="0" applyNumberFormat="1" applyFont="1" applyBorder="1" applyAlignment="1">
      <alignment vertical="top"/>
    </xf>
    <xf numFmtId="17" fontId="9" fillId="0" borderId="48" xfId="0" applyNumberFormat="1" applyFont="1" applyBorder="1" applyAlignment="1">
      <alignment vertical="top"/>
    </xf>
    <xf numFmtId="0" fontId="85" fillId="2" borderId="48" xfId="0" applyFont="1" applyFill="1" applyBorder="1" applyAlignment="1">
      <alignment horizontal="left" vertical="center" wrapText="1"/>
    </xf>
    <xf numFmtId="0" fontId="88" fillId="2" borderId="48" xfId="0" applyFont="1" applyFill="1" applyBorder="1" applyAlignment="1">
      <alignment horizontal="center"/>
    </xf>
    <xf numFmtId="0" fontId="92" fillId="2" borderId="48" xfId="0" applyFont="1" applyFill="1" applyBorder="1" applyAlignment="1">
      <alignment horizontal="left" vertical="center" wrapText="1"/>
    </xf>
    <xf numFmtId="14" fontId="88" fillId="2" borderId="48" xfId="0" applyNumberFormat="1" applyFont="1" applyFill="1" applyBorder="1" applyAlignment="1">
      <alignment horizontal="right"/>
    </xf>
    <xf numFmtId="0" fontId="88" fillId="2" borderId="48" xfId="0" applyFont="1" applyFill="1" applyBorder="1" applyAlignment="1">
      <alignment horizontal="left"/>
    </xf>
    <xf numFmtId="0" fontId="88" fillId="2" borderId="48" xfId="0" applyFont="1" applyFill="1" applyBorder="1" applyAlignment="1">
      <alignment wrapText="1"/>
    </xf>
    <xf numFmtId="14" fontId="86" fillId="2" borderId="48" xfId="0" applyNumberFormat="1" applyFont="1" applyFill="1" applyBorder="1" applyAlignment="1">
      <alignment horizontal="center" vertical="center"/>
    </xf>
    <xf numFmtId="0" fontId="88" fillId="2" borderId="48" xfId="0" applyFont="1" applyFill="1" applyBorder="1"/>
    <xf numFmtId="14" fontId="88" fillId="2" borderId="48" xfId="0" applyNumberFormat="1" applyFont="1" applyFill="1" applyBorder="1" applyAlignment="1">
      <alignment horizontal="center"/>
    </xf>
    <xf numFmtId="0" fontId="88" fillId="2" borderId="0" xfId="0" applyFont="1" applyFill="1"/>
    <xf numFmtId="0" fontId="42" fillId="2" borderId="48" xfId="0" applyFont="1" applyFill="1" applyBorder="1" applyAlignment="1">
      <alignment horizontal="center"/>
    </xf>
    <xf numFmtId="0" fontId="42" fillId="2" borderId="48" xfId="0" applyFont="1" applyFill="1" applyBorder="1" applyAlignment="1">
      <alignment horizontal="left"/>
    </xf>
    <xf numFmtId="169" fontId="14" fillId="2" borderId="48" xfId="1" applyNumberFormat="1" applyFont="1" applyFill="1" applyBorder="1"/>
    <xf numFmtId="1" fontId="2" fillId="0" borderId="4" xfId="0" applyNumberFormat="1" applyFont="1" applyBorder="1" applyAlignment="1">
      <alignment horizontal="right" vertical="center"/>
    </xf>
    <xf numFmtId="0" fontId="14" fillId="2" borderId="48" xfId="0" applyFont="1" applyFill="1" applyBorder="1" applyAlignment="1"/>
    <xf numFmtId="14" fontId="5" fillId="2" borderId="48" xfId="0" applyNumberFormat="1" applyFont="1" applyFill="1" applyBorder="1" applyAlignment="1">
      <alignment vertical="center"/>
    </xf>
    <xf numFmtId="0" fontId="92" fillId="2" borderId="48" xfId="0" applyFont="1" applyFill="1" applyBorder="1" applyAlignment="1">
      <alignment horizontal="left" wrapText="1"/>
    </xf>
    <xf numFmtId="17" fontId="42" fillId="2" borderId="0" xfId="0" applyNumberFormat="1" applyFont="1" applyFill="1"/>
    <xf numFmtId="167" fontId="93" fillId="2" borderId="48" xfId="1" applyNumberFormat="1" applyFont="1" applyFill="1" applyBorder="1" applyAlignment="1">
      <alignment vertical="center"/>
    </xf>
    <xf numFmtId="0" fontId="2" fillId="2" borderId="48" xfId="0" applyFont="1" applyFill="1" applyBorder="1" applyAlignment="1">
      <alignment horizontal="center" vertical="center"/>
    </xf>
    <xf numFmtId="0" fontId="42" fillId="2" borderId="48" xfId="0" applyFont="1" applyFill="1" applyBorder="1" applyAlignment="1">
      <alignment horizontal="center" vertical="center"/>
    </xf>
    <xf numFmtId="0" fontId="42" fillId="2" borderId="48" xfId="0" applyFont="1" applyFill="1" applyBorder="1" applyAlignment="1">
      <alignment horizontal="left" vertical="center"/>
    </xf>
    <xf numFmtId="14" fontId="0" fillId="2" borderId="48" xfId="0" applyNumberFormat="1" applyFill="1" applyBorder="1" applyAlignment="1">
      <alignment horizontal="right" vertical="center"/>
    </xf>
    <xf numFmtId="0" fontId="0" fillId="2" borderId="48" xfId="0" applyFill="1" applyBorder="1" applyAlignment="1">
      <alignment vertical="center" wrapText="1"/>
    </xf>
    <xf numFmtId="14" fontId="87" fillId="2" borderId="48" xfId="0" applyNumberFormat="1" applyFont="1" applyFill="1" applyBorder="1" applyAlignment="1">
      <alignment vertical="center"/>
    </xf>
    <xf numFmtId="1" fontId="73" fillId="2" borderId="48" xfId="0" applyNumberFormat="1" applyFont="1" applyFill="1" applyBorder="1" applyAlignment="1">
      <alignment vertical="center"/>
    </xf>
    <xf numFmtId="1" fontId="14" fillId="2" borderId="48" xfId="1" applyNumberFormat="1" applyFont="1" applyFill="1" applyBorder="1" applyAlignment="1">
      <alignment horizontal="center" vertical="center"/>
    </xf>
    <xf numFmtId="0" fontId="78" fillId="2" borderId="48" xfId="0" applyFont="1" applyFill="1" applyBorder="1" applyAlignment="1">
      <alignment horizontal="center" vertical="center"/>
    </xf>
    <xf numFmtId="0" fontId="66" fillId="2" borderId="48" xfId="0" applyFont="1" applyFill="1" applyBorder="1" applyAlignment="1">
      <alignment vertical="center"/>
    </xf>
    <xf numFmtId="0" fontId="14" fillId="6" borderId="48" xfId="1" applyFont="1" applyFill="1" applyBorder="1" applyAlignment="1">
      <alignment vertical="center"/>
    </xf>
    <xf numFmtId="1" fontId="78" fillId="2" borderId="48" xfId="0" applyNumberFormat="1" applyFont="1" applyFill="1" applyBorder="1" applyAlignment="1">
      <alignment horizontal="center" vertical="center"/>
    </xf>
    <xf numFmtId="169" fontId="14" fillId="2" borderId="48" xfId="1" applyNumberFormat="1" applyFont="1" applyFill="1" applyBorder="1" applyAlignment="1">
      <alignment vertical="center"/>
    </xf>
    <xf numFmtId="169" fontId="14" fillId="6" borderId="48" xfId="1" applyNumberFormat="1" applyFont="1" applyFill="1" applyBorder="1" applyAlignment="1">
      <alignment vertical="center"/>
    </xf>
    <xf numFmtId="167" fontId="78" fillId="2" borderId="48" xfId="1" applyNumberFormat="1" applyFont="1" applyFill="1" applyBorder="1" applyAlignment="1">
      <alignment vertical="center"/>
    </xf>
    <xf numFmtId="3" fontId="0" fillId="2" borderId="48" xfId="0" applyNumberFormat="1" applyFill="1" applyBorder="1" applyAlignment="1">
      <alignment horizontal="right" vertical="center"/>
    </xf>
    <xf numFmtId="3" fontId="14" fillId="2" borderId="48" xfId="0" applyNumberFormat="1" applyFont="1" applyFill="1" applyBorder="1" applyAlignment="1">
      <alignment horizontal="center" vertical="center"/>
    </xf>
    <xf numFmtId="0" fontId="14" fillId="2" borderId="48" xfId="0" applyFont="1" applyFill="1" applyBorder="1" applyAlignment="1">
      <alignment vertical="center"/>
    </xf>
    <xf numFmtId="3" fontId="80" fillId="2" borderId="48" xfId="0" applyNumberFormat="1" applyFont="1" applyFill="1" applyBorder="1" applyAlignment="1">
      <alignment horizontal="center" vertical="center"/>
    </xf>
    <xf numFmtId="1" fontId="78" fillId="2" borderId="48" xfId="0" applyNumberFormat="1" applyFont="1" applyFill="1" applyBorder="1" applyAlignment="1">
      <alignment vertical="center"/>
    </xf>
    <xf numFmtId="0" fontId="14" fillId="2" borderId="48" xfId="1" applyFont="1" applyFill="1" applyBorder="1" applyAlignment="1">
      <alignment vertical="center"/>
    </xf>
    <xf numFmtId="0" fontId="0" fillId="2" borderId="48" xfId="0" applyFill="1" applyBorder="1" applyAlignment="1">
      <alignment horizontal="right" vertical="center"/>
    </xf>
    <xf numFmtId="1" fontId="14" fillId="2" borderId="48" xfId="1" applyNumberFormat="1" applyFont="1" applyFill="1" applyBorder="1" applyAlignment="1">
      <alignment horizontal="left" vertical="center"/>
    </xf>
    <xf numFmtId="170" fontId="8" fillId="0" borderId="48" xfId="0" applyNumberFormat="1" applyFont="1" applyFill="1" applyBorder="1" applyAlignment="1" applyProtection="1">
      <alignment vertical="top"/>
    </xf>
    <xf numFmtId="0" fontId="94" fillId="2" borderId="48" xfId="0" applyFont="1" applyFill="1" applyBorder="1" applyAlignment="1" applyProtection="1">
      <alignment horizontal="center" vertical="center" wrapText="1" readingOrder="1"/>
      <protection locked="0"/>
    </xf>
    <xf numFmtId="0" fontId="67" fillId="2" borderId="48" xfId="0" applyFont="1" applyFill="1" applyBorder="1" applyAlignment="1" applyProtection="1">
      <alignment horizontal="center" vertical="center" readingOrder="1"/>
      <protection locked="0"/>
    </xf>
    <xf numFmtId="0" fontId="21" fillId="2" borderId="41" xfId="0" applyNumberFormat="1" applyFont="1" applyFill="1" applyBorder="1" applyAlignment="1" applyProtection="1">
      <alignment horizontal="center" vertical="center"/>
    </xf>
    <xf numFmtId="0" fontId="21" fillId="2" borderId="7" xfId="0" applyNumberFormat="1" applyFont="1" applyFill="1" applyBorder="1" applyAlignment="1" applyProtection="1">
      <alignment horizontal="center" vertical="center"/>
    </xf>
    <xf numFmtId="0" fontId="21" fillId="2" borderId="1" xfId="0" applyNumberFormat="1" applyFont="1" applyFill="1" applyBorder="1" applyAlignment="1" applyProtection="1">
      <alignment horizontal="center" vertical="center"/>
    </xf>
    <xf numFmtId="0" fontId="21" fillId="2" borderId="38" xfId="0" applyNumberFormat="1" applyFont="1" applyFill="1" applyBorder="1" applyAlignment="1" applyProtection="1">
      <alignment horizontal="center" vertical="center"/>
    </xf>
    <xf numFmtId="0" fontId="21" fillId="2" borderId="40" xfId="0" applyNumberFormat="1" applyFont="1" applyFill="1" applyBorder="1" applyAlignment="1" applyProtection="1">
      <alignment horizontal="center" vertical="center"/>
    </xf>
    <xf numFmtId="0" fontId="21" fillId="2" borderId="4" xfId="0" applyNumberFormat="1" applyFont="1" applyFill="1" applyBorder="1" applyAlignment="1" applyProtection="1">
      <alignment horizontal="center" vertical="center"/>
    </xf>
    <xf numFmtId="0" fontId="21" fillId="2" borderId="48" xfId="0" applyNumberFormat="1" applyFont="1" applyFill="1" applyBorder="1" applyAlignment="1" applyProtection="1">
      <alignment horizontal="center" vertical="center"/>
    </xf>
    <xf numFmtId="0" fontId="21" fillId="2" borderId="16" xfId="0" applyNumberFormat="1" applyFont="1" applyFill="1" applyBorder="1" applyAlignment="1" applyProtection="1">
      <alignment horizontal="center" vertical="center"/>
    </xf>
    <xf numFmtId="0" fontId="21" fillId="2" borderId="33" xfId="0" applyNumberFormat="1" applyFont="1" applyFill="1" applyBorder="1" applyAlignment="1" applyProtection="1">
      <alignment horizontal="center" vertical="center"/>
    </xf>
    <xf numFmtId="0" fontId="8" fillId="2" borderId="40" xfId="0" applyNumberFormat="1" applyFont="1" applyFill="1" applyBorder="1" applyAlignment="1" applyProtection="1">
      <alignment horizontal="center" vertical="top"/>
    </xf>
    <xf numFmtId="0" fontId="8" fillId="2" borderId="4" xfId="0" applyNumberFormat="1" applyFont="1" applyFill="1" applyBorder="1" applyAlignment="1" applyProtection="1">
      <alignment horizontal="center" vertical="top"/>
    </xf>
    <xf numFmtId="0" fontId="8" fillId="2" borderId="48" xfId="0" applyNumberFormat="1" applyFont="1" applyFill="1" applyBorder="1" applyAlignment="1" applyProtection="1">
      <alignment horizontal="center" vertical="top"/>
    </xf>
    <xf numFmtId="0" fontId="8" fillId="2" borderId="16" xfId="0" applyNumberFormat="1" applyFont="1" applyFill="1" applyBorder="1" applyAlignment="1" applyProtection="1">
      <alignment horizontal="center" vertical="top"/>
    </xf>
    <xf numFmtId="0" fontId="8" fillId="2" borderId="33" xfId="0" applyNumberFormat="1" applyFont="1" applyFill="1" applyBorder="1" applyAlignment="1" applyProtection="1">
      <alignment horizontal="center" vertical="top"/>
    </xf>
    <xf numFmtId="0" fontId="8" fillId="2" borderId="48" xfId="0" applyNumberFormat="1" applyFont="1" applyFill="1" applyBorder="1" applyAlignment="1" applyProtection="1">
      <alignment horizontal="left" vertical="top" wrapText="1"/>
    </xf>
    <xf numFmtId="0" fontId="8" fillId="2" borderId="50" xfId="0" applyNumberFormat="1" applyFont="1" applyFill="1" applyBorder="1" applyAlignment="1" applyProtection="1">
      <alignment horizontal="left" vertical="top" wrapText="1"/>
    </xf>
    <xf numFmtId="0" fontId="8" fillId="2" borderId="48" xfId="0" applyNumberFormat="1" applyFont="1" applyFill="1" applyBorder="1" applyAlignment="1" applyProtection="1">
      <alignment horizontal="left" vertical="top"/>
    </xf>
    <xf numFmtId="0" fontId="8" fillId="2" borderId="16" xfId="0" applyNumberFormat="1" applyFont="1" applyFill="1" applyBorder="1" applyAlignment="1" applyProtection="1">
      <alignment horizontal="left" vertical="top"/>
    </xf>
    <xf numFmtId="0" fontId="9" fillId="2" borderId="3" xfId="0" applyNumberFormat="1" applyFont="1" applyFill="1" applyBorder="1" applyAlignment="1" applyProtection="1">
      <alignment horizontal="center" vertical="top" wrapText="1"/>
    </xf>
    <xf numFmtId="0" fontId="9" fillId="2" borderId="4" xfId="0" applyNumberFormat="1" applyFont="1" applyFill="1" applyBorder="1" applyAlignment="1" applyProtection="1">
      <alignment horizontal="center" vertical="top" wrapText="1"/>
    </xf>
    <xf numFmtId="0" fontId="9" fillId="2" borderId="3" xfId="0" applyNumberFormat="1" applyFont="1" applyFill="1" applyBorder="1" applyAlignment="1" applyProtection="1">
      <alignment horizontal="left" vertical="top" wrapText="1"/>
    </xf>
    <xf numFmtId="0" fontId="9" fillId="2" borderId="4" xfId="0" applyNumberFormat="1" applyFont="1" applyFill="1" applyBorder="1" applyAlignment="1" applyProtection="1">
      <alignment horizontal="left" vertical="top" wrapText="1"/>
    </xf>
    <xf numFmtId="0" fontId="9" fillId="2" borderId="6" xfId="0" applyNumberFormat="1" applyFont="1" applyFill="1" applyBorder="1" applyAlignment="1" applyProtection="1">
      <alignment horizontal="center" vertical="top" wrapText="1"/>
    </xf>
    <xf numFmtId="0" fontId="2" fillId="2" borderId="48" xfId="0" applyFont="1" applyFill="1" applyBorder="1" applyAlignment="1">
      <alignment horizontal="center" vertical="center" wrapText="1"/>
    </xf>
    <xf numFmtId="0" fontId="2" fillId="2" borderId="48" xfId="0" applyFont="1" applyFill="1" applyBorder="1" applyAlignment="1">
      <alignment horizontal="center" vertical="center"/>
    </xf>
    <xf numFmtId="0" fontId="11" fillId="2" borderId="48" xfId="0" applyFont="1" applyFill="1" applyBorder="1" applyAlignment="1">
      <alignment horizontal="center" vertical="center" wrapText="1"/>
    </xf>
    <xf numFmtId="0" fontId="0" fillId="2" borderId="0" xfId="0" applyFill="1" applyAlignment="1">
      <alignment horizontal="center"/>
    </xf>
    <xf numFmtId="0" fontId="2" fillId="2" borderId="0" xfId="0" applyFont="1" applyFill="1" applyAlignment="1">
      <alignment horizontal="right" vertical="center" wrapText="1"/>
    </xf>
    <xf numFmtId="0" fontId="2" fillId="2" borderId="0" xfId="0" applyFont="1" applyFill="1" applyAlignment="1">
      <alignment horizontal="left"/>
    </xf>
    <xf numFmtId="0" fontId="2" fillId="2" borderId="0" xfId="0" applyFont="1" applyFill="1" applyAlignment="1">
      <alignment horizontal="center" wrapText="1"/>
    </xf>
    <xf numFmtId="0" fontId="76" fillId="2" borderId="48" xfId="0" applyFont="1" applyFill="1" applyBorder="1" applyAlignment="1">
      <alignment horizontal="center" vertical="center" wrapText="1"/>
    </xf>
    <xf numFmtId="0" fontId="12" fillId="2" borderId="48" xfId="0" applyFont="1" applyFill="1" applyBorder="1" applyAlignment="1">
      <alignment horizontal="center" vertical="center" wrapText="1"/>
    </xf>
    <xf numFmtId="0" fontId="76" fillId="2" borderId="48" xfId="0" applyFont="1" applyFill="1" applyBorder="1" applyAlignment="1">
      <alignment horizontal="center" vertical="center"/>
    </xf>
    <xf numFmtId="0" fontId="39" fillId="2" borderId="19" xfId="0" applyFont="1" applyFill="1" applyBorder="1" applyAlignment="1">
      <alignment horizontal="center" vertical="top" wrapText="1"/>
    </xf>
    <xf numFmtId="0" fontId="39" fillId="2" borderId="0" xfId="0" applyFont="1" applyFill="1" applyAlignment="1">
      <alignment horizontal="center" vertical="top" wrapText="1"/>
    </xf>
    <xf numFmtId="165" fontId="36" fillId="0" borderId="0" xfId="0" applyNumberFormat="1" applyFont="1" applyAlignment="1">
      <alignment horizontal="left" vertical="center" wrapText="1"/>
    </xf>
    <xf numFmtId="165" fontId="36" fillId="0" borderId="23" xfId="0" applyNumberFormat="1" applyFont="1" applyBorder="1" applyAlignment="1">
      <alignment horizontal="left" vertical="center" wrapText="1"/>
    </xf>
    <xf numFmtId="0" fontId="38" fillId="2" borderId="22" xfId="0" applyFont="1" applyFill="1" applyBorder="1" applyAlignment="1">
      <alignment horizontal="left" vertical="top" wrapText="1"/>
    </xf>
    <xf numFmtId="0" fontId="38" fillId="2" borderId="0" xfId="0" applyFont="1" applyFill="1" applyAlignment="1">
      <alignment horizontal="left" vertical="top" wrapText="1"/>
    </xf>
    <xf numFmtId="0" fontId="0" fillId="2" borderId="22" xfId="0" applyFill="1" applyBorder="1" applyAlignment="1">
      <alignment horizontal="justify" vertical="top" wrapText="1"/>
    </xf>
    <xf numFmtId="0" fontId="0" fillId="2" borderId="0" xfId="0" applyFill="1" applyAlignment="1">
      <alignment horizontal="justify" vertical="top" wrapText="1"/>
    </xf>
    <xf numFmtId="0" fontId="41" fillId="2" borderId="20" xfId="0" applyFont="1" applyFill="1" applyBorder="1" applyAlignment="1">
      <alignment horizontal="center" vertical="top" wrapText="1"/>
    </xf>
    <xf numFmtId="0" fontId="41" fillId="2" borderId="9" xfId="0" applyFont="1" applyFill="1" applyBorder="1" applyAlignment="1">
      <alignment horizontal="center" vertical="top" wrapText="1"/>
    </xf>
    <xf numFmtId="0" fontId="33" fillId="2" borderId="22" xfId="0" applyFont="1" applyFill="1" applyBorder="1" applyAlignment="1">
      <alignment horizontal="center" vertical="top" wrapText="1"/>
    </xf>
    <xf numFmtId="0" fontId="33" fillId="2" borderId="0" xfId="0" applyFont="1" applyFill="1" applyAlignment="1">
      <alignment horizontal="center" vertical="top" wrapText="1"/>
    </xf>
    <xf numFmtId="0" fontId="0" fillId="2" borderId="22" xfId="0" applyFill="1" applyBorder="1" applyAlignment="1">
      <alignment horizontal="center" vertical="top" wrapText="1"/>
    </xf>
    <xf numFmtId="0" fontId="0" fillId="2" borderId="0" xfId="0" applyFill="1" applyAlignment="1">
      <alignment horizontal="center" vertical="top" wrapText="1"/>
    </xf>
    <xf numFmtId="0" fontId="34" fillId="2" borderId="22" xfId="0" applyFont="1" applyFill="1" applyBorder="1" applyAlignment="1">
      <alignment horizontal="center" vertical="top" wrapText="1"/>
    </xf>
    <xf numFmtId="0" fontId="34" fillId="2" borderId="0" xfId="0" applyFont="1" applyFill="1" applyAlignment="1">
      <alignment horizontal="center" vertical="top" wrapText="1"/>
    </xf>
    <xf numFmtId="164" fontId="35" fillId="2" borderId="0" xfId="0" applyNumberFormat="1" applyFont="1" applyFill="1" applyAlignment="1">
      <alignment horizontal="center" vertical="top" wrapText="1"/>
    </xf>
    <xf numFmtId="0" fontId="9" fillId="2" borderId="0" xfId="3" applyFont="1" applyFill="1" applyBorder="1" applyAlignment="1">
      <alignment horizontal="left" vertical="center"/>
    </xf>
    <xf numFmtId="0" fontId="67" fillId="2" borderId="4" xfId="0" applyFont="1" applyFill="1" applyBorder="1" applyAlignment="1" applyProtection="1">
      <alignment horizontal="center" vertical="top" wrapText="1" readingOrder="1"/>
      <protection locked="0"/>
    </xf>
    <xf numFmtId="0" fontId="67" fillId="2" borderId="48" xfId="0" applyFont="1" applyFill="1" applyBorder="1" applyAlignment="1" applyProtection="1">
      <alignment horizontal="center" vertical="top" wrapText="1" readingOrder="1"/>
      <protection locked="0"/>
    </xf>
    <xf numFmtId="0" fontId="68" fillId="2" borderId="4" xfId="0" applyFont="1" applyFill="1" applyBorder="1" applyAlignment="1" applyProtection="1">
      <alignment horizontal="center" vertical="center" wrapText="1" readingOrder="1"/>
      <protection locked="0"/>
    </xf>
    <xf numFmtId="0" fontId="68" fillId="2" borderId="48" xfId="0" applyFont="1" applyFill="1" applyBorder="1" applyAlignment="1" applyProtection="1">
      <alignment horizontal="center" vertical="center" wrapText="1" readingOrder="1"/>
      <protection locked="0"/>
    </xf>
    <xf numFmtId="0" fontId="67" fillId="2" borderId="4" xfId="0" applyFont="1" applyFill="1" applyBorder="1" applyAlignment="1" applyProtection="1">
      <alignment horizontal="center" vertical="center" wrapText="1" readingOrder="1"/>
      <protection locked="0"/>
    </xf>
    <xf numFmtId="0" fontId="67" fillId="2" borderId="48" xfId="0" applyFont="1" applyFill="1" applyBorder="1" applyAlignment="1" applyProtection="1">
      <alignment horizontal="center" vertical="center" wrapText="1" readingOrder="1"/>
      <protection locked="0"/>
    </xf>
    <xf numFmtId="0" fontId="67" fillId="2" borderId="4" xfId="0" applyFont="1" applyFill="1" applyBorder="1" applyAlignment="1" applyProtection="1">
      <alignment horizontal="center" vertical="center" readingOrder="1"/>
      <protection locked="0"/>
    </xf>
    <xf numFmtId="0" fontId="67" fillId="2" borderId="44" xfId="0" applyFont="1" applyFill="1" applyBorder="1" applyAlignment="1" applyProtection="1">
      <alignment horizontal="center" vertical="top" wrapText="1" readingOrder="1"/>
      <protection locked="0"/>
    </xf>
    <xf numFmtId="0" fontId="67" fillId="2" borderId="24" xfId="0" applyFont="1" applyFill="1" applyBorder="1" applyAlignment="1" applyProtection="1">
      <alignment horizontal="center" vertical="top" wrapText="1" readingOrder="1"/>
      <protection locked="0"/>
    </xf>
    <xf numFmtId="0" fontId="67" fillId="2" borderId="18" xfId="0" applyFont="1" applyFill="1" applyBorder="1" applyAlignment="1" applyProtection="1">
      <alignment horizontal="center" vertical="top" wrapText="1" readingOrder="1"/>
      <protection locked="0"/>
    </xf>
    <xf numFmtId="0" fontId="9" fillId="3" borderId="43" xfId="0" applyNumberFormat="1" applyFont="1" applyFill="1" applyBorder="1" applyAlignment="1" applyProtection="1">
      <alignment horizontal="center" vertical="center" wrapText="1"/>
    </xf>
    <xf numFmtId="0" fontId="9" fillId="3" borderId="15" xfId="0" applyNumberFormat="1" applyFont="1" applyFill="1" applyBorder="1" applyAlignment="1" applyProtection="1">
      <alignment horizontal="center" vertical="center" wrapText="1"/>
    </xf>
    <xf numFmtId="0" fontId="9" fillId="0" borderId="25" xfId="3" applyFont="1" applyBorder="1" applyAlignment="1">
      <alignment horizontal="left" vertical="center"/>
    </xf>
    <xf numFmtId="0" fontId="21" fillId="0" borderId="20" xfId="0" applyNumberFormat="1" applyFont="1" applyFill="1" applyBorder="1" applyAlignment="1" applyProtection="1">
      <alignment horizontal="center" vertical="center"/>
    </xf>
    <xf numFmtId="0" fontId="21" fillId="0" borderId="9" xfId="0" applyNumberFormat="1" applyFont="1" applyFill="1" applyBorder="1" applyAlignment="1" applyProtection="1">
      <alignment horizontal="center" vertical="center"/>
    </xf>
    <xf numFmtId="0" fontId="21" fillId="0" borderId="27" xfId="0" applyNumberFormat="1" applyFont="1" applyFill="1" applyBorder="1" applyAlignment="1" applyProtection="1">
      <alignment horizontal="center" vertical="center"/>
    </xf>
    <xf numFmtId="0" fontId="21" fillId="0" borderId="25" xfId="0" applyNumberFormat="1" applyFont="1" applyFill="1" applyBorder="1" applyAlignment="1" applyProtection="1">
      <alignment horizontal="center" vertical="center"/>
    </xf>
    <xf numFmtId="0" fontId="8" fillId="0" borderId="27" xfId="0" applyNumberFormat="1" applyFont="1" applyFill="1" applyBorder="1" applyAlignment="1" applyProtection="1">
      <alignment horizontal="center" vertical="top"/>
    </xf>
    <xf numFmtId="0" fontId="8" fillId="0" borderId="25" xfId="0" applyNumberFormat="1" applyFont="1" applyFill="1" applyBorder="1" applyAlignment="1" applyProtection="1">
      <alignment horizontal="center" vertical="top"/>
    </xf>
    <xf numFmtId="0" fontId="8" fillId="0" borderId="20" xfId="0" applyNumberFormat="1" applyFont="1" applyFill="1" applyBorder="1" applyAlignment="1" applyProtection="1">
      <alignment horizontal="center" vertical="top" wrapText="1"/>
    </xf>
    <xf numFmtId="0" fontId="8" fillId="0" borderId="9" xfId="0" applyNumberFormat="1" applyFont="1" applyFill="1" applyBorder="1" applyAlignment="1" applyProtection="1">
      <alignment horizontal="center" vertical="top" wrapText="1"/>
    </xf>
    <xf numFmtId="0" fontId="8" fillId="0" borderId="0" xfId="0" applyNumberFormat="1" applyFont="1" applyFill="1" applyBorder="1" applyAlignment="1" applyProtection="1">
      <alignment horizontal="center" vertical="top" wrapText="1"/>
    </xf>
    <xf numFmtId="0" fontId="9" fillId="3" borderId="2" xfId="0" applyNumberFormat="1" applyFont="1" applyFill="1" applyBorder="1" applyAlignment="1" applyProtection="1">
      <alignment horizontal="center" vertical="top" wrapText="1"/>
    </xf>
    <xf numFmtId="0" fontId="9" fillId="3" borderId="40" xfId="0" applyNumberFormat="1" applyFont="1" applyFill="1" applyBorder="1" applyAlignment="1" applyProtection="1">
      <alignment horizontal="center" vertical="top" wrapText="1"/>
    </xf>
    <xf numFmtId="0" fontId="9" fillId="3" borderId="45" xfId="0" applyNumberFormat="1" applyFont="1" applyFill="1" applyBorder="1" applyAlignment="1" applyProtection="1">
      <alignment horizontal="center" vertical="top" wrapText="1"/>
    </xf>
    <xf numFmtId="0" fontId="9" fillId="3" borderId="46" xfId="0" applyNumberFormat="1" applyFont="1" applyFill="1" applyBorder="1" applyAlignment="1" applyProtection="1">
      <alignment horizontal="center" vertical="top" wrapText="1"/>
    </xf>
    <xf numFmtId="0" fontId="9" fillId="3" borderId="17" xfId="0" applyNumberFormat="1" applyFont="1" applyFill="1" applyBorder="1" applyAlignment="1" applyProtection="1">
      <alignment horizontal="center" vertical="top" wrapText="1"/>
    </xf>
    <xf numFmtId="0" fontId="9" fillId="3" borderId="31" xfId="0" applyNumberFormat="1" applyFont="1" applyFill="1" applyBorder="1" applyAlignment="1" applyProtection="1">
      <alignment horizontal="center" vertical="top" wrapText="1"/>
    </xf>
    <xf numFmtId="0" fontId="9" fillId="3" borderId="8" xfId="0" applyNumberFormat="1" applyFont="1" applyFill="1" applyBorder="1" applyAlignment="1" applyProtection="1">
      <alignment horizontal="center" vertical="top" wrapText="1"/>
    </xf>
    <xf numFmtId="0" fontId="9" fillId="3" borderId="13" xfId="0" applyNumberFormat="1" applyFont="1" applyFill="1" applyBorder="1" applyAlignment="1" applyProtection="1">
      <alignment horizontal="center" vertical="top" wrapText="1"/>
    </xf>
    <xf numFmtId="0" fontId="9" fillId="3" borderId="6" xfId="0" applyNumberFormat="1" applyFont="1" applyFill="1" applyBorder="1" applyAlignment="1" applyProtection="1">
      <alignment horizontal="center" vertical="top" wrapText="1"/>
    </xf>
    <xf numFmtId="0" fontId="9" fillId="3" borderId="3" xfId="0" applyNumberFormat="1" applyFont="1" applyFill="1" applyBorder="1" applyAlignment="1" applyProtection="1">
      <alignment horizontal="center" vertical="top" wrapText="1"/>
    </xf>
    <xf numFmtId="0" fontId="9" fillId="3" borderId="0" xfId="0" applyNumberFormat="1" applyFont="1" applyFill="1" applyBorder="1" applyAlignment="1" applyProtection="1">
      <alignment horizontal="center" vertical="top" wrapText="1"/>
    </xf>
    <xf numFmtId="0" fontId="9" fillId="3" borderId="22" xfId="0" applyNumberFormat="1" applyFont="1" applyFill="1" applyBorder="1" applyAlignment="1" applyProtection="1">
      <alignment horizontal="center" vertical="top" wrapText="1"/>
    </xf>
    <xf numFmtId="0" fontId="9" fillId="3" borderId="23" xfId="0" applyNumberFormat="1" applyFont="1" applyFill="1" applyBorder="1" applyAlignment="1" applyProtection="1">
      <alignment horizontal="center" vertical="top" wrapText="1"/>
    </xf>
    <xf numFmtId="0" fontId="9" fillId="3" borderId="27" xfId="0" applyNumberFormat="1" applyFont="1" applyFill="1" applyBorder="1" applyAlignment="1" applyProtection="1">
      <alignment horizontal="center" vertical="top" wrapText="1"/>
    </xf>
    <xf numFmtId="0" fontId="9" fillId="3" borderId="25" xfId="0" applyNumberFormat="1" applyFont="1" applyFill="1" applyBorder="1" applyAlignment="1" applyProtection="1">
      <alignment horizontal="center" vertical="top" wrapText="1"/>
    </xf>
    <xf numFmtId="0" fontId="9" fillId="3" borderId="26" xfId="0" applyNumberFormat="1" applyFont="1" applyFill="1" applyBorder="1" applyAlignment="1" applyProtection="1">
      <alignment horizontal="center" vertical="top" wrapText="1"/>
    </xf>
    <xf numFmtId="0" fontId="68" fillId="0" borderId="44" xfId="0" applyFont="1" applyBorder="1" applyAlignment="1" applyProtection="1">
      <alignment horizontal="center" vertical="top" wrapText="1" readingOrder="1"/>
      <protection locked="0"/>
    </xf>
    <xf numFmtId="0" fontId="68" fillId="0" borderId="24" xfId="0" applyFont="1" applyBorder="1" applyAlignment="1" applyProtection="1">
      <alignment horizontal="center" vertical="top" wrapText="1" readingOrder="1"/>
      <protection locked="0"/>
    </xf>
    <xf numFmtId="0" fontId="68" fillId="0" borderId="36" xfId="0" applyFont="1" applyBorder="1" applyAlignment="1" applyProtection="1">
      <alignment horizontal="center" vertical="top" wrapText="1" readingOrder="1"/>
      <protection locked="0"/>
    </xf>
    <xf numFmtId="0" fontId="67" fillId="0" borderId="44" xfId="0" applyFont="1" applyBorder="1" applyAlignment="1" applyProtection="1">
      <alignment horizontal="center" vertical="top" wrapText="1" readingOrder="1"/>
      <protection locked="0"/>
    </xf>
    <xf numFmtId="0" fontId="67" fillId="0" borderId="24" xfId="0" applyFont="1" applyBorder="1" applyAlignment="1" applyProtection="1">
      <alignment horizontal="center" vertical="top" wrapText="1" readingOrder="1"/>
      <protection locked="0"/>
    </xf>
    <xf numFmtId="0" fontId="67" fillId="0" borderId="36" xfId="0" applyFont="1" applyBorder="1" applyAlignment="1" applyProtection="1">
      <alignment horizontal="center" vertical="top" wrapText="1" readingOrder="1"/>
      <protection locked="0"/>
    </xf>
    <xf numFmtId="0" fontId="67" fillId="0" borderId="51" xfId="0" applyFont="1" applyBorder="1" applyAlignment="1" applyProtection="1">
      <alignment horizontal="center" vertical="top" wrapText="1" readingOrder="1"/>
      <protection locked="0"/>
    </xf>
    <xf numFmtId="0" fontId="67" fillId="0" borderId="49" xfId="0" applyFont="1" applyBorder="1" applyAlignment="1" applyProtection="1">
      <alignment horizontal="center" vertical="top" wrapText="1" readingOrder="1"/>
      <protection locked="0"/>
    </xf>
    <xf numFmtId="0" fontId="67" fillId="0" borderId="37" xfId="0" applyFont="1" applyBorder="1" applyAlignment="1" applyProtection="1">
      <alignment horizontal="center" vertical="top" wrapText="1" readingOrder="1"/>
      <protection locked="0"/>
    </xf>
    <xf numFmtId="0" fontId="9" fillId="0" borderId="0" xfId="3" applyFont="1" applyBorder="1" applyAlignment="1">
      <alignment horizontal="left" vertical="center"/>
    </xf>
    <xf numFmtId="0" fontId="67" fillId="0" borderId="52" xfId="0" applyFont="1" applyBorder="1" applyAlignment="1" applyProtection="1">
      <alignment horizontal="center" vertical="top" wrapText="1" readingOrder="1"/>
      <protection locked="0"/>
    </xf>
    <xf numFmtId="0" fontId="67" fillId="0" borderId="53" xfId="0" applyFont="1" applyBorder="1" applyAlignment="1" applyProtection="1">
      <alignment horizontal="center" vertical="top" wrapText="1" readingOrder="1"/>
      <protection locked="0"/>
    </xf>
    <xf numFmtId="0" fontId="67" fillId="0" borderId="54" xfId="0" applyFont="1" applyBorder="1" applyAlignment="1" applyProtection="1">
      <alignment horizontal="center" vertical="top" wrapText="1" readingOrder="1"/>
      <protection locked="0"/>
    </xf>
    <xf numFmtId="0" fontId="2" fillId="0" borderId="4" xfId="0" applyFont="1" applyBorder="1" applyAlignment="1">
      <alignment horizontal="left" vertical="center"/>
    </xf>
    <xf numFmtId="1"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2" fillId="0" borderId="33" xfId="0" applyFont="1" applyBorder="1" applyAlignment="1">
      <alignment horizontal="center" vertical="center"/>
    </xf>
    <xf numFmtId="14" fontId="2" fillId="0" borderId="32" xfId="0" applyNumberFormat="1" applyFont="1" applyBorder="1" applyAlignment="1">
      <alignment horizontal="center" vertical="center"/>
    </xf>
    <xf numFmtId="0" fontId="2" fillId="0" borderId="32" xfId="0" applyFont="1" applyBorder="1" applyAlignment="1">
      <alignment horizontal="center" vertical="center"/>
    </xf>
    <xf numFmtId="0" fontId="2" fillId="0" borderId="34" xfId="0" applyFont="1" applyBorder="1" applyAlignment="1">
      <alignment horizontal="center" vertical="center"/>
    </xf>
    <xf numFmtId="0" fontId="2" fillId="0" borderId="3" xfId="0" applyFont="1" applyBorder="1" applyAlignment="1">
      <alignment horizontal="left" vertical="center" wrapText="1"/>
    </xf>
    <xf numFmtId="1"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left"/>
    </xf>
    <xf numFmtId="0" fontId="2" fillId="0" borderId="23" xfId="0" applyFont="1" applyBorder="1" applyAlignment="1">
      <alignment horizontal="left"/>
    </xf>
    <xf numFmtId="0" fontId="2" fillId="0" borderId="4" xfId="0" applyFont="1" applyBorder="1" applyAlignment="1">
      <alignment horizontal="left" vertical="center" wrapText="1"/>
    </xf>
    <xf numFmtId="0" fontId="22" fillId="0" borderId="9" xfId="0" applyFont="1" applyBorder="1" applyAlignment="1">
      <alignment horizontal="center"/>
    </xf>
    <xf numFmtId="0" fontId="0" fillId="0" borderId="9" xfId="0" applyBorder="1" applyAlignment="1">
      <alignment horizontal="center"/>
    </xf>
    <xf numFmtId="0" fontId="0" fillId="0" borderId="21" xfId="0" applyBorder="1" applyAlignment="1">
      <alignment horizontal="center"/>
    </xf>
    <xf numFmtId="0" fontId="23" fillId="0" borderId="0" xfId="0" applyFont="1" applyAlignment="1">
      <alignment horizontal="center"/>
    </xf>
    <xf numFmtId="0" fontId="23" fillId="0" borderId="23" xfId="0" applyFont="1" applyBorder="1" applyAlignment="1">
      <alignment horizontal="center"/>
    </xf>
    <xf numFmtId="0" fontId="5" fillId="0" borderId="25" xfId="0" applyFont="1" applyBorder="1" applyAlignment="1">
      <alignment horizontal="center"/>
    </xf>
    <xf numFmtId="0" fontId="5" fillId="0" borderId="26" xfId="0" applyFont="1" applyBorder="1" applyAlignment="1">
      <alignment horizontal="center"/>
    </xf>
    <xf numFmtId="0" fontId="2" fillId="0" borderId="0" xfId="0" applyFont="1" applyAlignment="1">
      <alignment horizontal="left" vertical="top"/>
    </xf>
    <xf numFmtId="0" fontId="2" fillId="0" borderId="0" xfId="0" applyFont="1" applyAlignment="1">
      <alignment horizontal="left" vertical="center" wrapText="1"/>
    </xf>
    <xf numFmtId="0" fontId="2" fillId="0" borderId="23" xfId="0" applyFont="1" applyBorder="1" applyAlignment="1">
      <alignment horizontal="left" vertical="center" wrapText="1"/>
    </xf>
    <xf numFmtId="17" fontId="2" fillId="0" borderId="4" xfId="0" applyNumberFormat="1" applyFont="1" applyBorder="1" applyAlignment="1">
      <alignment horizontal="center" vertical="center"/>
    </xf>
    <xf numFmtId="0" fontId="2" fillId="0" borderId="2" xfId="0" applyFont="1" applyBorder="1" applyAlignment="1">
      <alignment horizontal="left" vertical="center" wrapText="1"/>
    </xf>
    <xf numFmtId="0" fontId="2" fillId="0" borderId="40" xfId="0" applyFont="1" applyBorder="1" applyAlignment="1">
      <alignment horizontal="left" vertical="center"/>
    </xf>
    <xf numFmtId="0" fontId="2" fillId="0" borderId="48" xfId="0" applyFont="1" applyBorder="1" applyAlignment="1">
      <alignment horizontal="left" vertical="center"/>
    </xf>
    <xf numFmtId="17" fontId="2" fillId="0" borderId="48" xfId="0" applyNumberFormat="1" applyFont="1" applyBorder="1" applyAlignment="1">
      <alignment horizontal="center" vertical="center"/>
    </xf>
    <xf numFmtId="0" fontId="2" fillId="0" borderId="48" xfId="0" applyFont="1" applyBorder="1" applyAlignment="1">
      <alignment horizontal="center" vertical="center"/>
    </xf>
    <xf numFmtId="1" fontId="2" fillId="0" borderId="48" xfId="0" applyNumberFormat="1" applyFont="1" applyBorder="1" applyAlignment="1">
      <alignment horizontal="center" vertical="center"/>
    </xf>
    <xf numFmtId="14" fontId="2" fillId="0" borderId="50" xfId="0" applyNumberFormat="1" applyFont="1" applyBorder="1" applyAlignment="1">
      <alignment horizontal="center" vertical="center"/>
    </xf>
    <xf numFmtId="0" fontId="2" fillId="0" borderId="50" xfId="0" applyFont="1" applyBorder="1" applyAlignment="1">
      <alignment horizontal="center" vertical="center"/>
    </xf>
    <xf numFmtId="0" fontId="22" fillId="0" borderId="20" xfId="0" applyFont="1" applyBorder="1" applyAlignment="1">
      <alignment horizontal="center"/>
    </xf>
    <xf numFmtId="0" fontId="23" fillId="0" borderId="22" xfId="0" applyFont="1" applyBorder="1" applyAlignment="1">
      <alignment horizontal="center"/>
    </xf>
    <xf numFmtId="0" fontId="23" fillId="0" borderId="0" xfId="0" applyFont="1" applyBorder="1" applyAlignment="1">
      <alignment horizontal="center"/>
    </xf>
    <xf numFmtId="0" fontId="2" fillId="0" borderId="44" xfId="0" applyFont="1" applyBorder="1" applyAlignment="1">
      <alignment horizontal="center" vertical="center"/>
    </xf>
    <xf numFmtId="0" fontId="2" fillId="0" borderId="24" xfId="0" applyFont="1" applyBorder="1" applyAlignment="1">
      <alignment horizontal="center" vertical="center"/>
    </xf>
    <xf numFmtId="0" fontId="2" fillId="0" borderId="18" xfId="0" applyFont="1" applyBorder="1" applyAlignment="1">
      <alignment horizontal="center" vertical="center"/>
    </xf>
    <xf numFmtId="1" fontId="52" fillId="0" borderId="16" xfId="0" applyNumberFormat="1" applyFont="1" applyBorder="1" applyAlignment="1">
      <alignment horizontal="center" vertical="center"/>
    </xf>
    <xf numFmtId="1" fontId="52" fillId="0" borderId="24" xfId="0" applyNumberFormat="1" applyFont="1" applyBorder="1" applyAlignment="1">
      <alignment horizontal="center" vertical="center"/>
    </xf>
    <xf numFmtId="1" fontId="52" fillId="0" borderId="36" xfId="0" applyNumberFormat="1" applyFont="1" applyBorder="1" applyAlignment="1">
      <alignment horizontal="center" vertical="center"/>
    </xf>
    <xf numFmtId="0" fontId="2" fillId="0" borderId="40" xfId="0" applyFont="1" applyBorder="1" applyAlignment="1">
      <alignment horizontal="left" vertical="center" wrapText="1"/>
    </xf>
    <xf numFmtId="0" fontId="2" fillId="0" borderId="48" xfId="0" applyFont="1" applyBorder="1" applyAlignment="1">
      <alignment horizontal="left" vertical="center" wrapText="1"/>
    </xf>
    <xf numFmtId="0" fontId="5" fillId="0" borderId="27" xfId="0" applyFont="1" applyBorder="1" applyAlignment="1">
      <alignment horizontal="center"/>
    </xf>
    <xf numFmtId="0" fontId="2" fillId="0" borderId="22" xfId="0" applyFont="1" applyBorder="1"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22" xfId="0" applyFont="1" applyBorder="1" applyAlignment="1">
      <alignment horizontal="left"/>
    </xf>
    <xf numFmtId="0" fontId="2" fillId="0" borderId="0" xfId="0" applyFont="1" applyBorder="1" applyAlignment="1">
      <alignment horizontal="left"/>
    </xf>
    <xf numFmtId="0" fontId="8" fillId="0" borderId="22" xfId="0" applyFont="1" applyBorder="1" applyAlignment="1">
      <alignment horizontal="left"/>
    </xf>
    <xf numFmtId="0" fontId="8" fillId="0" borderId="0" xfId="0" applyFont="1" applyAlignment="1">
      <alignment horizontal="left"/>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8" fillId="0" borderId="22" xfId="0" applyFont="1" applyBorder="1" applyAlignment="1">
      <alignment horizontal="left" vertical="center" wrapText="1"/>
    </xf>
    <xf numFmtId="0" fontId="8" fillId="0" borderId="0" xfId="0" applyFont="1" applyAlignment="1">
      <alignment horizontal="left" vertical="center" wrapText="1"/>
    </xf>
    <xf numFmtId="0" fontId="0" fillId="0" borderId="25" xfId="0" applyBorder="1" applyAlignment="1">
      <alignment horizontal="center"/>
    </xf>
    <xf numFmtId="0" fontId="0" fillId="0" borderId="26" xfId="0" applyBorder="1" applyAlignment="1">
      <alignment horizontal="center"/>
    </xf>
    <xf numFmtId="0" fontId="15" fillId="0" borderId="20" xfId="0" applyFont="1" applyBorder="1" applyAlignment="1">
      <alignment horizontal="center"/>
    </xf>
    <xf numFmtId="0" fontId="15" fillId="0" borderId="9" xfId="0" applyFont="1" applyBorder="1" applyAlignment="1">
      <alignment horizontal="center"/>
    </xf>
    <xf numFmtId="0" fontId="15" fillId="0" borderId="21" xfId="0" applyFont="1" applyBorder="1" applyAlignment="1">
      <alignment horizontal="center"/>
    </xf>
    <xf numFmtId="0" fontId="30" fillId="0" borderId="32" xfId="0" applyFont="1" applyBorder="1" applyAlignment="1">
      <alignment horizontal="center" wrapText="1"/>
    </xf>
    <xf numFmtId="0" fontId="30" fillId="0" borderId="3" xfId="0" applyFont="1" applyBorder="1" applyAlignment="1">
      <alignment horizontal="center" wrapText="1"/>
    </xf>
    <xf numFmtId="0" fontId="25" fillId="0" borderId="0" xfId="0" applyFont="1" applyAlignment="1">
      <alignment horizontal="center"/>
    </xf>
    <xf numFmtId="0" fontId="26" fillId="0" borderId="0" xfId="0" applyFont="1" applyAlignment="1">
      <alignment horizontal="center"/>
    </xf>
    <xf numFmtId="0" fontId="29" fillId="0" borderId="32"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4" xfId="0" applyFont="1" applyBorder="1" applyAlignment="1">
      <alignment horizontal="center" vertical="center" wrapText="1"/>
    </xf>
    <xf numFmtId="0" fontId="29" fillId="0" borderId="4" xfId="0" applyFont="1" applyBorder="1" applyAlignment="1">
      <alignment horizontal="center" wrapText="1"/>
    </xf>
    <xf numFmtId="0" fontId="29" fillId="0" borderId="32" xfId="0" applyFont="1" applyBorder="1" applyAlignment="1">
      <alignment horizontal="center" wrapText="1"/>
    </xf>
    <xf numFmtId="0" fontId="29" fillId="0" borderId="3" xfId="0" applyFont="1" applyBorder="1" applyAlignment="1">
      <alignment horizontal="center" wrapText="1"/>
    </xf>
    <xf numFmtId="0" fontId="30" fillId="0" borderId="4" xfId="0" applyFont="1" applyBorder="1" applyAlignment="1">
      <alignment horizontal="center"/>
    </xf>
    <xf numFmtId="0" fontId="30" fillId="0" borderId="4" xfId="0" applyFont="1" applyBorder="1" applyAlignment="1">
      <alignment horizontal="center" wrapText="1"/>
    </xf>
    <xf numFmtId="0" fontId="0" fillId="0" borderId="4" xfId="0" applyBorder="1" applyAlignment="1">
      <alignment horizontal="center"/>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38" xfId="0" applyBorder="1" applyAlignment="1">
      <alignment horizontal="center" vertical="center" wrapText="1"/>
    </xf>
    <xf numFmtId="0" fontId="0" fillId="0" borderId="33" xfId="0" applyBorder="1" applyAlignment="1">
      <alignment horizontal="center" vertical="center" wrapText="1"/>
    </xf>
    <xf numFmtId="0" fontId="61" fillId="0" borderId="4" xfId="0" applyFont="1" applyBorder="1" applyAlignment="1">
      <alignment horizontal="center"/>
    </xf>
    <xf numFmtId="0" fontId="9" fillId="0" borderId="0" xfId="0" applyFont="1" applyAlignment="1">
      <alignment horizontal="left"/>
    </xf>
    <xf numFmtId="0" fontId="0" fillId="0" borderId="41" xfId="0" applyBorder="1" applyAlignment="1">
      <alignment horizontal="center" vertical="center" wrapText="1"/>
    </xf>
    <xf numFmtId="0" fontId="0" fillId="0" borderId="40"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21" fillId="0" borderId="0" xfId="0" applyFont="1" applyAlignment="1">
      <alignment horizontal="center"/>
    </xf>
    <xf numFmtId="0" fontId="9" fillId="3" borderId="48" xfId="0" applyFont="1" applyFill="1" applyBorder="1" applyAlignment="1">
      <alignment horizontal="left" vertical="top" wrapText="1"/>
    </xf>
    <xf numFmtId="0" fontId="9" fillId="3" borderId="48" xfId="0" applyFont="1" applyFill="1" applyBorder="1" applyAlignment="1">
      <alignment horizontal="center" vertical="top" wrapText="1"/>
    </xf>
    <xf numFmtId="0" fontId="15" fillId="0" borderId="41" xfId="0" applyFont="1" applyBorder="1" applyAlignment="1">
      <alignment horizontal="center" vertical="center"/>
    </xf>
    <xf numFmtId="0" fontId="15" fillId="0" borderId="7" xfId="0" applyFont="1" applyBorder="1" applyAlignment="1">
      <alignment horizontal="center" vertical="center"/>
    </xf>
    <xf numFmtId="0" fontId="15" fillId="0" borderId="38" xfId="0" applyFont="1" applyBorder="1" applyAlignment="1">
      <alignment horizontal="center" vertical="center"/>
    </xf>
    <xf numFmtId="0" fontId="15" fillId="0" borderId="40" xfId="0" applyFont="1" applyBorder="1" applyAlignment="1">
      <alignment horizontal="center" vertical="center"/>
    </xf>
    <xf numFmtId="0" fontId="15" fillId="0" borderId="48" xfId="0" applyFont="1" applyBorder="1" applyAlignment="1">
      <alignment horizontal="center" vertical="center"/>
    </xf>
    <xf numFmtId="0" fontId="15" fillId="0" borderId="33" xfId="0" applyFont="1" applyBorder="1" applyAlignment="1">
      <alignment horizontal="center" vertical="center"/>
    </xf>
    <xf numFmtId="0" fontId="8" fillId="0" borderId="40" xfId="0" applyFont="1" applyBorder="1" applyAlignment="1">
      <alignment horizontal="center" vertical="top"/>
    </xf>
    <xf numFmtId="0" fontId="8" fillId="0" borderId="48" xfId="0" applyFont="1" applyBorder="1" applyAlignment="1">
      <alignment horizontal="center" vertical="top"/>
    </xf>
    <xf numFmtId="0" fontId="8" fillId="0" borderId="33" xfId="0" applyFont="1" applyBorder="1" applyAlignment="1">
      <alignment horizontal="center" vertical="top"/>
    </xf>
    <xf numFmtId="0" fontId="9" fillId="3" borderId="40" xfId="0" applyFont="1" applyFill="1" applyBorder="1" applyAlignment="1">
      <alignment horizontal="center" vertical="top" wrapText="1"/>
    </xf>
    <xf numFmtId="0" fontId="19" fillId="0" borderId="41" xfId="0" applyFont="1" applyBorder="1" applyAlignment="1">
      <alignment horizontal="center" vertical="center"/>
    </xf>
    <xf numFmtId="0" fontId="19" fillId="0" borderId="7" xfId="0" applyFont="1" applyBorder="1" applyAlignment="1">
      <alignment horizontal="center" vertical="center"/>
    </xf>
    <xf numFmtId="0" fontId="19" fillId="0" borderId="38" xfId="0" applyFont="1" applyBorder="1" applyAlignment="1">
      <alignment horizontal="center" vertical="center"/>
    </xf>
    <xf numFmtId="0" fontId="19" fillId="0" borderId="40" xfId="0" applyFont="1" applyBorder="1" applyAlignment="1">
      <alignment horizontal="center" vertical="center"/>
    </xf>
    <xf numFmtId="0" fontId="19" fillId="0" borderId="48" xfId="0" applyFont="1" applyBorder="1" applyAlignment="1">
      <alignment horizontal="center" vertical="center"/>
    </xf>
    <xf numFmtId="0" fontId="19" fillId="0" borderId="33" xfId="0" applyFont="1" applyBorder="1" applyAlignment="1">
      <alignment horizontal="center" vertical="center"/>
    </xf>
    <xf numFmtId="0" fontId="9" fillId="3" borderId="14" xfId="0" applyFont="1" applyFill="1" applyBorder="1" applyAlignment="1">
      <alignment horizontal="center" vertical="top" wrapText="1"/>
    </xf>
    <xf numFmtId="0" fontId="9" fillId="3" borderId="15" xfId="0" applyFont="1" applyFill="1" applyBorder="1" applyAlignment="1">
      <alignment horizontal="center" vertical="top" wrapText="1"/>
    </xf>
    <xf numFmtId="0" fontId="9" fillId="3" borderId="14" xfId="0" applyFont="1" applyFill="1" applyBorder="1" applyAlignment="1">
      <alignment horizontal="left" vertical="top" wrapText="1"/>
    </xf>
    <xf numFmtId="0" fontId="9" fillId="3" borderId="15" xfId="0" applyFont="1" applyFill="1" applyBorder="1" applyAlignment="1">
      <alignment horizontal="left" vertical="top" wrapText="1"/>
    </xf>
    <xf numFmtId="0" fontId="8" fillId="0" borderId="10" xfId="0" applyFont="1" applyBorder="1" applyAlignment="1">
      <alignment horizontal="right" vertical="top"/>
    </xf>
    <xf numFmtId="0" fontId="8" fillId="0" borderId="11" xfId="0" applyFont="1" applyBorder="1" applyAlignment="1">
      <alignment horizontal="right" vertical="top"/>
    </xf>
    <xf numFmtId="0" fontId="8" fillId="0" borderId="12" xfId="0" applyFont="1" applyBorder="1" applyAlignment="1">
      <alignment horizontal="right" vertical="top"/>
    </xf>
    <xf numFmtId="0" fontId="8" fillId="0" borderId="48" xfId="0" applyFont="1" applyBorder="1" applyAlignment="1">
      <alignment horizontal="right" vertical="top"/>
    </xf>
    <xf numFmtId="0" fontId="9" fillId="0" borderId="16" xfId="0" applyFont="1" applyBorder="1" applyAlignment="1">
      <alignment horizontal="right" vertical="top"/>
    </xf>
    <xf numFmtId="0" fontId="9" fillId="0" borderId="24" xfId="0" applyFont="1" applyBorder="1" applyAlignment="1">
      <alignment horizontal="right" vertical="top"/>
    </xf>
    <xf numFmtId="0" fontId="9" fillId="0" borderId="18" xfId="0" applyFont="1" applyBorder="1" applyAlignment="1">
      <alignment horizontal="right" vertical="top"/>
    </xf>
    <xf numFmtId="0" fontId="9" fillId="0" borderId="48" xfId="0" applyFont="1" applyBorder="1" applyAlignment="1">
      <alignment horizontal="right" vertical="top"/>
    </xf>
    <xf numFmtId="0" fontId="8" fillId="0" borderId="50" xfId="0" applyFont="1" applyBorder="1" applyAlignment="1">
      <alignment horizontal="center" vertical="top"/>
    </xf>
    <xf numFmtId="0" fontId="8" fillId="0" borderId="34" xfId="0" applyFont="1" applyBorder="1" applyAlignment="1">
      <alignment horizontal="center" vertical="top"/>
    </xf>
    <xf numFmtId="0" fontId="9" fillId="3" borderId="3" xfId="0" applyFont="1" applyFill="1" applyBorder="1" applyAlignment="1">
      <alignment horizontal="left" vertical="top" wrapText="1"/>
    </xf>
    <xf numFmtId="0" fontId="9" fillId="3" borderId="3" xfId="0" applyFont="1" applyFill="1" applyBorder="1" applyAlignment="1">
      <alignment horizontal="center" vertical="top" wrapText="1"/>
    </xf>
    <xf numFmtId="0" fontId="9" fillId="3" borderId="56" xfId="0" applyFont="1" applyFill="1" applyBorder="1" applyAlignment="1">
      <alignment horizontal="center" vertical="top" wrapText="1"/>
    </xf>
    <xf numFmtId="0" fontId="9" fillId="3" borderId="5" xfId="0" applyFont="1" applyFill="1" applyBorder="1" applyAlignment="1">
      <alignment horizontal="center" vertical="top" wrapText="1"/>
    </xf>
    <xf numFmtId="0" fontId="8" fillId="0" borderId="16" xfId="0" applyFont="1" applyBorder="1" applyAlignment="1">
      <alignment horizontal="right" vertical="top"/>
    </xf>
    <xf numFmtId="0" fontId="8" fillId="0" borderId="24" xfId="0" applyFont="1" applyBorder="1" applyAlignment="1">
      <alignment horizontal="right" vertical="top"/>
    </xf>
    <xf numFmtId="0" fontId="8" fillId="0" borderId="18" xfId="0" applyFont="1" applyBorder="1" applyAlignment="1">
      <alignment horizontal="right" vertical="top"/>
    </xf>
    <xf numFmtId="0" fontId="9" fillId="3" borderId="16" xfId="0" applyFont="1" applyFill="1" applyBorder="1" applyAlignment="1">
      <alignment horizontal="center" vertical="top" wrapText="1"/>
    </xf>
    <xf numFmtId="0" fontId="9" fillId="3" borderId="18" xfId="0" applyFont="1" applyFill="1" applyBorder="1" applyAlignment="1">
      <alignment horizontal="left" vertical="top" wrapText="1"/>
    </xf>
    <xf numFmtId="0" fontId="9" fillId="3" borderId="34" xfId="0" applyFont="1" applyFill="1" applyBorder="1" applyAlignment="1">
      <alignment horizontal="center" vertical="top" wrapText="1"/>
    </xf>
    <xf numFmtId="0" fontId="15" fillId="0" borderId="20" xfId="0" applyNumberFormat="1" applyFont="1" applyFill="1" applyBorder="1" applyAlignment="1" applyProtection="1">
      <alignment horizontal="center" vertical="center"/>
    </xf>
    <xf numFmtId="0" fontId="15" fillId="0" borderId="9" xfId="0" applyNumberFormat="1" applyFont="1" applyFill="1" applyBorder="1" applyAlignment="1" applyProtection="1">
      <alignment horizontal="center" vertical="center"/>
    </xf>
    <xf numFmtId="0" fontId="15" fillId="0" borderId="21" xfId="0" applyNumberFormat="1" applyFont="1" applyFill="1" applyBorder="1" applyAlignment="1" applyProtection="1">
      <alignment horizontal="center" vertical="center"/>
    </xf>
    <xf numFmtId="0" fontId="15" fillId="0" borderId="55" xfId="0" applyNumberFormat="1" applyFont="1" applyFill="1" applyBorder="1" applyAlignment="1" applyProtection="1">
      <alignment horizontal="center" vertical="center"/>
    </xf>
    <xf numFmtId="0" fontId="15" fillId="0" borderId="19" xfId="0" applyNumberFormat="1" applyFont="1" applyFill="1" applyBorder="1" applyAlignment="1" applyProtection="1">
      <alignment horizontal="center" vertical="center"/>
    </xf>
    <xf numFmtId="0" fontId="15" fillId="0" borderId="35" xfId="0" applyNumberFormat="1" applyFont="1" applyFill="1" applyBorder="1" applyAlignment="1" applyProtection="1">
      <alignment horizontal="center" vertical="center"/>
    </xf>
    <xf numFmtId="0" fontId="9" fillId="0" borderId="40" xfId="0" applyNumberFormat="1" applyFont="1" applyFill="1" applyBorder="1" applyAlignment="1" applyProtection="1">
      <alignment horizontal="center" vertical="top"/>
    </xf>
    <xf numFmtId="0" fontId="9" fillId="0" borderId="48" xfId="0" applyNumberFormat="1" applyFont="1" applyFill="1" applyBorder="1" applyAlignment="1" applyProtection="1">
      <alignment horizontal="center" vertical="top"/>
    </xf>
    <xf numFmtId="0" fontId="9" fillId="0" borderId="33" xfId="0" applyNumberFormat="1" applyFont="1" applyFill="1" applyBorder="1" applyAlignment="1" applyProtection="1">
      <alignment horizontal="center" vertical="top"/>
    </xf>
    <xf numFmtId="0" fontId="8" fillId="0" borderId="40" xfId="0" applyNumberFormat="1" applyFont="1" applyFill="1" applyBorder="1" applyAlignment="1" applyProtection="1">
      <alignment horizontal="left" vertical="top"/>
    </xf>
    <xf numFmtId="0" fontId="8" fillId="0" borderId="48" xfId="0" applyNumberFormat="1" applyFont="1" applyFill="1" applyBorder="1" applyAlignment="1" applyProtection="1">
      <alignment horizontal="left" vertical="top"/>
    </xf>
    <xf numFmtId="0" fontId="8" fillId="0" borderId="50" xfId="0" applyNumberFormat="1" applyFont="1" applyFill="1" applyBorder="1" applyAlignment="1" applyProtection="1">
      <alignment horizontal="left" vertical="top"/>
    </xf>
    <xf numFmtId="0" fontId="9" fillId="3" borderId="39" xfId="0" applyNumberFormat="1" applyFont="1" applyFill="1" applyBorder="1" applyAlignment="1" applyProtection="1">
      <alignment horizontal="center" vertical="center" textRotation="90"/>
    </xf>
    <xf numFmtId="0" fontId="9" fillId="3" borderId="57" xfId="0" applyNumberFormat="1" applyFont="1" applyFill="1" applyBorder="1" applyAlignment="1" applyProtection="1">
      <alignment horizontal="center" vertical="center" textRotation="90"/>
    </xf>
    <xf numFmtId="0" fontId="9" fillId="3" borderId="2" xfId="0" applyNumberFormat="1" applyFont="1" applyFill="1" applyBorder="1" applyAlignment="1" applyProtection="1">
      <alignment horizontal="center" vertical="center" textRotation="90"/>
    </xf>
    <xf numFmtId="0" fontId="9" fillId="3" borderId="50" xfId="0" applyNumberFormat="1" applyFont="1" applyFill="1" applyBorder="1" applyAlignment="1" applyProtection="1">
      <alignment horizontal="center" vertical="center" textRotation="90" wrapText="1"/>
    </xf>
    <xf numFmtId="0" fontId="9" fillId="3" borderId="6" xfId="0" applyNumberFormat="1" applyFont="1" applyFill="1" applyBorder="1" applyAlignment="1" applyProtection="1">
      <alignment horizontal="center" vertical="center" textRotation="90" wrapText="1"/>
    </xf>
    <xf numFmtId="0" fontId="9" fillId="3" borderId="3" xfId="0" applyNumberFormat="1" applyFont="1" applyFill="1" applyBorder="1" applyAlignment="1" applyProtection="1">
      <alignment horizontal="center" vertical="center" textRotation="90" wrapText="1"/>
    </xf>
    <xf numFmtId="0" fontId="9" fillId="3" borderId="50" xfId="0" applyNumberFormat="1" applyFont="1" applyFill="1" applyBorder="1" applyAlignment="1" applyProtection="1">
      <alignment horizontal="center" vertical="top" textRotation="90" wrapText="1"/>
    </xf>
    <xf numFmtId="0" fontId="9" fillId="3" borderId="6" xfId="0" applyNumberFormat="1" applyFont="1" applyFill="1" applyBorder="1" applyAlignment="1" applyProtection="1">
      <alignment horizontal="center" vertical="top" textRotation="90" wrapText="1"/>
    </xf>
    <xf numFmtId="0" fontId="9" fillId="3" borderId="3" xfId="0" applyNumberFormat="1" applyFont="1" applyFill="1" applyBorder="1" applyAlignment="1" applyProtection="1">
      <alignment horizontal="center" vertical="top" textRotation="90" wrapText="1"/>
    </xf>
    <xf numFmtId="0" fontId="9" fillId="3" borderId="34" xfId="0" applyNumberFormat="1" applyFont="1" applyFill="1" applyBorder="1" applyAlignment="1" applyProtection="1">
      <alignment horizontal="center" vertical="top" textRotation="90" wrapText="1"/>
    </xf>
    <xf numFmtId="0" fontId="9" fillId="3" borderId="5" xfId="0" applyNumberFormat="1" applyFont="1" applyFill="1" applyBorder="1" applyAlignment="1" applyProtection="1">
      <alignment horizontal="center" vertical="top" textRotation="90" wrapText="1"/>
    </xf>
    <xf numFmtId="0" fontId="9" fillId="3" borderId="45" xfId="0" applyNumberFormat="1" applyFont="1" applyFill="1" applyBorder="1" applyAlignment="1" applyProtection="1">
      <alignment horizontal="center" vertical="center" wrapText="1"/>
    </xf>
    <xf numFmtId="0" fontId="9" fillId="3" borderId="49" xfId="0" applyNumberFormat="1" applyFont="1" applyFill="1" applyBorder="1" applyAlignment="1" applyProtection="1">
      <alignment horizontal="center" vertical="center" wrapText="1"/>
    </xf>
    <xf numFmtId="0" fontId="9" fillId="3" borderId="8" xfId="0" applyNumberFormat="1" applyFont="1" applyFill="1" applyBorder="1" applyAlignment="1" applyProtection="1">
      <alignment horizontal="center" vertical="center" wrapText="1"/>
    </xf>
    <xf numFmtId="0" fontId="9" fillId="3" borderId="19" xfId="0" applyNumberFormat="1" applyFont="1" applyFill="1" applyBorder="1" applyAlignment="1" applyProtection="1">
      <alignment horizontal="center" vertical="center" wrapText="1"/>
    </xf>
    <xf numFmtId="0" fontId="9" fillId="3" borderId="18" xfId="0" applyNumberFormat="1" applyFont="1" applyFill="1" applyBorder="1" applyAlignment="1" applyProtection="1">
      <alignment horizontal="left" vertical="top" textRotation="90" wrapText="1"/>
    </xf>
    <xf numFmtId="0" fontId="9" fillId="3" borderId="48" xfId="0" applyNumberFormat="1" applyFont="1" applyFill="1" applyBorder="1" applyAlignment="1" applyProtection="1">
      <alignment horizontal="left" vertical="top" textRotation="90"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7"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xf>
    <xf numFmtId="0" fontId="22" fillId="0" borderId="0" xfId="0" applyFont="1" applyAlignment="1">
      <alignment horizontal="center"/>
    </xf>
    <xf numFmtId="1" fontId="2" fillId="0" borderId="16" xfId="0" applyNumberFormat="1" applyFont="1" applyBorder="1" applyAlignment="1">
      <alignment horizontal="center" vertical="center"/>
    </xf>
    <xf numFmtId="0" fontId="2" fillId="0" borderId="36" xfId="0" applyFont="1" applyBorder="1" applyAlignment="1">
      <alignment horizontal="center" vertical="center"/>
    </xf>
    <xf numFmtId="1" fontId="2" fillId="0" borderId="16" xfId="0" applyNumberFormat="1" applyFont="1" applyBorder="1" applyAlignment="1">
      <alignment horizontal="center" vertical="center" wrapText="1"/>
    </xf>
    <xf numFmtId="1" fontId="2" fillId="0" borderId="18" xfId="0" applyNumberFormat="1" applyFont="1" applyBorder="1" applyAlignment="1">
      <alignment horizontal="center" vertical="center" wrapText="1"/>
    </xf>
    <xf numFmtId="1" fontId="2" fillId="0" borderId="36" xfId="0" applyNumberFormat="1" applyFont="1" applyBorder="1" applyAlignment="1">
      <alignment horizontal="center" vertical="center" wrapText="1"/>
    </xf>
    <xf numFmtId="0" fontId="0" fillId="0" borderId="16" xfId="0" applyBorder="1" applyAlignment="1">
      <alignment horizontal="center"/>
    </xf>
    <xf numFmtId="0" fontId="0" fillId="0" borderId="36" xfId="0" applyBorder="1" applyAlignment="1">
      <alignment horizontal="center"/>
    </xf>
    <xf numFmtId="1" fontId="2" fillId="0" borderId="16" xfId="0" applyNumberFormat="1" applyFont="1" applyBorder="1" applyAlignment="1">
      <alignment horizontal="center"/>
    </xf>
    <xf numFmtId="1" fontId="2" fillId="0" borderId="24" xfId="0" applyNumberFormat="1" applyFont="1" applyBorder="1" applyAlignment="1">
      <alignment horizontal="center"/>
    </xf>
    <xf numFmtId="1" fontId="2" fillId="0" borderId="36" xfId="0" applyNumberFormat="1" applyFont="1" applyBorder="1" applyAlignment="1">
      <alignment horizontal="center"/>
    </xf>
    <xf numFmtId="14" fontId="2" fillId="0" borderId="4" xfId="0" applyNumberFormat="1" applyFont="1" applyBorder="1" applyAlignment="1">
      <alignment horizontal="center" vertical="center"/>
    </xf>
    <xf numFmtId="0" fontId="0" fillId="0" borderId="18" xfId="0" applyBorder="1" applyAlignment="1">
      <alignment horizontal="center"/>
    </xf>
    <xf numFmtId="0" fontId="0" fillId="0" borderId="24" xfId="0" applyBorder="1" applyAlignment="1">
      <alignment horizontal="center"/>
    </xf>
    <xf numFmtId="1" fontId="2" fillId="0" borderId="24" xfId="0" applyNumberFormat="1" applyFont="1" applyBorder="1" applyAlignment="1">
      <alignment horizontal="center" vertical="center" wrapText="1"/>
    </xf>
    <xf numFmtId="0" fontId="2" fillId="0" borderId="16" xfId="0" applyFont="1" applyBorder="1" applyAlignment="1">
      <alignment horizontal="center" vertical="center"/>
    </xf>
    <xf numFmtId="0" fontId="2" fillId="0" borderId="16" xfId="0" applyFont="1" applyBorder="1" applyAlignment="1">
      <alignment horizontal="center"/>
    </xf>
    <xf numFmtId="0" fontId="2" fillId="0" borderId="24" xfId="0" applyFont="1" applyBorder="1" applyAlignment="1">
      <alignment horizontal="center"/>
    </xf>
    <xf numFmtId="0" fontId="2" fillId="0" borderId="36" xfId="0" applyFont="1" applyBorder="1" applyAlignment="1">
      <alignment horizontal="center"/>
    </xf>
    <xf numFmtId="1" fontId="2" fillId="0" borderId="24" xfId="0" applyNumberFormat="1" applyFont="1" applyBorder="1" applyAlignment="1">
      <alignment horizontal="left" vertical="center" wrapText="1"/>
    </xf>
    <xf numFmtId="1" fontId="2" fillId="0" borderId="36" xfId="0" applyNumberFormat="1" applyFont="1" applyBorder="1" applyAlignment="1">
      <alignment horizontal="left" vertical="center" wrapText="1"/>
    </xf>
    <xf numFmtId="0" fontId="44" fillId="0" borderId="0" xfId="0" applyFont="1" applyAlignment="1">
      <alignment horizontal="center"/>
    </xf>
    <xf numFmtId="0" fontId="44" fillId="0" borderId="23" xfId="0" applyFont="1" applyBorder="1" applyAlignment="1">
      <alignment horizontal="center"/>
    </xf>
    <xf numFmtId="0" fontId="5" fillId="0" borderId="23" xfId="0" applyFont="1" applyBorder="1" applyAlignment="1">
      <alignment horizontal="center"/>
    </xf>
    <xf numFmtId="0" fontId="45" fillId="2" borderId="16" xfId="0" applyFont="1" applyFill="1" applyBorder="1" applyAlignment="1">
      <alignment horizontal="center" vertical="center"/>
    </xf>
    <xf numFmtId="0" fontId="45" fillId="2" borderId="24" xfId="0" applyFont="1" applyFill="1" applyBorder="1" applyAlignment="1">
      <alignment horizontal="center" vertical="center"/>
    </xf>
    <xf numFmtId="0" fontId="45" fillId="2" borderId="36" xfId="0" applyFont="1" applyFill="1" applyBorder="1" applyAlignment="1">
      <alignment horizontal="center" vertical="center"/>
    </xf>
    <xf numFmtId="0" fontId="0" fillId="0" borderId="16" xfId="0" applyBorder="1" applyAlignment="1">
      <alignment horizontal="left"/>
    </xf>
    <xf numFmtId="0" fontId="0" fillId="0" borderId="24" xfId="0" applyBorder="1" applyAlignment="1">
      <alignment horizontal="left"/>
    </xf>
    <xf numFmtId="0" fontId="45" fillId="2" borderId="18"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23" xfId="0" applyNumberFormat="1" applyFont="1" applyBorder="1" applyAlignment="1">
      <alignment horizontal="center" vertical="center" wrapText="1"/>
    </xf>
    <xf numFmtId="0" fontId="55" fillId="0" borderId="0" xfId="0" applyFont="1" applyAlignment="1">
      <alignment vertical="center" wrapText="1"/>
    </xf>
    <xf numFmtId="0" fontId="55" fillId="0" borderId="23" xfId="0" applyFont="1" applyBorder="1" applyAlignment="1">
      <alignment vertical="center" wrapText="1"/>
    </xf>
    <xf numFmtId="0" fontId="0" fillId="0" borderId="0" xfId="0" applyAlignment="1">
      <alignment horizontal="right"/>
    </xf>
    <xf numFmtId="0" fontId="50" fillId="0" borderId="0" xfId="0" applyFont="1" applyAlignment="1">
      <alignment horizontal="center"/>
    </xf>
    <xf numFmtId="0" fontId="50" fillId="0" borderId="23" xfId="0" applyFont="1" applyBorder="1" applyAlignment="1">
      <alignment horizontal="center"/>
    </xf>
    <xf numFmtId="0" fontId="45" fillId="2" borderId="28" xfId="0" applyFont="1" applyFill="1" applyBorder="1" applyAlignment="1">
      <alignment vertical="center"/>
    </xf>
    <xf numFmtId="0" fontId="45" fillId="2" borderId="29" xfId="0" applyFont="1" applyFill="1" applyBorder="1" applyAlignment="1">
      <alignment vertical="center"/>
    </xf>
    <xf numFmtId="0" fontId="45" fillId="2" borderId="28" xfId="0" applyFont="1" applyFill="1" applyBorder="1" applyAlignment="1">
      <alignment horizontal="center" vertical="center"/>
    </xf>
    <xf numFmtId="0" fontId="45" fillId="2" borderId="29" xfId="0" applyFont="1" applyFill="1" applyBorder="1" applyAlignment="1">
      <alignment horizontal="center" vertical="center"/>
    </xf>
    <xf numFmtId="0" fontId="45" fillId="2" borderId="37" xfId="0" applyFont="1" applyFill="1" applyBorder="1" applyAlignment="1">
      <alignment horizontal="center" vertical="center"/>
    </xf>
    <xf numFmtId="0" fontId="45" fillId="2" borderId="8" xfId="0" applyFont="1" applyFill="1" applyBorder="1" applyAlignment="1">
      <alignment horizontal="center" vertical="center"/>
    </xf>
    <xf numFmtId="0" fontId="45" fillId="2" borderId="19" xfId="0" applyFont="1" applyFill="1" applyBorder="1" applyAlignment="1">
      <alignment horizontal="center" vertical="center"/>
    </xf>
    <xf numFmtId="0" fontId="45" fillId="2" borderId="35" xfId="0" applyFont="1" applyFill="1" applyBorder="1" applyAlignment="1">
      <alignment horizontal="center" vertical="center"/>
    </xf>
    <xf numFmtId="1" fontId="53" fillId="2" borderId="0" xfId="0" applyNumberFormat="1" applyFont="1" applyFill="1" applyAlignment="1">
      <alignment horizontal="center" vertical="center"/>
    </xf>
    <xf numFmtId="0" fontId="53" fillId="2" borderId="0" xfId="0" applyFont="1" applyFill="1" applyAlignment="1">
      <alignment horizontal="center" vertical="center"/>
    </xf>
    <xf numFmtId="0" fontId="0" fillId="0" borderId="0" xfId="0" applyAlignment="1">
      <alignment horizontal="left"/>
    </xf>
    <xf numFmtId="0" fontId="0" fillId="0" borderId="23" xfId="0" applyBorder="1" applyAlignment="1">
      <alignment horizontal="left"/>
    </xf>
    <xf numFmtId="0" fontId="2" fillId="0" borderId="16" xfId="0" applyFont="1" applyBorder="1" applyAlignment="1">
      <alignment horizontal="left"/>
    </xf>
    <xf numFmtId="0" fontId="2" fillId="0" borderId="24" xfId="0" applyFont="1" applyBorder="1" applyAlignment="1">
      <alignment horizontal="left"/>
    </xf>
    <xf numFmtId="0" fontId="2" fillId="0" borderId="36" xfId="0" applyFont="1" applyBorder="1" applyAlignment="1">
      <alignment horizontal="left"/>
    </xf>
    <xf numFmtId="0" fontId="20" fillId="0" borderId="40" xfId="0" applyFont="1" applyBorder="1" applyAlignment="1">
      <alignment horizontal="left"/>
    </xf>
    <xf numFmtId="0" fontId="20" fillId="0" borderId="4" xfId="0" applyFont="1" applyBorder="1" applyAlignment="1">
      <alignment horizontal="left"/>
    </xf>
    <xf numFmtId="1" fontId="0" fillId="0" borderId="4" xfId="0" applyNumberFormat="1" applyBorder="1" applyAlignment="1">
      <alignment horizontal="center"/>
    </xf>
    <xf numFmtId="0" fontId="0" fillId="0" borderId="33" xfId="0" applyBorder="1" applyAlignment="1">
      <alignment horizontal="center"/>
    </xf>
    <xf numFmtId="0" fontId="8" fillId="0" borderId="22" xfId="0" applyFont="1" applyBorder="1" applyAlignment="1">
      <alignment horizontal="left" vertical="center"/>
    </xf>
    <xf numFmtId="0" fontId="8" fillId="0" borderId="0" xfId="0" applyFont="1" applyAlignment="1">
      <alignment horizontal="left" vertical="center"/>
    </xf>
    <xf numFmtId="0" fontId="8" fillId="0" borderId="23" xfId="0" applyFont="1" applyBorder="1" applyAlignment="1">
      <alignment horizontal="left" vertical="center"/>
    </xf>
    <xf numFmtId="0" fontId="40" fillId="0" borderId="0" xfId="0" applyFont="1" applyAlignment="1">
      <alignment horizontal="left"/>
    </xf>
    <xf numFmtId="0" fontId="40" fillId="0" borderId="23" xfId="0" applyFont="1" applyBorder="1" applyAlignment="1">
      <alignment horizontal="left"/>
    </xf>
    <xf numFmtId="0" fontId="9" fillId="0" borderId="0" xfId="0" applyFont="1" applyAlignment="1">
      <alignment horizontal="left" vertical="center" wrapText="1"/>
    </xf>
    <xf numFmtId="0" fontId="9" fillId="0" borderId="23" xfId="0" applyFont="1" applyBorder="1" applyAlignment="1">
      <alignment horizontal="left" vertical="center" wrapText="1"/>
    </xf>
    <xf numFmtId="0" fontId="40" fillId="0" borderId="22" xfId="0" applyFont="1" applyBorder="1" applyAlignment="1">
      <alignment horizontal="center"/>
    </xf>
    <xf numFmtId="0" fontId="40" fillId="0" borderId="0" xfId="0" applyFont="1" applyAlignment="1">
      <alignment horizontal="center"/>
    </xf>
    <xf numFmtId="0" fontId="40" fillId="0" borderId="23" xfId="0" applyFont="1" applyBorder="1" applyAlignment="1">
      <alignment horizontal="center"/>
    </xf>
    <xf numFmtId="0" fontId="20" fillId="0" borderId="22" xfId="0" applyFont="1" applyBorder="1" applyAlignment="1">
      <alignment horizontal="left"/>
    </xf>
    <xf numFmtId="0" fontId="20" fillId="0" borderId="0" xfId="0" applyFont="1" applyAlignment="1">
      <alignment horizontal="left"/>
    </xf>
    <xf numFmtId="0" fontId="20" fillId="0" borderId="23" xfId="0" applyFont="1" applyBorder="1" applyAlignment="1">
      <alignment horizontal="left"/>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14" fontId="0" fillId="0" borderId="4" xfId="0" applyNumberFormat="1" applyBorder="1" applyAlignment="1">
      <alignment horizontal="center"/>
    </xf>
    <xf numFmtId="0" fontId="58" fillId="0" borderId="20" xfId="0" applyFont="1" applyBorder="1" applyAlignment="1">
      <alignment horizontal="center"/>
    </xf>
    <xf numFmtId="0" fontId="58" fillId="0" borderId="9" xfId="0" applyFont="1" applyBorder="1" applyAlignment="1">
      <alignment horizontal="center"/>
    </xf>
    <xf numFmtId="0" fontId="58" fillId="0" borderId="21" xfId="0" applyFont="1" applyBorder="1" applyAlignment="1">
      <alignment horizontal="center"/>
    </xf>
    <xf numFmtId="0" fontId="59" fillId="0" borderId="22" xfId="0" applyFont="1" applyBorder="1" applyAlignment="1">
      <alignment horizontal="center"/>
    </xf>
    <xf numFmtId="0" fontId="59" fillId="0" borderId="0" xfId="0" applyFont="1" applyAlignment="1">
      <alignment horizontal="center"/>
    </xf>
    <xf numFmtId="0" fontId="59" fillId="0" borderId="23" xfId="0" applyFont="1" applyBorder="1" applyAlignment="1">
      <alignment horizontal="center"/>
    </xf>
    <xf numFmtId="0" fontId="60" fillId="0" borderId="22" xfId="0" applyFont="1" applyBorder="1" applyAlignment="1">
      <alignment horizontal="center"/>
    </xf>
    <xf numFmtId="0" fontId="60" fillId="0" borderId="0" xfId="0" applyFont="1" applyAlignment="1">
      <alignment horizontal="center"/>
    </xf>
    <xf numFmtId="0" fontId="60" fillId="0" borderId="23" xfId="0" applyFont="1" applyBorder="1" applyAlignment="1">
      <alignment horizontal="center"/>
    </xf>
    <xf numFmtId="0" fontId="20" fillId="0" borderId="22" xfId="0" applyFont="1" applyBorder="1" applyAlignment="1">
      <alignment horizontal="justify" vertical="justify" wrapText="1"/>
    </xf>
    <xf numFmtId="0" fontId="20" fillId="0" borderId="0" xfId="0" applyFont="1" applyAlignment="1">
      <alignment horizontal="justify" vertical="justify" wrapText="1"/>
    </xf>
    <xf numFmtId="0" fontId="20" fillId="0" borderId="23" xfId="0" applyFont="1" applyBorder="1" applyAlignment="1">
      <alignment horizontal="justify" vertical="justify" wrapText="1"/>
    </xf>
  </cellXfs>
  <cellStyles count="10">
    <cellStyle name="Comma 2" xfId="1" xr:uid="{00000000-0005-0000-0000-000000000000}"/>
    <cellStyle name="Comma 2 2" xfId="9" xr:uid="{00000000-0005-0000-0000-000001000000}"/>
    <cellStyle name="Excel Built-in Normal 1" xfId="6" xr:uid="{00000000-0005-0000-0000-000002000000}"/>
    <cellStyle name="Excel Built-in Normal 2" xfId="7" xr:uid="{00000000-0005-0000-0000-000003000000}"/>
    <cellStyle name="Normal" xfId="0" builtinId="0"/>
    <cellStyle name="Normal 2" xfId="3" xr:uid="{00000000-0005-0000-0000-000005000000}"/>
    <cellStyle name="Normal 3" xfId="8" xr:uid="{00000000-0005-0000-0000-000006000000}"/>
    <cellStyle name="Normal 4 3 3 2 2" xfId="2" xr:uid="{00000000-0005-0000-0000-000007000000}"/>
    <cellStyle name="Normal 4 3 3 2 2 2" xfId="4" xr:uid="{00000000-0005-0000-0000-000008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_rels/drawing3.xml.rels><?xml version="1.0" encoding="UTF-8" standalone="yes"?>
<Relationships xmlns="http://schemas.openxmlformats.org/package/2006/relationships"><Relationship Id="rId1" Type="http://schemas.openxmlformats.org/officeDocument/2006/relationships/image" Target="NULL"/></Relationships>
</file>

<file path=xl/drawings/_rels/drawing4.xml.rels><?xml version="1.0" encoding="UTF-8" standalone="yes"?>
<Relationships xmlns="http://schemas.openxmlformats.org/package/2006/relationships"><Relationship Id="rId1" Type="http://schemas.openxmlformats.org/officeDocument/2006/relationships/image" Target="NULL"/></Relationships>
</file>

<file path=xl/drawings/_rels/drawing5.xml.rels><?xml version="1.0" encoding="UTF-8" standalone="yes"?>
<Relationships xmlns="http://schemas.openxmlformats.org/package/2006/relationships"><Relationship Id="rId1" Type="http://schemas.openxmlformats.org/officeDocument/2006/relationships/image" Target="NULL"/></Relationships>
</file>

<file path=xl/drawings/_rels/drawing6.xml.rels><?xml version="1.0" encoding="UTF-8" standalone="yes"?>
<Relationships xmlns="http://schemas.openxmlformats.org/package/2006/relationships"><Relationship Id="rId1" Type="http://schemas.openxmlformats.org/officeDocument/2006/relationships/image" Target="NULL"/></Relationships>
</file>

<file path=xl/drawings/_rels/drawing7.xml.rels><?xml version="1.0" encoding="UTF-8" standalone="yes"?>
<Relationships xmlns="http://schemas.openxmlformats.org/package/2006/relationships"><Relationship Id="rId1" Type="http://schemas.openxmlformats.org/officeDocument/2006/relationships/image" Target="NULL"/></Relationships>
</file>

<file path=xl/drawings/_rels/drawing8.xml.rels><?xml version="1.0" encoding="UTF-8" standalone="yes"?>
<Relationships xmlns="http://schemas.openxmlformats.org/package/2006/relationships"><Relationship Id="rId1" Type="http://schemas.openxmlformats.org/officeDocument/2006/relationships/image" Target="NULL"/></Relationships>
</file>

<file path=xl/drawings/_rels/drawing9.xml.rels><?xml version="1.0" encoding="UTF-8" standalone="yes"?>
<Relationships xmlns="http://schemas.openxmlformats.org/package/2006/relationships"><Relationship Id="rId1" Type="http://schemas.openxmlformats.org/officeDocument/2006/relationships/image" Target="NULL"/></Relationships>
</file>

<file path=xl/drawings/_rels/drawing10.xml.rels><?xml version="1.0" encoding="UTF-8" standalone="yes"?>
<Relationships xmlns="http://schemas.openxmlformats.org/package/2006/relationships"><Relationship Id="rId1" Type="http://schemas.openxmlformats.org/officeDocument/2006/relationships/image" Target="NULL"/></Relationships>
</file>

<file path=xl/drawings/_rels/drawing11.xml.rels><?xml version="1.0" encoding="UTF-8" standalone="yes"?>
<Relationships xmlns="http://schemas.openxmlformats.org/package/2006/relationships"><Relationship Id="rId1" Type="http://schemas.openxmlformats.org/officeDocument/2006/relationships/image" Target="NULL"/></Relationships>
</file>

<file path=xl/drawings/_rels/drawing1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9</xdr:col>
      <xdr:colOff>381000</xdr:colOff>
      <xdr:row>15</xdr:row>
      <xdr:rowOff>323850</xdr:rowOff>
    </xdr:from>
    <xdr:to>
      <xdr:col>9</xdr:col>
      <xdr:colOff>1019264</xdr:colOff>
      <xdr:row>15</xdr:row>
      <xdr:rowOff>809693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10975" y="4905375"/>
          <a:ext cx="638264" cy="485843"/>
        </a:xfrm>
        <a:prstGeom prst="rect">
          <a:avLst/>
        </a:prstGeom>
      </xdr:spPr>
    </xdr:pic>
    <xdr:clientData/>
  </xdr:twoCellAnchor>
  <xdr:twoCellAnchor editAs="oneCell">
    <xdr:from>
      <xdr:col>9</xdr:col>
      <xdr:colOff>19050</xdr:colOff>
      <xdr:row>13</xdr:row>
      <xdr:rowOff>152400</xdr:rowOff>
    </xdr:from>
    <xdr:to>
      <xdr:col>9</xdr:col>
      <xdr:colOff>1524210</xdr:colOff>
      <xdr:row>13</xdr:row>
      <xdr:rowOff>647769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49025" y="3028950"/>
          <a:ext cx="1505160" cy="495369"/>
        </a:xfrm>
        <a:prstGeom prst="rect">
          <a:avLst/>
        </a:prstGeom>
      </xdr:spPr>
    </xdr:pic>
    <xdr:clientData/>
  </xdr:twoCellAnchor>
  <xdr:twoCellAnchor editAs="oneCell">
    <xdr:from>
      <xdr:col>9</xdr:col>
      <xdr:colOff>85725</xdr:colOff>
      <xdr:row>14</xdr:row>
      <xdr:rowOff>171450</xdr:rowOff>
    </xdr:from>
    <xdr:to>
      <xdr:col>9</xdr:col>
      <xdr:colOff>1352727</xdr:colOff>
      <xdr:row>14</xdr:row>
      <xdr:rowOff>714451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15700" y="3867150"/>
          <a:ext cx="1267002" cy="543001"/>
        </a:xfrm>
        <a:prstGeom prst="rect">
          <a:avLst/>
        </a:prstGeom>
      </xdr:spPr>
    </xdr:pic>
    <xdr:clientData/>
  </xdr:twoCellAnchor>
  <xdr:twoCellAnchor editAs="oneCell">
    <xdr:from>
      <xdr:col>9</xdr:col>
      <xdr:colOff>209550</xdr:colOff>
      <xdr:row>16</xdr:row>
      <xdr:rowOff>62473</xdr:rowOff>
    </xdr:from>
    <xdr:to>
      <xdr:col>9</xdr:col>
      <xdr:colOff>1074669</xdr:colOff>
      <xdr:row>16</xdr:row>
      <xdr:rowOff>647700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9525" y="5586973"/>
          <a:ext cx="865119" cy="585227"/>
        </a:xfrm>
        <a:prstGeom prst="rect">
          <a:avLst/>
        </a:prstGeom>
      </xdr:spPr>
    </xdr:pic>
    <xdr:clientData/>
  </xdr:twoCellAnchor>
  <xdr:twoCellAnchor editAs="oneCell">
    <xdr:from>
      <xdr:col>9</xdr:col>
      <xdr:colOff>104775</xdr:colOff>
      <xdr:row>17</xdr:row>
      <xdr:rowOff>85725</xdr:rowOff>
    </xdr:from>
    <xdr:to>
      <xdr:col>9</xdr:col>
      <xdr:colOff>1362250</xdr:colOff>
      <xdr:row>17</xdr:row>
      <xdr:rowOff>600147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34750" y="6296025"/>
          <a:ext cx="1257475" cy="514422"/>
        </a:xfrm>
        <a:prstGeom prst="rect">
          <a:avLst/>
        </a:prstGeom>
      </xdr:spPr>
    </xdr:pic>
    <xdr:clientData/>
  </xdr:twoCellAnchor>
  <xdr:twoCellAnchor editAs="oneCell">
    <xdr:from>
      <xdr:col>9</xdr:col>
      <xdr:colOff>161926</xdr:colOff>
      <xdr:row>23</xdr:row>
      <xdr:rowOff>95250</xdr:rowOff>
    </xdr:from>
    <xdr:to>
      <xdr:col>10</xdr:col>
      <xdr:colOff>533401</xdr:colOff>
      <xdr:row>26</xdr:row>
      <xdr:rowOff>9525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15701" y="4752975"/>
          <a:ext cx="1962150" cy="485775"/>
        </a:xfrm>
        <a:prstGeom prst="rect">
          <a:avLst/>
        </a:prstGeom>
      </xdr:spPr>
    </xdr:pic>
    <xdr:clientData/>
  </xdr:twoCellAnchor>
  <xdr:oneCellAnchor>
    <xdr:from>
      <xdr:col>9</xdr:col>
      <xdr:colOff>19050</xdr:colOff>
      <xdr:row>20</xdr:row>
      <xdr:rowOff>152400</xdr:rowOff>
    </xdr:from>
    <xdr:ext cx="1505160" cy="495369"/>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49025" y="3028950"/>
          <a:ext cx="1505160" cy="495369"/>
        </a:xfrm>
        <a:prstGeom prst="rect">
          <a:avLst/>
        </a:prstGeom>
      </xdr:spPr>
    </xdr:pic>
    <xdr:clientData/>
  </xdr:oneCellAnchor>
  <xdr:twoCellAnchor editAs="oneCell">
    <xdr:from>
      <xdr:col>9</xdr:col>
      <xdr:colOff>152400</xdr:colOff>
      <xdr:row>19</xdr:row>
      <xdr:rowOff>95250</xdr:rowOff>
    </xdr:from>
    <xdr:to>
      <xdr:col>9</xdr:col>
      <xdr:colOff>1419402</xdr:colOff>
      <xdr:row>19</xdr:row>
      <xdr:rowOff>571566</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06175" y="3609975"/>
          <a:ext cx="1267002" cy="4763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0</xdr:colOff>
      <xdr:row>36</xdr:row>
      <xdr:rowOff>1</xdr:rowOff>
    </xdr:from>
    <xdr:ext cx="2228850" cy="1073192"/>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3100" y="8191501"/>
          <a:ext cx="2228850" cy="107319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21</xdr:col>
      <xdr:colOff>19050</xdr:colOff>
      <xdr:row>17</xdr:row>
      <xdr:rowOff>0</xdr:rowOff>
    </xdr:from>
    <xdr:to>
      <xdr:col>24</xdr:col>
      <xdr:colOff>294368</xdr:colOff>
      <xdr:row>19</xdr:row>
      <xdr:rowOff>180975</xdr:rowOff>
    </xdr:to>
    <xdr:pic>
      <xdr:nvPicPr>
        <xdr:cNvPr id="3" name="Pictur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3450" y="4581525"/>
          <a:ext cx="1675493" cy="561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40</xdr:row>
      <xdr:rowOff>0</xdr:rowOff>
    </xdr:from>
    <xdr:to>
      <xdr:col>11</xdr:col>
      <xdr:colOff>644518</xdr:colOff>
      <xdr:row>44</xdr:row>
      <xdr:rowOff>132682</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5466522" y="63389565"/>
          <a:ext cx="2267909" cy="10851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31</xdr:row>
      <xdr:rowOff>0</xdr:rowOff>
    </xdr:from>
    <xdr:to>
      <xdr:col>8</xdr:col>
      <xdr:colOff>396433</xdr:colOff>
      <xdr:row>36</xdr:row>
      <xdr:rowOff>170529</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cstate="print"/>
        <a:stretch>
          <a:fillRect/>
        </a:stretch>
      </xdr:blipFill>
      <xdr:spPr>
        <a:xfrm>
          <a:off x="3048000" y="41332150"/>
          <a:ext cx="2225233" cy="1091279"/>
        </a:xfrm>
        <a:prstGeom prst="rect">
          <a:avLst/>
        </a:prstGeom>
      </xdr:spPr>
    </xdr:pic>
    <xdr:clientData/>
  </xdr:twoCellAnchor>
  <xdr:twoCellAnchor editAs="oneCell">
    <xdr:from>
      <xdr:col>15</xdr:col>
      <xdr:colOff>0</xdr:colOff>
      <xdr:row>31</xdr:row>
      <xdr:rowOff>0</xdr:rowOff>
    </xdr:from>
    <xdr:to>
      <xdr:col>18</xdr:col>
      <xdr:colOff>396433</xdr:colOff>
      <xdr:row>36</xdr:row>
      <xdr:rowOff>170529</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cstate="print"/>
        <a:stretch>
          <a:fillRect/>
        </a:stretch>
      </xdr:blipFill>
      <xdr:spPr>
        <a:xfrm>
          <a:off x="9232900" y="41332150"/>
          <a:ext cx="2225233" cy="1091279"/>
        </a:xfrm>
        <a:prstGeom prst="rect">
          <a:avLst/>
        </a:prstGeom>
      </xdr:spPr>
    </xdr:pic>
    <xdr:clientData/>
  </xdr:twoCellAnchor>
  <xdr:twoCellAnchor editAs="oneCell">
    <xdr:from>
      <xdr:col>16</xdr:col>
      <xdr:colOff>0</xdr:colOff>
      <xdr:row>48</xdr:row>
      <xdr:rowOff>0</xdr:rowOff>
    </xdr:from>
    <xdr:to>
      <xdr:col>18</xdr:col>
      <xdr:colOff>1006033</xdr:colOff>
      <xdr:row>53</xdr:row>
      <xdr:rowOff>170529</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 cstate="print"/>
        <a:stretch>
          <a:fillRect/>
        </a:stretch>
      </xdr:blipFill>
      <xdr:spPr>
        <a:xfrm>
          <a:off x="9782175" y="24698325"/>
          <a:ext cx="2225233" cy="11230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25</xdr:row>
      <xdr:rowOff>57150</xdr:rowOff>
    </xdr:from>
    <xdr:to>
      <xdr:col>8</xdr:col>
      <xdr:colOff>399222</xdr:colOff>
      <xdr:row>31</xdr:row>
      <xdr:rowOff>37890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2575" y="5448300"/>
          <a:ext cx="2228022" cy="11237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26</xdr:row>
      <xdr:rowOff>0</xdr:rowOff>
    </xdr:from>
    <xdr:to>
      <xdr:col>8</xdr:col>
      <xdr:colOff>399222</xdr:colOff>
      <xdr:row>31</xdr:row>
      <xdr:rowOff>171240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3025" y="5495925"/>
          <a:ext cx="2228022" cy="11237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38100</xdr:colOff>
      <xdr:row>29</xdr:row>
      <xdr:rowOff>85725</xdr:rowOff>
    </xdr:from>
    <xdr:to>
      <xdr:col>9</xdr:col>
      <xdr:colOff>437322</xdr:colOff>
      <xdr:row>35</xdr:row>
      <xdr:rowOff>66465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6248400"/>
          <a:ext cx="2228022" cy="11237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571500</xdr:colOff>
      <xdr:row>30</xdr:row>
      <xdr:rowOff>114301</xdr:rowOff>
    </xdr:from>
    <xdr:to>
      <xdr:col>9</xdr:col>
      <xdr:colOff>409575</xdr:colOff>
      <xdr:row>36</xdr:row>
      <xdr:rowOff>119479</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1650" y="6991351"/>
          <a:ext cx="2276475" cy="11481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95250</xdr:colOff>
      <xdr:row>25</xdr:row>
      <xdr:rowOff>114301</xdr:rowOff>
    </xdr:from>
    <xdr:to>
      <xdr:col>12</xdr:col>
      <xdr:colOff>219075</xdr:colOff>
      <xdr:row>30</xdr:row>
      <xdr:rowOff>161053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0" y="7191376"/>
          <a:ext cx="1981200" cy="99925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1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2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2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2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opLeftCell="A19" workbookViewId="0">
      <selection activeCell="A21" sqref="A21"/>
    </sheetView>
  </sheetViews>
  <sheetFormatPr defaultColWidth="8.7109375" defaultRowHeight="15"/>
  <cols>
    <col min="1" max="1" width="5" style="9" customWidth="1"/>
    <col min="2" max="2" width="29.42578125" style="9" customWidth="1"/>
    <col min="3" max="3" width="11.42578125" style="9" customWidth="1"/>
    <col min="4" max="4" width="9.28515625" style="9" customWidth="1"/>
    <col min="5" max="5" width="23" style="9" customWidth="1"/>
    <col min="6" max="6" width="25.140625" style="9" customWidth="1"/>
    <col min="7" max="7" width="25.85546875" style="9" customWidth="1"/>
    <col min="8" max="8" width="24.140625" style="9" customWidth="1"/>
    <col min="9" max="9" width="14" style="9" customWidth="1"/>
    <col min="10" max="10" width="23.85546875" style="9" customWidth="1"/>
    <col min="11" max="11" width="16.42578125" style="9" customWidth="1"/>
    <col min="12" max="12" width="13.42578125" style="9" customWidth="1"/>
    <col min="13" max="13" width="9" style="9" customWidth="1"/>
    <col min="14" max="16384" width="8.7109375" style="9"/>
  </cols>
  <sheetData>
    <row r="1" spans="1:13">
      <c r="A1" s="640" t="s">
        <v>475</v>
      </c>
      <c r="B1" s="641"/>
      <c r="C1" s="641"/>
      <c r="D1" s="641"/>
      <c r="E1" s="641"/>
      <c r="F1" s="641"/>
      <c r="G1" s="641"/>
      <c r="H1" s="641"/>
      <c r="I1" s="641"/>
      <c r="J1" s="641"/>
      <c r="K1" s="641"/>
      <c r="L1" s="642"/>
      <c r="M1" s="643"/>
    </row>
    <row r="2" spans="1:13">
      <c r="A2" s="644"/>
      <c r="B2" s="645"/>
      <c r="C2" s="645"/>
      <c r="D2" s="646"/>
      <c r="E2" s="645"/>
      <c r="F2" s="645"/>
      <c r="G2" s="645"/>
      <c r="H2" s="645"/>
      <c r="I2" s="645"/>
      <c r="J2" s="645"/>
      <c r="K2" s="645"/>
      <c r="L2" s="647"/>
      <c r="M2" s="648"/>
    </row>
    <row r="3" spans="1:13">
      <c r="A3" s="649" t="s">
        <v>476</v>
      </c>
      <c r="B3" s="650"/>
      <c r="C3" s="650"/>
      <c r="D3" s="651"/>
      <c r="E3" s="650"/>
      <c r="F3" s="650"/>
      <c r="G3" s="650"/>
      <c r="H3" s="650"/>
      <c r="I3" s="650"/>
      <c r="J3" s="650"/>
      <c r="K3" s="650"/>
      <c r="L3" s="652"/>
      <c r="M3" s="653"/>
    </row>
    <row r="4" spans="1:13" ht="15" customHeight="1">
      <c r="A4" s="328" t="s">
        <v>499</v>
      </c>
      <c r="B4" s="385"/>
      <c r="C4" s="385"/>
      <c r="D4" s="386"/>
      <c r="E4" s="387"/>
      <c r="F4" s="654" t="s">
        <v>500</v>
      </c>
      <c r="G4" s="654"/>
      <c r="H4" s="654"/>
      <c r="I4" s="654"/>
      <c r="J4" s="654"/>
      <c r="K4" s="654"/>
      <c r="L4" s="654"/>
      <c r="M4" s="654"/>
    </row>
    <row r="5" spans="1:13">
      <c r="A5" s="388" t="s">
        <v>388</v>
      </c>
      <c r="B5" s="389"/>
      <c r="C5" s="389"/>
      <c r="D5" s="389"/>
      <c r="E5" s="390"/>
      <c r="F5" s="654"/>
      <c r="G5" s="654"/>
      <c r="H5" s="654"/>
      <c r="I5" s="654"/>
      <c r="J5" s="654"/>
      <c r="K5" s="654"/>
      <c r="L5" s="654"/>
      <c r="M5" s="654"/>
    </row>
    <row r="6" spans="1:13" ht="15.75" thickBot="1">
      <c r="A6" s="391"/>
      <c r="B6" s="392"/>
      <c r="C6" s="392"/>
      <c r="D6" s="392"/>
      <c r="E6" s="393"/>
      <c r="F6" s="655"/>
      <c r="G6" s="655"/>
      <c r="H6" s="655"/>
      <c r="I6" s="655"/>
      <c r="J6" s="655"/>
      <c r="K6" s="655"/>
      <c r="L6" s="655"/>
      <c r="M6" s="655"/>
    </row>
    <row r="7" spans="1:13">
      <c r="A7" s="656" t="s">
        <v>499</v>
      </c>
      <c r="B7" s="656"/>
      <c r="C7" s="656"/>
      <c r="D7" s="657"/>
      <c r="E7" s="657"/>
      <c r="F7" s="394" t="s">
        <v>67</v>
      </c>
      <c r="G7" s="395"/>
      <c r="H7" s="395"/>
      <c r="I7" s="395"/>
      <c r="J7" s="395"/>
      <c r="K7" s="395"/>
      <c r="L7" s="396"/>
      <c r="M7" s="396"/>
    </row>
    <row r="8" spans="1:13">
      <c r="A8" s="656"/>
      <c r="B8" s="656"/>
      <c r="C8" s="656"/>
      <c r="D8" s="657"/>
      <c r="E8" s="657"/>
      <c r="F8" s="397" t="str">
        <f>'BOM 04 22Master'!AP10</f>
        <v>INFOSYS  LTD.85-C Mittal Towers</v>
      </c>
      <c r="G8" s="389"/>
      <c r="H8" s="389"/>
      <c r="I8" s="389"/>
      <c r="J8" s="389"/>
      <c r="K8" s="389"/>
      <c r="L8" s="398"/>
      <c r="M8" s="398"/>
    </row>
    <row r="9" spans="1:13">
      <c r="A9" s="656"/>
      <c r="B9" s="656"/>
      <c r="C9" s="656"/>
      <c r="D9" s="657"/>
      <c r="E9" s="657"/>
      <c r="F9" s="533" t="s">
        <v>521</v>
      </c>
      <c r="G9" s="389"/>
      <c r="H9" s="389"/>
      <c r="I9" s="389"/>
      <c r="J9" s="389"/>
      <c r="K9" s="389"/>
      <c r="L9" s="398"/>
      <c r="M9" s="398"/>
    </row>
    <row r="10" spans="1:13" ht="15.75" thickBot="1">
      <c r="A10" s="656"/>
      <c r="B10" s="656"/>
      <c r="C10" s="656"/>
      <c r="D10" s="657"/>
      <c r="E10" s="657"/>
      <c r="F10" s="399"/>
      <c r="G10" s="400"/>
      <c r="H10" s="400"/>
      <c r="I10" s="400"/>
      <c r="J10" s="400"/>
      <c r="K10" s="400"/>
      <c r="L10" s="401"/>
      <c r="M10" s="401"/>
    </row>
    <row r="11" spans="1:13" ht="41.25" customHeight="1">
      <c r="A11" s="658" t="s">
        <v>5</v>
      </c>
      <c r="B11" s="658" t="s">
        <v>477</v>
      </c>
      <c r="C11" s="658" t="s">
        <v>49</v>
      </c>
      <c r="D11" s="526" t="s">
        <v>498</v>
      </c>
      <c r="E11" s="660" t="s">
        <v>478</v>
      </c>
      <c r="F11" s="660" t="s">
        <v>479</v>
      </c>
      <c r="G11" s="660" t="s">
        <v>480</v>
      </c>
      <c r="H11" s="660" t="s">
        <v>43</v>
      </c>
      <c r="I11" s="660" t="s">
        <v>481</v>
      </c>
      <c r="J11" s="660" t="s">
        <v>482</v>
      </c>
      <c r="K11" s="658" t="s">
        <v>483</v>
      </c>
      <c r="L11" s="527"/>
      <c r="M11" s="662" t="s">
        <v>40</v>
      </c>
    </row>
    <row r="12" spans="1:13" ht="15.6" customHeight="1">
      <c r="A12" s="659"/>
      <c r="B12" s="659"/>
      <c r="C12" s="659"/>
      <c r="D12" s="402"/>
      <c r="E12" s="661"/>
      <c r="F12" s="661"/>
      <c r="G12" s="661"/>
      <c r="H12" s="661"/>
      <c r="I12" s="661"/>
      <c r="J12" s="661"/>
      <c r="K12" s="659"/>
      <c r="L12" s="526" t="s">
        <v>484</v>
      </c>
      <c r="M12" s="658"/>
    </row>
    <row r="13" spans="1:13">
      <c r="A13" s="403">
        <v>1</v>
      </c>
      <c r="B13" s="403">
        <v>2</v>
      </c>
      <c r="C13" s="403">
        <v>3</v>
      </c>
      <c r="D13" s="404"/>
      <c r="E13" s="403">
        <v>4</v>
      </c>
      <c r="F13" s="403">
        <v>5</v>
      </c>
      <c r="G13" s="403">
        <v>6</v>
      </c>
      <c r="H13" s="403">
        <v>7</v>
      </c>
      <c r="I13" s="403">
        <v>8</v>
      </c>
      <c r="J13" s="403">
        <v>9</v>
      </c>
      <c r="K13" s="403">
        <v>10</v>
      </c>
      <c r="L13" s="403"/>
      <c r="M13" s="403">
        <v>11</v>
      </c>
    </row>
    <row r="14" spans="1:13" s="579" customFormat="1" ht="64.5" customHeight="1">
      <c r="A14" s="570">
        <v>1</v>
      </c>
      <c r="B14" s="571" t="s">
        <v>519</v>
      </c>
      <c r="C14" s="572">
        <v>30263</v>
      </c>
      <c r="D14" s="573" t="s">
        <v>522</v>
      </c>
      <c r="E14" s="574" t="s">
        <v>523</v>
      </c>
      <c r="F14" s="571" t="s">
        <v>501</v>
      </c>
      <c r="G14" s="575" t="s">
        <v>524</v>
      </c>
      <c r="H14" s="575" t="s">
        <v>524</v>
      </c>
      <c r="I14" s="576" t="s">
        <v>525</v>
      </c>
      <c r="J14" s="577"/>
      <c r="K14" s="578" t="s">
        <v>550</v>
      </c>
      <c r="L14" s="577"/>
      <c r="M14" s="577"/>
    </row>
    <row r="15" spans="1:13" s="579" customFormat="1" ht="69.75" customHeight="1">
      <c r="A15" s="570">
        <v>2</v>
      </c>
      <c r="B15" s="571" t="s">
        <v>526</v>
      </c>
      <c r="C15" s="580" t="s">
        <v>528</v>
      </c>
      <c r="D15" s="573" t="s">
        <v>522</v>
      </c>
      <c r="E15" s="573" t="s">
        <v>529</v>
      </c>
      <c r="F15" s="581" t="s">
        <v>527</v>
      </c>
      <c r="G15" s="582" t="s">
        <v>530</v>
      </c>
      <c r="H15" s="582" t="s">
        <v>530</v>
      </c>
      <c r="I15" s="583">
        <v>43955</v>
      </c>
      <c r="J15" s="577"/>
      <c r="K15" s="578" t="s">
        <v>550</v>
      </c>
      <c r="L15" s="577"/>
      <c r="M15" s="577"/>
    </row>
    <row r="16" spans="1:13" s="579" customFormat="1" ht="74.25" customHeight="1">
      <c r="A16" s="573">
        <v>3</v>
      </c>
      <c r="B16" s="571" t="s">
        <v>531</v>
      </c>
      <c r="C16" s="584" t="s">
        <v>541</v>
      </c>
      <c r="D16" s="585" t="s">
        <v>522</v>
      </c>
      <c r="E16" s="581" t="s">
        <v>542</v>
      </c>
      <c r="F16" s="586" t="s">
        <v>532</v>
      </c>
      <c r="G16" s="587" t="s">
        <v>543</v>
      </c>
      <c r="H16" s="587" t="s">
        <v>543</v>
      </c>
      <c r="I16" s="583">
        <v>44011</v>
      </c>
      <c r="J16" s="581"/>
      <c r="K16" s="578" t="s">
        <v>550</v>
      </c>
      <c r="L16" s="581"/>
      <c r="M16" s="581"/>
    </row>
    <row r="17" spans="1:13" s="579" customFormat="1" ht="54.6" customHeight="1">
      <c r="A17" s="573">
        <v>4</v>
      </c>
      <c r="B17" s="571" t="s">
        <v>533</v>
      </c>
      <c r="C17" s="588">
        <v>30593</v>
      </c>
      <c r="D17" s="573" t="s">
        <v>522</v>
      </c>
      <c r="E17" s="573" t="s">
        <v>538</v>
      </c>
      <c r="F17" s="586" t="s">
        <v>536</v>
      </c>
      <c r="G17" s="587" t="s">
        <v>537</v>
      </c>
      <c r="H17" s="587" t="s">
        <v>537</v>
      </c>
      <c r="I17" s="583">
        <v>44025</v>
      </c>
      <c r="J17" s="581"/>
      <c r="K17" s="578" t="s">
        <v>550</v>
      </c>
      <c r="L17" s="581"/>
      <c r="M17" s="581"/>
    </row>
    <row r="18" spans="1:13" s="579" customFormat="1" ht="54.6" customHeight="1">
      <c r="A18" s="573">
        <v>5</v>
      </c>
      <c r="B18" s="571" t="s">
        <v>534</v>
      </c>
      <c r="C18" s="588">
        <v>29802</v>
      </c>
      <c r="D18" s="573" t="s">
        <v>522</v>
      </c>
      <c r="E18" s="573" t="s">
        <v>540</v>
      </c>
      <c r="F18" s="586" t="s">
        <v>535</v>
      </c>
      <c r="G18" s="587" t="s">
        <v>539</v>
      </c>
      <c r="H18" s="587" t="s">
        <v>539</v>
      </c>
      <c r="I18" s="583">
        <v>44025</v>
      </c>
      <c r="J18" s="581"/>
      <c r="K18" s="578" t="s">
        <v>550</v>
      </c>
      <c r="L18" s="581"/>
      <c r="M18" s="581"/>
    </row>
    <row r="19" spans="1:13" s="604" customFormat="1" ht="54.6" customHeight="1">
      <c r="A19" s="596">
        <v>6</v>
      </c>
      <c r="B19" s="597" t="s">
        <v>545</v>
      </c>
      <c r="C19" s="598">
        <v>27788</v>
      </c>
      <c r="D19" s="596" t="s">
        <v>522</v>
      </c>
      <c r="E19" s="596" t="s">
        <v>546</v>
      </c>
      <c r="F19" s="599" t="s">
        <v>549</v>
      </c>
      <c r="G19" s="600" t="s">
        <v>547</v>
      </c>
      <c r="H19" s="600" t="s">
        <v>548</v>
      </c>
      <c r="I19" s="601">
        <v>44123</v>
      </c>
      <c r="J19" s="602"/>
      <c r="K19" s="603">
        <v>44422</v>
      </c>
      <c r="L19" s="602" t="s">
        <v>567</v>
      </c>
      <c r="M19" s="602"/>
    </row>
    <row r="20" spans="1:13" s="604" customFormat="1" ht="54.6" customHeight="1">
      <c r="A20" s="596">
        <v>7</v>
      </c>
      <c r="B20" s="611" t="s">
        <v>551</v>
      </c>
      <c r="C20" s="598" t="s">
        <v>552</v>
      </c>
      <c r="D20" s="596" t="s">
        <v>522</v>
      </c>
      <c r="E20" s="596" t="s">
        <v>553</v>
      </c>
      <c r="F20" s="599" t="s">
        <v>554</v>
      </c>
      <c r="G20" s="600" t="s">
        <v>555</v>
      </c>
      <c r="H20" s="600" t="s">
        <v>555</v>
      </c>
      <c r="I20" s="601">
        <v>44298</v>
      </c>
      <c r="J20" s="602"/>
      <c r="K20" s="596" t="s">
        <v>550</v>
      </c>
      <c r="L20" s="602" t="s">
        <v>567</v>
      </c>
      <c r="M20" s="602"/>
    </row>
    <row r="21" spans="1:13" s="520" customFormat="1" ht="60">
      <c r="A21" s="518">
        <v>8</v>
      </c>
      <c r="B21" s="595" t="s">
        <v>519</v>
      </c>
      <c r="C21" s="530">
        <v>30263</v>
      </c>
      <c r="D21" s="312" t="s">
        <v>522</v>
      </c>
      <c r="E21" s="312" t="s">
        <v>523</v>
      </c>
      <c r="F21" s="517" t="s">
        <v>501</v>
      </c>
      <c r="G21" s="405" t="s">
        <v>524</v>
      </c>
      <c r="H21" s="405" t="s">
        <v>524</v>
      </c>
      <c r="I21" s="592">
        <v>44340</v>
      </c>
      <c r="J21" s="519"/>
      <c r="K21" s="312" t="s">
        <v>562</v>
      </c>
      <c r="L21" s="521" t="s">
        <v>562</v>
      </c>
      <c r="M21" s="521"/>
    </row>
    <row r="27" spans="1:13">
      <c r="K27" s="535"/>
    </row>
    <row r="29" spans="1:13">
      <c r="J29" s="535" t="s">
        <v>544</v>
      </c>
    </row>
  </sheetData>
  <protectedRanges>
    <protectedRange password="CA4D" sqref="A1:M2 A11:M13" name="Range1"/>
    <protectedRange password="CA4D" sqref="A3:M3" name="Range1_6"/>
    <protectedRange password="CA4D" sqref="A5:E6 M7:M10 B4:E4" name="Range1_1"/>
    <protectedRange password="CA4D" sqref="F7:L8 F10:L10 G9:L9" name="Range1_2_1"/>
    <protectedRange password="CA4D" sqref="A4" name="Range1_1_1"/>
    <protectedRange password="CA4D" sqref="F4:M6" name="Range1_2_2"/>
    <protectedRange password="CA4D" sqref="F9" name="Range1_2_1_1"/>
    <protectedRange password="CA4D" sqref="A7:E10" name="Range1_1_2"/>
  </protectedRanges>
  <mergeCells count="15">
    <mergeCell ref="A1:M2"/>
    <mergeCell ref="A3:M3"/>
    <mergeCell ref="F4:M6"/>
    <mergeCell ref="A7:E10"/>
    <mergeCell ref="A11:A12"/>
    <mergeCell ref="B11:B12"/>
    <mergeCell ref="C11:C12"/>
    <mergeCell ref="E11:E12"/>
    <mergeCell ref="F11:F12"/>
    <mergeCell ref="G11:G12"/>
    <mergeCell ref="H11:H12"/>
    <mergeCell ref="I11:I12"/>
    <mergeCell ref="J11:J12"/>
    <mergeCell ref="K11:K12"/>
    <mergeCell ref="M11:M12"/>
  </mergeCells>
  <pageMargins left="0.70866141732283472" right="0.70866141732283472" top="0.74803149606299213" bottom="0.74803149606299213" header="0.31496062992125984" footer="0.31496062992125984"/>
  <pageSetup scale="53"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B31"/>
  <sheetViews>
    <sheetView topLeftCell="A4" workbookViewId="0">
      <pane xSplit="2" ySplit="13" topLeftCell="AR17" activePane="bottomRight" state="frozen"/>
      <selection activeCell="A4" sqref="A4"/>
      <selection pane="topRight" activeCell="C4" sqref="C4"/>
      <selection pane="bottomLeft" activeCell="A17" sqref="A17"/>
      <selection pane="bottomRight" activeCell="AH19" sqref="AH19"/>
    </sheetView>
  </sheetViews>
  <sheetFormatPr defaultColWidth="8.7109375" defaultRowHeight="15.75"/>
  <cols>
    <col min="1" max="1" width="9.28515625" style="534" customWidth="1"/>
    <col min="2" max="2" width="27.5703125" style="9" customWidth="1"/>
    <col min="3" max="3" width="13.140625" style="9" customWidth="1"/>
    <col min="4" max="4" width="12" style="9" customWidth="1"/>
    <col min="5" max="5" width="30.5703125" style="9" customWidth="1"/>
    <col min="6" max="6" width="28.85546875" style="9" customWidth="1"/>
    <col min="7" max="7" width="28.5703125" style="9" customWidth="1"/>
    <col min="8" max="8" width="26.5703125" style="9" customWidth="1"/>
    <col min="9" max="9" width="25.5703125" style="9" customWidth="1"/>
    <col min="10" max="10" width="31.42578125" style="9" customWidth="1"/>
    <col min="11" max="11" width="31.140625" style="9" customWidth="1"/>
    <col min="12" max="12" width="28.5703125" style="9" customWidth="1"/>
    <col min="13" max="13" width="26.7109375" style="9" customWidth="1"/>
    <col min="14" max="14" width="23" style="9" customWidth="1"/>
    <col min="15" max="15" width="26.5703125" style="9" customWidth="1"/>
    <col min="16" max="17" width="23" style="9" customWidth="1"/>
    <col min="18" max="20" width="31.42578125" style="9" customWidth="1"/>
    <col min="21" max="21" width="23" style="9" customWidth="1"/>
    <col min="22" max="22" width="10.140625" style="9" customWidth="1"/>
    <col min="23" max="23" width="6.5703125" style="9" customWidth="1"/>
    <col min="24" max="24" width="6" style="9" customWidth="1"/>
    <col min="25" max="25" width="11" style="537" customWidth="1"/>
    <col min="26" max="28" width="7.42578125" style="9" customWidth="1"/>
    <col min="29" max="29" width="10.5703125" style="9" customWidth="1"/>
    <col min="30" max="30" width="8" style="9" customWidth="1"/>
    <col min="31" max="32" width="7.42578125" style="9" customWidth="1"/>
    <col min="33" max="33" width="10.5703125" style="9" customWidth="1"/>
    <col min="34" max="34" width="9.28515625" style="9" customWidth="1"/>
    <col min="35" max="35" width="6.28515625" style="9" customWidth="1"/>
    <col min="36" max="37" width="7.42578125" style="9" customWidth="1"/>
    <col min="38" max="38" width="7.7109375" style="9" customWidth="1"/>
    <col min="39" max="39" width="10.42578125" style="9" customWidth="1"/>
    <col min="40" max="40" width="3.42578125" style="534" customWidth="1"/>
    <col min="41" max="41" width="6.28515625" style="534" customWidth="1"/>
    <col min="42" max="42" width="6.42578125" style="534" customWidth="1"/>
    <col min="43" max="43" width="9.140625" style="534" customWidth="1"/>
    <col min="44" max="44" width="8.7109375" style="534" customWidth="1"/>
    <col min="45" max="45" width="7" style="534" customWidth="1"/>
    <col min="46" max="46" width="15.140625" style="9" customWidth="1"/>
    <col min="47" max="47" width="13.85546875" style="9" bestFit="1" customWidth="1"/>
    <col min="48" max="48" width="9.7109375" style="9" customWidth="1"/>
    <col min="49" max="49" width="24.7109375" style="9" customWidth="1"/>
    <col min="50" max="50" width="11.7109375" style="9" customWidth="1"/>
    <col min="51" max="16384" width="8.7109375" style="9"/>
  </cols>
  <sheetData>
    <row r="3" spans="1:54" ht="56.1" customHeight="1">
      <c r="A3" s="9" t="s">
        <v>48</v>
      </c>
      <c r="K3" s="536"/>
      <c r="Y3" s="9"/>
      <c r="AN3" s="9"/>
      <c r="AO3" s="9"/>
      <c r="AP3" s="9"/>
      <c r="AQ3" s="9"/>
      <c r="AR3" s="9"/>
      <c r="AS3" s="9"/>
    </row>
    <row r="4" spans="1:54">
      <c r="B4" s="9" t="s">
        <v>383</v>
      </c>
    </row>
    <row r="5" spans="1:54" ht="43.15" customHeight="1">
      <c r="A5" s="668" t="s">
        <v>0</v>
      </c>
      <c r="B5" s="668"/>
      <c r="C5" s="668"/>
      <c r="D5" s="538"/>
      <c r="E5" s="538"/>
      <c r="F5" s="539" t="s">
        <v>387</v>
      </c>
      <c r="G5" s="535"/>
      <c r="H5" s="535"/>
      <c r="I5" s="539"/>
      <c r="J5" s="539"/>
      <c r="K5" s="539"/>
      <c r="L5" s="539"/>
      <c r="M5" s="539"/>
      <c r="N5" s="539"/>
      <c r="O5" s="539"/>
      <c r="P5" s="539"/>
      <c r="Q5" s="539"/>
      <c r="R5" s="539"/>
      <c r="S5" s="539"/>
      <c r="T5" s="539"/>
      <c r="U5" s="539"/>
      <c r="V5" s="539"/>
      <c r="AB5" s="667" t="s">
        <v>1</v>
      </c>
      <c r="AC5" s="667"/>
      <c r="AD5" s="667"/>
      <c r="AE5" s="667"/>
      <c r="AF5" s="667"/>
      <c r="AG5" s="667"/>
      <c r="AH5" s="667"/>
      <c r="AI5" s="667"/>
      <c r="AJ5" s="667"/>
      <c r="AK5" s="667"/>
      <c r="AL5" s="667"/>
      <c r="AM5" s="667"/>
      <c r="AN5" s="667"/>
      <c r="AO5" s="667"/>
      <c r="AP5" s="540" t="str">
        <f>F5</f>
        <v>Burgeon IT Services Pvt.Ltd.</v>
      </c>
      <c r="AQ5" s="535"/>
      <c r="AR5" s="535"/>
      <c r="AS5" s="535"/>
      <c r="AT5" s="535"/>
      <c r="AU5" s="535"/>
      <c r="AV5" s="535"/>
      <c r="AW5" s="535"/>
      <c r="AX5" s="535"/>
      <c r="AY5" s="541"/>
      <c r="AZ5" s="541"/>
      <c r="BA5" s="541"/>
      <c r="BB5" s="541"/>
    </row>
    <row r="6" spans="1:54" ht="20.45" customHeight="1">
      <c r="A6" s="542"/>
      <c r="F6" s="543" t="s">
        <v>388</v>
      </c>
      <c r="I6" s="543"/>
      <c r="J6" s="543"/>
      <c r="K6" s="543"/>
      <c r="L6" s="543"/>
      <c r="M6" s="543"/>
      <c r="N6" s="543"/>
      <c r="O6" s="543"/>
      <c r="P6" s="543"/>
      <c r="Q6" s="543"/>
      <c r="R6" s="543"/>
      <c r="S6" s="543"/>
      <c r="T6" s="543"/>
      <c r="U6" s="543"/>
      <c r="V6" s="543"/>
      <c r="AC6" s="544"/>
      <c r="AD6" s="544"/>
      <c r="AE6" s="544"/>
      <c r="AF6" s="544"/>
      <c r="AG6" s="544"/>
      <c r="AH6" s="544"/>
      <c r="AI6" s="544"/>
      <c r="AJ6" s="544"/>
      <c r="AK6" s="544"/>
      <c r="AL6" s="544"/>
      <c r="AM6" s="544"/>
      <c r="AP6" s="543" t="str">
        <f>F6</f>
        <v>Siri Mansion LIGB 436 Dr.A S Rao Nagar,Hyderabad</v>
      </c>
      <c r="AQ6" s="9"/>
      <c r="AR6" s="9"/>
      <c r="AS6" s="545"/>
      <c r="AT6" s="545"/>
      <c r="AU6" s="545"/>
      <c r="AV6" s="545"/>
      <c r="AW6" s="545"/>
      <c r="AX6" s="545"/>
      <c r="AY6" s="545"/>
      <c r="AZ6" s="545"/>
      <c r="BA6" s="545"/>
      <c r="BB6" s="545"/>
    </row>
    <row r="7" spans="1:54" ht="20.45" customHeight="1">
      <c r="A7" s="542"/>
      <c r="F7" s="546"/>
      <c r="I7" s="543"/>
      <c r="J7" s="543"/>
      <c r="K7" s="543"/>
      <c r="L7" s="543"/>
      <c r="M7" s="543"/>
      <c r="N7" s="543"/>
      <c r="O7" s="543"/>
      <c r="P7" s="543"/>
      <c r="Q7" s="543"/>
      <c r="R7" s="543"/>
      <c r="S7" s="543"/>
      <c r="T7" s="543"/>
      <c r="U7" s="543"/>
      <c r="V7" s="543"/>
      <c r="AC7" s="544"/>
      <c r="AD7" s="544"/>
      <c r="AE7" s="544"/>
      <c r="AF7" s="544"/>
      <c r="AG7" s="544"/>
      <c r="AH7" s="544"/>
      <c r="AI7" s="544"/>
      <c r="AJ7" s="544"/>
      <c r="AK7" s="544"/>
      <c r="AL7" s="544"/>
      <c r="AM7" s="544"/>
      <c r="AP7" s="543">
        <f>F7</f>
        <v>0</v>
      </c>
      <c r="AQ7" s="9"/>
      <c r="AR7" s="9"/>
      <c r="AS7" s="545"/>
      <c r="AT7" s="545"/>
      <c r="AU7" s="545"/>
      <c r="AV7" s="545"/>
      <c r="AW7" s="545"/>
      <c r="AX7" s="545"/>
      <c r="AY7" s="545"/>
      <c r="AZ7" s="545"/>
      <c r="BA7" s="545"/>
      <c r="BB7" s="545"/>
    </row>
    <row r="8" spans="1:54">
      <c r="A8" s="668" t="s">
        <v>2</v>
      </c>
      <c r="B8" s="668"/>
      <c r="C8" s="668"/>
      <c r="D8" s="538"/>
      <c r="E8" s="538"/>
      <c r="F8" s="547" t="s">
        <v>563</v>
      </c>
      <c r="G8" s="547"/>
      <c r="H8" s="547"/>
      <c r="I8" s="547"/>
      <c r="J8" s="547"/>
      <c r="K8" s="547"/>
      <c r="L8" s="547"/>
      <c r="M8" s="547"/>
      <c r="N8" s="547"/>
      <c r="O8" s="547"/>
      <c r="P8" s="547"/>
      <c r="Q8" s="547"/>
      <c r="R8" s="547"/>
      <c r="S8" s="547"/>
      <c r="T8" s="547"/>
      <c r="U8" s="547"/>
      <c r="V8" s="547"/>
      <c r="AC8" s="544"/>
      <c r="AD8" s="544"/>
      <c r="AE8" s="544"/>
      <c r="AF8" s="544"/>
      <c r="AG8" s="544"/>
      <c r="AH8" s="544"/>
      <c r="AI8" s="544"/>
      <c r="AJ8" s="544"/>
      <c r="AK8" s="544"/>
      <c r="AL8" s="544"/>
      <c r="AM8" s="544"/>
      <c r="AP8" s="548"/>
      <c r="AQ8" s="548"/>
      <c r="AR8" s="548"/>
      <c r="AS8" s="548"/>
      <c r="AT8" s="548"/>
      <c r="AU8" s="548"/>
      <c r="AV8" s="548"/>
      <c r="AW8" s="548"/>
      <c r="AX8" s="548"/>
      <c r="AY8" s="548"/>
      <c r="AZ8" s="548"/>
      <c r="BA8" s="548"/>
      <c r="BB8" s="548"/>
    </row>
    <row r="9" spans="1:54" ht="5.25" customHeight="1">
      <c r="A9" s="542"/>
      <c r="AC9" s="544"/>
      <c r="AD9" s="544"/>
      <c r="AE9" s="544"/>
      <c r="AF9" s="544"/>
      <c r="AG9" s="544"/>
      <c r="AH9" s="544"/>
      <c r="AI9" s="544"/>
      <c r="AJ9" s="544"/>
      <c r="AK9" s="544"/>
      <c r="AL9" s="544"/>
      <c r="AM9" s="544"/>
      <c r="AP9" s="669"/>
      <c r="AQ9" s="669"/>
      <c r="AR9" s="669"/>
      <c r="AS9" s="669"/>
      <c r="AT9" s="669"/>
      <c r="AU9" s="669"/>
      <c r="AV9" s="669"/>
      <c r="AW9" s="669"/>
      <c r="AX9" s="669"/>
    </row>
    <row r="10" spans="1:54" ht="22.5" customHeight="1">
      <c r="A10" s="668" t="s">
        <v>3</v>
      </c>
      <c r="B10" s="668"/>
      <c r="C10" s="668"/>
      <c r="D10" s="612">
        <v>44652</v>
      </c>
      <c r="E10" s="538"/>
      <c r="G10" s="549"/>
      <c r="H10" s="549"/>
      <c r="I10" s="549"/>
      <c r="J10" s="549"/>
      <c r="K10" s="549"/>
      <c r="L10" s="549"/>
      <c r="M10" s="549"/>
      <c r="N10" s="549"/>
      <c r="O10" s="549"/>
      <c r="P10" s="549"/>
      <c r="Q10" s="549"/>
      <c r="R10" s="549"/>
      <c r="S10" s="549"/>
      <c r="T10" s="549"/>
      <c r="U10" s="549"/>
      <c r="V10" s="549"/>
      <c r="AC10" s="538"/>
      <c r="AD10" s="538"/>
      <c r="AE10" s="538"/>
      <c r="AF10" s="538"/>
      <c r="AG10" s="538"/>
      <c r="AI10" s="542"/>
      <c r="AJ10" s="542"/>
      <c r="AK10" s="538" t="s">
        <v>4</v>
      </c>
      <c r="AL10" s="542"/>
      <c r="AM10" s="542"/>
      <c r="AN10" s="542"/>
      <c r="AO10" s="542"/>
      <c r="AP10" s="538" t="s">
        <v>520</v>
      </c>
      <c r="AQ10" s="535"/>
      <c r="AR10" s="535"/>
      <c r="AS10" s="535"/>
      <c r="AT10" s="535"/>
      <c r="AU10" s="535"/>
      <c r="AV10" s="535"/>
      <c r="AW10" s="541"/>
      <c r="AX10" s="541"/>
      <c r="AY10" s="541"/>
      <c r="AZ10" s="541"/>
    </row>
    <row r="11" spans="1:54" ht="18" customHeight="1">
      <c r="AP11" s="533" t="s">
        <v>521</v>
      </c>
      <c r="AQ11" s="550"/>
      <c r="AR11" s="550"/>
      <c r="AS11" s="545"/>
      <c r="AT11" s="545"/>
      <c r="AU11" s="545"/>
      <c r="AV11" s="545"/>
      <c r="AW11" s="545"/>
      <c r="AX11" s="545"/>
      <c r="AY11" s="545"/>
      <c r="AZ11" s="545"/>
    </row>
    <row r="12" spans="1:54" ht="17.25" customHeight="1"/>
    <row r="13" spans="1:54" ht="18.75" customHeight="1"/>
    <row r="14" spans="1:54" s="520" customFormat="1" ht="36.6" customHeight="1">
      <c r="A14" s="670" t="s">
        <v>7</v>
      </c>
      <c r="B14" s="670" t="s">
        <v>6</v>
      </c>
      <c r="C14" s="325" t="s">
        <v>49</v>
      </c>
      <c r="D14" s="325" t="s">
        <v>39</v>
      </c>
      <c r="E14" s="325" t="s">
        <v>41</v>
      </c>
      <c r="F14" s="670" t="s">
        <v>8</v>
      </c>
      <c r="G14" s="528" t="s">
        <v>42</v>
      </c>
      <c r="H14" s="551"/>
      <c r="I14" s="551"/>
      <c r="J14" s="551" t="s">
        <v>43</v>
      </c>
      <c r="K14" s="551"/>
      <c r="L14" s="551"/>
      <c r="M14" s="551"/>
      <c r="N14" s="551" t="s">
        <v>44</v>
      </c>
      <c r="O14" s="551" t="s">
        <v>45</v>
      </c>
      <c r="P14" s="551" t="s">
        <v>46</v>
      </c>
      <c r="Q14" s="551" t="s">
        <v>47</v>
      </c>
      <c r="R14" s="551" t="s">
        <v>40</v>
      </c>
      <c r="S14" s="551" t="s">
        <v>135</v>
      </c>
      <c r="T14" s="551" t="s">
        <v>136</v>
      </c>
      <c r="U14" s="663" t="s">
        <v>6</v>
      </c>
      <c r="V14" s="551" t="s">
        <v>497</v>
      </c>
      <c r="W14" s="663" t="s">
        <v>9</v>
      </c>
      <c r="X14" s="663" t="s">
        <v>10</v>
      </c>
      <c r="Y14" s="665" t="s">
        <v>184</v>
      </c>
      <c r="Z14" s="663" t="s">
        <v>11</v>
      </c>
      <c r="AA14" s="663" t="s">
        <v>12</v>
      </c>
      <c r="AB14" s="663" t="s">
        <v>13</v>
      </c>
      <c r="AC14" s="671" t="s">
        <v>14</v>
      </c>
      <c r="AD14" s="552" t="s">
        <v>15</v>
      </c>
      <c r="AE14" s="552" t="s">
        <v>16</v>
      </c>
      <c r="AF14" s="552" t="s">
        <v>17</v>
      </c>
      <c r="AG14" s="552" t="s">
        <v>18</v>
      </c>
      <c r="AH14" s="664" t="s">
        <v>19</v>
      </c>
      <c r="AI14" s="553" t="s">
        <v>20</v>
      </c>
      <c r="AJ14" s="553" t="s">
        <v>21</v>
      </c>
      <c r="AK14" s="551" t="s">
        <v>22</v>
      </c>
      <c r="AL14" s="551" t="s">
        <v>23</v>
      </c>
      <c r="AM14" s="551" t="s">
        <v>24</v>
      </c>
      <c r="AN14" s="663" t="s">
        <v>25</v>
      </c>
      <c r="AO14" s="663"/>
      <c r="AP14" s="663"/>
      <c r="AQ14" s="663"/>
      <c r="AR14" s="663"/>
      <c r="AS14" s="663"/>
      <c r="AT14" s="663" t="s">
        <v>26</v>
      </c>
      <c r="AU14" s="663" t="s">
        <v>27</v>
      </c>
      <c r="AV14" s="551" t="s">
        <v>28</v>
      </c>
      <c r="AW14" s="663" t="s">
        <v>29</v>
      </c>
      <c r="AX14" s="663" t="s">
        <v>30</v>
      </c>
    </row>
    <row r="15" spans="1:54" ht="21" customHeight="1">
      <c r="A15" s="670"/>
      <c r="B15" s="672"/>
      <c r="C15" s="326"/>
      <c r="D15" s="326"/>
      <c r="E15" s="326"/>
      <c r="F15" s="670"/>
      <c r="G15" s="528"/>
      <c r="H15" s="551"/>
      <c r="I15" s="551"/>
      <c r="J15" s="551"/>
      <c r="K15" s="551"/>
      <c r="L15" s="551"/>
      <c r="M15" s="551"/>
      <c r="N15" s="551"/>
      <c r="O15" s="551"/>
      <c r="P15" s="551"/>
      <c r="Q15" s="551"/>
      <c r="R15" s="551"/>
      <c r="S15" s="551"/>
      <c r="T15" s="551"/>
      <c r="U15" s="664"/>
      <c r="V15" s="553"/>
      <c r="W15" s="663"/>
      <c r="X15" s="663"/>
      <c r="Y15" s="665"/>
      <c r="Z15" s="663"/>
      <c r="AA15" s="663"/>
      <c r="AB15" s="663"/>
      <c r="AC15" s="671"/>
      <c r="AD15" s="552"/>
      <c r="AE15" s="552"/>
      <c r="AF15" s="552"/>
      <c r="AG15" s="552"/>
      <c r="AH15" s="664"/>
      <c r="AI15" s="553"/>
      <c r="AJ15" s="553"/>
      <c r="AK15" s="553"/>
      <c r="AL15" s="553"/>
      <c r="AM15" s="553"/>
      <c r="AN15" s="554" t="s">
        <v>31</v>
      </c>
      <c r="AO15" s="554" t="s">
        <v>32</v>
      </c>
      <c r="AP15" s="554" t="s">
        <v>33</v>
      </c>
      <c r="AQ15" s="554" t="s">
        <v>34</v>
      </c>
      <c r="AR15" s="554" t="s">
        <v>35</v>
      </c>
      <c r="AS15" s="555" t="s">
        <v>36</v>
      </c>
      <c r="AT15" s="663"/>
      <c r="AU15" s="663"/>
      <c r="AV15" s="551"/>
      <c r="AW15" s="663"/>
      <c r="AX15" s="663"/>
    </row>
    <row r="17" spans="1:50" s="520" customFormat="1" ht="62.25" customHeight="1">
      <c r="A17" s="615">
        <f>'BOMBAY APRIL  22-WM  Reg'!A21</f>
        <v>8</v>
      </c>
      <c r="B17" s="616" t="str">
        <f>'BOMBAY APRIL  22-WM  Reg'!B21</f>
        <v>Naresh Kumar Kandula</v>
      </c>
      <c r="C17" s="617">
        <f>'BOMBAY APRIL  22-WM  Reg'!C21</f>
        <v>30263</v>
      </c>
      <c r="D17" s="312" t="str">
        <f>'BOMBAY APRIL  22-WM  Reg'!D21</f>
        <v>M</v>
      </c>
      <c r="E17" s="312" t="str">
        <f>'BOMBAY APRIL  22-WM  Reg'!E21</f>
        <v>Lankadasari Saritha</v>
      </c>
      <c r="F17" s="312" t="str">
        <f>'BOMBAY APRIL  22-WM  Reg'!F21</f>
        <v>Senior Software Engineer</v>
      </c>
      <c r="G17" s="405" t="str">
        <f>'BOMBAY APRIL  22-WM  Reg'!G21</f>
        <v>Flat B-309, H.no 7-1-3 , Shanthi Bagh Apts, Opp to Country Club, Begumpet, Hyd -500016</v>
      </c>
      <c r="H17" s="521"/>
      <c r="I17" s="521"/>
      <c r="J17" s="618" t="str">
        <f>'BOMBAY APRIL  22-WM  Reg'!H21</f>
        <v>Flat B-309, H.no 7-1-3 , Shanthi Bagh Apts, Opp to Country Club, Begumpet, Hyd -500016</v>
      </c>
      <c r="K17" s="614"/>
      <c r="L17" s="614"/>
      <c r="M17" s="614"/>
      <c r="N17" s="619">
        <v>44340</v>
      </c>
      <c r="O17" s="521"/>
      <c r="P17" s="521"/>
      <c r="Q17" s="521"/>
      <c r="R17" s="521"/>
      <c r="S17" s="590" t="s">
        <v>564</v>
      </c>
      <c r="T17" s="620" t="s">
        <v>37</v>
      </c>
      <c r="U17" s="521" t="str">
        <f t="shared" ref="U17" si="0">B17</f>
        <v>Naresh Kumar Kandula</v>
      </c>
      <c r="V17" s="312">
        <v>30</v>
      </c>
      <c r="W17" s="621">
        <v>30</v>
      </c>
      <c r="X17" s="622" t="s">
        <v>37</v>
      </c>
      <c r="Y17" s="623">
        <v>112719</v>
      </c>
      <c r="Z17" s="624">
        <v>67631.399999999994</v>
      </c>
      <c r="AA17" s="625">
        <v>0</v>
      </c>
      <c r="AB17" s="625">
        <v>0</v>
      </c>
      <c r="AC17" s="626">
        <f>AD17+AE17+AF17+AG17</f>
        <v>45200.56</v>
      </c>
      <c r="AD17" s="624">
        <v>27052.559999999998</v>
      </c>
      <c r="AE17" s="624">
        <v>2083</v>
      </c>
      <c r="AF17" s="624">
        <v>2083</v>
      </c>
      <c r="AG17" s="627">
        <v>13982</v>
      </c>
      <c r="AH17" s="628">
        <f t="shared" ref="AH17" si="1">Z17+AC17</f>
        <v>112831.95999999999</v>
      </c>
      <c r="AI17" s="629">
        <v>1555</v>
      </c>
      <c r="AJ17" s="630">
        <v>3253.0703399999993</v>
      </c>
      <c r="AK17" s="624">
        <v>5635.95</v>
      </c>
      <c r="AL17" s="631">
        <v>0</v>
      </c>
      <c r="AM17" s="632">
        <f t="shared" ref="AM17" si="2">Z17+AD17+AE17+AF17+AG17+AI17+AJ17+AK17+AL17</f>
        <v>123275.98033999999</v>
      </c>
      <c r="AN17" s="633">
        <v>0</v>
      </c>
      <c r="AO17" s="634">
        <f t="shared" ref="AO17" si="3">ROUND(IF(Z17&lt;15000,(Z17*12%),(15000*12%)),0)</f>
        <v>1800</v>
      </c>
      <c r="AP17" s="635">
        <v>200</v>
      </c>
      <c r="AQ17" s="634"/>
      <c r="AR17" s="312">
        <v>441</v>
      </c>
      <c r="AS17" s="633">
        <f t="shared" ref="AS17" si="4">SUM(AO17:AR17)</f>
        <v>2441</v>
      </c>
      <c r="AT17" s="613">
        <f t="shared" ref="AT17" si="5">AM17-AS17</f>
        <v>120834.98033999999</v>
      </c>
      <c r="AU17" s="610">
        <v>44686</v>
      </c>
      <c r="AV17" s="636" t="s">
        <v>565</v>
      </c>
      <c r="AW17" s="521" t="s">
        <v>566</v>
      </c>
      <c r="AX17" s="521"/>
    </row>
    <row r="18" spans="1:50">
      <c r="Y18" s="537">
        <f t="shared" ref="Y18:AT18" si="6">SUM(Y16:Y17)</f>
        <v>112719</v>
      </c>
      <c r="Z18" s="558">
        <f t="shared" si="6"/>
        <v>67631.399999999994</v>
      </c>
      <c r="AA18" s="9">
        <f t="shared" si="6"/>
        <v>0</v>
      </c>
      <c r="AB18" s="9">
        <f t="shared" si="6"/>
        <v>0</v>
      </c>
      <c r="AC18" s="558">
        <f t="shared" si="6"/>
        <v>45200.56</v>
      </c>
      <c r="AD18" s="559">
        <f t="shared" si="6"/>
        <v>27052.559999999998</v>
      </c>
      <c r="AE18" s="9">
        <f t="shared" si="6"/>
        <v>2083</v>
      </c>
      <c r="AF18" s="9">
        <f t="shared" si="6"/>
        <v>2083</v>
      </c>
      <c r="AG18" s="558">
        <f t="shared" si="6"/>
        <v>13982</v>
      </c>
      <c r="AH18" s="559" t="s">
        <v>237</v>
      </c>
      <c r="AI18" s="558">
        <f t="shared" si="6"/>
        <v>1555</v>
      </c>
      <c r="AJ18" s="558">
        <f t="shared" si="6"/>
        <v>3253.0703399999993</v>
      </c>
      <c r="AK18" s="558">
        <f t="shared" si="6"/>
        <v>5635.95</v>
      </c>
      <c r="AL18" s="9">
        <f t="shared" si="6"/>
        <v>0</v>
      </c>
      <c r="AM18" s="560">
        <f t="shared" si="6"/>
        <v>123275.98033999999</v>
      </c>
      <c r="AN18" s="534">
        <f t="shared" si="6"/>
        <v>0</v>
      </c>
      <c r="AO18" s="534">
        <f t="shared" si="6"/>
        <v>1800</v>
      </c>
      <c r="AP18" s="534">
        <f t="shared" si="6"/>
        <v>200</v>
      </c>
      <c r="AQ18" s="534">
        <f t="shared" si="6"/>
        <v>0</v>
      </c>
      <c r="AR18" s="534">
        <f t="shared" si="6"/>
        <v>441</v>
      </c>
      <c r="AS18" s="561">
        <f t="shared" si="6"/>
        <v>2441</v>
      </c>
      <c r="AT18" s="559">
        <f t="shared" si="6"/>
        <v>120834.98033999999</v>
      </c>
    </row>
    <row r="19" spans="1:50">
      <c r="AH19" s="559">
        <f>SUM(AH16:AH18)</f>
        <v>112831.95999999999</v>
      </c>
    </row>
    <row r="20" spans="1:50">
      <c r="B20" s="666"/>
      <c r="C20" s="666"/>
      <c r="D20" s="666"/>
      <c r="E20" s="666"/>
    </row>
    <row r="31" spans="1:50" ht="21" customHeight="1">
      <c r="A31" s="605">
        <f>'BOMBAY APRIL  22-WM  Reg'!A20</f>
        <v>7</v>
      </c>
      <c r="B31" s="606" t="str">
        <f>'BOMBAY APRIL  22-WM  Reg'!B20</f>
        <v>ShyamReddy Kandula</v>
      </c>
      <c r="C31" s="529" t="str">
        <f>'BOMBAY APRIL  22-WM  Reg'!C20</f>
        <v>25-06-1992</v>
      </c>
      <c r="D31" s="332" t="str">
        <f>'BOMBAY APRIL  22-WM  Reg'!D20</f>
        <v>M</v>
      </c>
      <c r="E31" s="332" t="str">
        <f>'BOMBAY APRIL  22-WM  Reg'!E20</f>
        <v>Ram Reddy</v>
      </c>
      <c r="F31" s="332" t="str">
        <f>'BOMBAY APRIL  22-WM  Reg'!F20</f>
        <v>Oracle DBA</v>
      </c>
      <c r="G31" s="557" t="str">
        <f>'BOMBAY APRIL  22-WM  Reg'!G20</f>
        <v>4-58, Kondaigudem, 
Garidepally, Suryapet,
 Telangana - 508201</v>
      </c>
      <c r="H31" s="310"/>
      <c r="I31" s="310"/>
      <c r="J31" s="331" t="str">
        <f>'BOMBAY APRIL  22-WM  Reg'!H20</f>
        <v>4-58, Kondaigudem, 
Garidepally, Suryapet,
 Telangana - 508201</v>
      </c>
      <c r="K31" s="556"/>
      <c r="L31" s="553"/>
      <c r="M31" s="553"/>
      <c r="N31" s="531">
        <f>'BOMBAY APRIL  22-WM  Reg'!I20</f>
        <v>44298</v>
      </c>
      <c r="O31" s="310"/>
      <c r="P31" s="310"/>
      <c r="Q31" s="310"/>
      <c r="R31" s="310"/>
      <c r="S31" s="591" t="s">
        <v>556</v>
      </c>
      <c r="T31" s="327" t="s">
        <v>37</v>
      </c>
      <c r="U31" s="310" t="str">
        <f t="shared" ref="U31" si="7">B31</f>
        <v>ShyamReddy Kandula</v>
      </c>
      <c r="V31" s="332">
        <v>31</v>
      </c>
      <c r="W31" s="513">
        <v>13</v>
      </c>
      <c r="X31" s="487" t="s">
        <v>37</v>
      </c>
      <c r="Y31" s="609">
        <v>89547</v>
      </c>
      <c r="Z31" s="500">
        <v>22531.18064516129</v>
      </c>
      <c r="AA31" s="488">
        <v>0</v>
      </c>
      <c r="AB31" s="488">
        <v>0</v>
      </c>
      <c r="AC31" s="607">
        <f>AD31+AE31+AF31+AG31</f>
        <v>15020.787096774196</v>
      </c>
      <c r="AD31" s="500">
        <v>9012.4722580645157</v>
      </c>
      <c r="AE31" s="500">
        <v>874</v>
      </c>
      <c r="AF31" s="500">
        <v>874</v>
      </c>
      <c r="AG31" s="607">
        <v>4260.3148387096808</v>
      </c>
      <c r="AH31" s="485">
        <f>Z31+AC31</f>
        <v>37551.967741935485</v>
      </c>
      <c r="AI31" s="501">
        <v>1441.6089999999999</v>
      </c>
      <c r="AJ31" s="485">
        <v>0</v>
      </c>
      <c r="AK31" s="485">
        <v>0</v>
      </c>
      <c r="AL31" s="485">
        <v>0</v>
      </c>
      <c r="AM31" s="485">
        <v>0</v>
      </c>
      <c r="AN31" s="485">
        <v>0</v>
      </c>
      <c r="AO31" s="485">
        <v>0</v>
      </c>
      <c r="AP31" s="485">
        <v>0</v>
      </c>
      <c r="AQ31" s="485">
        <v>0</v>
      </c>
      <c r="AR31" s="485">
        <v>0</v>
      </c>
      <c r="AS31" s="485">
        <v>0</v>
      </c>
      <c r="AT31" s="485">
        <v>0</v>
      </c>
      <c r="AU31" s="610">
        <v>44505</v>
      </c>
      <c r="AV31" s="310" t="s">
        <v>557</v>
      </c>
      <c r="AW31" s="310" t="s">
        <v>558</v>
      </c>
      <c r="AX31" s="310"/>
    </row>
  </sheetData>
  <mergeCells count="23">
    <mergeCell ref="B20:E20"/>
    <mergeCell ref="AU14:AU15"/>
    <mergeCell ref="AW14:AW15"/>
    <mergeCell ref="AB5:AO5"/>
    <mergeCell ref="A8:C8"/>
    <mergeCell ref="AP9:AX9"/>
    <mergeCell ref="A10:C10"/>
    <mergeCell ref="A14:A15"/>
    <mergeCell ref="F14:F15"/>
    <mergeCell ref="W14:W15"/>
    <mergeCell ref="X14:X15"/>
    <mergeCell ref="A5:C5"/>
    <mergeCell ref="AX14:AX15"/>
    <mergeCell ref="AC14:AC15"/>
    <mergeCell ref="AH14:AH15"/>
    <mergeCell ref="B14:B15"/>
    <mergeCell ref="AN14:AS14"/>
    <mergeCell ref="AT14:AT15"/>
    <mergeCell ref="U14:U15"/>
    <mergeCell ref="Y14:Y15"/>
    <mergeCell ref="Z14:Z15"/>
    <mergeCell ref="AA14:AA15"/>
    <mergeCell ref="AB14:AB15"/>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workbookViewId="0">
      <selection activeCell="D22" sqref="D22"/>
    </sheetView>
  </sheetViews>
  <sheetFormatPr defaultRowHeight="15"/>
  <cols>
    <col min="1" max="1" width="26.28515625" customWidth="1"/>
    <col min="2" max="2" width="25" customWidth="1"/>
    <col min="3" max="3" width="11.28515625" customWidth="1"/>
    <col min="4" max="4" width="11.85546875" customWidth="1"/>
    <col min="5" max="5" width="9.5703125" bestFit="1" customWidth="1"/>
    <col min="6" max="6" width="9.42578125" bestFit="1" customWidth="1"/>
    <col min="7" max="8" width="8.85546875" bestFit="1" customWidth="1"/>
    <col min="10" max="10" width="15" customWidth="1"/>
    <col min="11" max="11" width="12.85546875" customWidth="1"/>
  </cols>
  <sheetData>
    <row r="1" spans="1:11">
      <c r="A1" s="681" t="s">
        <v>161</v>
      </c>
      <c r="B1" s="682"/>
      <c r="C1" s="682"/>
      <c r="D1" s="682"/>
      <c r="E1" s="682"/>
      <c r="F1" s="682"/>
      <c r="G1" s="682"/>
      <c r="H1" s="682"/>
      <c r="I1" s="682"/>
      <c r="J1" s="103"/>
      <c r="K1" s="104"/>
    </row>
    <row r="2" spans="1:11">
      <c r="A2" s="683" t="s">
        <v>162</v>
      </c>
      <c r="B2" s="684"/>
      <c r="C2" s="684"/>
      <c r="D2" s="684"/>
      <c r="E2" s="684"/>
      <c r="F2" s="684"/>
      <c r="G2" s="684"/>
      <c r="H2" s="684"/>
      <c r="I2" s="684"/>
      <c r="J2" s="105"/>
      <c r="K2" s="106"/>
    </row>
    <row r="3" spans="1:11">
      <c r="A3" s="685"/>
      <c r="B3" s="686"/>
      <c r="C3" s="686"/>
      <c r="D3" s="686"/>
      <c r="E3" s="686"/>
      <c r="F3" s="686"/>
      <c r="G3" s="686"/>
      <c r="H3" s="686"/>
      <c r="I3" s="686"/>
      <c r="J3" s="107"/>
      <c r="K3" s="108"/>
    </row>
    <row r="4" spans="1:11">
      <c r="A4" s="687" t="s">
        <v>163</v>
      </c>
      <c r="B4" s="688"/>
      <c r="C4" s="688"/>
      <c r="D4" s="688"/>
      <c r="E4" s="688"/>
      <c r="F4" s="688"/>
      <c r="G4" s="688"/>
      <c r="H4" s="688"/>
      <c r="I4" s="688"/>
      <c r="J4" s="109"/>
      <c r="K4" s="110"/>
    </row>
    <row r="5" spans="1:11">
      <c r="A5" s="111"/>
      <c r="B5" s="109"/>
      <c r="C5" s="109"/>
      <c r="D5" s="109"/>
      <c r="E5" s="109"/>
      <c r="F5" s="109"/>
      <c r="G5" s="109"/>
      <c r="H5" s="109"/>
      <c r="I5" s="109"/>
      <c r="J5" s="109"/>
      <c r="K5" s="110"/>
    </row>
    <row r="6" spans="1:11" ht="18.75">
      <c r="A6" s="112"/>
      <c r="B6" s="113"/>
      <c r="C6" s="113"/>
      <c r="D6" s="689">
        <f>'BOM 04 22Master'!D10</f>
        <v>44652</v>
      </c>
      <c r="E6" s="689"/>
      <c r="F6" s="113"/>
      <c r="G6" s="113"/>
      <c r="H6" s="113"/>
      <c r="I6" s="113"/>
      <c r="J6" s="113"/>
      <c r="K6" s="114"/>
    </row>
    <row r="7" spans="1:11">
      <c r="A7" s="111"/>
      <c r="B7" s="109"/>
      <c r="C7" s="109"/>
      <c r="D7" s="109"/>
      <c r="E7" s="109"/>
      <c r="F7" s="109"/>
      <c r="G7" s="109"/>
      <c r="H7" s="109"/>
      <c r="I7" s="109"/>
      <c r="J7" s="109"/>
      <c r="K7" s="110"/>
    </row>
    <row r="8" spans="1:11">
      <c r="A8" s="115" t="s">
        <v>164</v>
      </c>
      <c r="B8" s="116"/>
      <c r="C8" s="116"/>
      <c r="D8" s="116"/>
      <c r="E8" s="117"/>
      <c r="F8" s="675" t="str">
        <f>'BOM 04 22Master'!F5</f>
        <v>Burgeon IT Services Pvt.Ltd.</v>
      </c>
      <c r="G8" s="675"/>
      <c r="H8" s="675"/>
      <c r="I8" s="675"/>
      <c r="J8" s="675"/>
      <c r="K8" s="676"/>
    </row>
    <row r="9" spans="1:11">
      <c r="A9" s="118"/>
      <c r="B9" s="119"/>
      <c r="C9" s="120"/>
      <c r="D9" s="121"/>
      <c r="E9" s="121"/>
      <c r="F9" s="122"/>
      <c r="G9" s="119"/>
      <c r="H9" s="119"/>
      <c r="I9" s="119"/>
      <c r="J9" s="123"/>
      <c r="K9" s="124"/>
    </row>
    <row r="10" spans="1:11">
      <c r="A10" s="115" t="s">
        <v>165</v>
      </c>
      <c r="B10" s="116"/>
      <c r="C10" s="116"/>
      <c r="D10" s="116"/>
      <c r="E10" s="117"/>
      <c r="F10" s="675" t="str">
        <f>'BOM 04 22Master'!AP5</f>
        <v>Burgeon IT Services Pvt.Ltd.</v>
      </c>
      <c r="G10" s="675"/>
      <c r="H10" s="675"/>
      <c r="I10" s="675"/>
      <c r="J10" s="675"/>
      <c r="K10" s="676"/>
    </row>
    <row r="11" spans="1:11">
      <c r="A11" s="118"/>
      <c r="B11" s="119"/>
      <c r="C11" s="119"/>
      <c r="D11" s="119"/>
      <c r="E11" s="123"/>
      <c r="F11" s="123" t="str">
        <f>'BOM 04 22Master'!AP6</f>
        <v>Siri Mansion LIGB 436 Dr.A S Rao Nagar,Hyderabad</v>
      </c>
      <c r="G11" s="119"/>
      <c r="H11" s="119"/>
      <c r="I11" s="119"/>
      <c r="J11" s="123"/>
      <c r="K11" s="124"/>
    </row>
    <row r="12" spans="1:11">
      <c r="A12" s="115" t="s">
        <v>166</v>
      </c>
      <c r="B12" s="116"/>
      <c r="C12" s="116"/>
      <c r="D12" s="116"/>
      <c r="E12" s="117"/>
      <c r="F12" s="675" t="str">
        <f>'BOM 04 22Master'!AP10</f>
        <v>INFOSYS  LTD.85-C Mittal Towers</v>
      </c>
      <c r="G12" s="675"/>
      <c r="H12" s="675"/>
      <c r="I12" s="675"/>
      <c r="J12" s="675"/>
      <c r="K12" s="676"/>
    </row>
    <row r="13" spans="1:11" ht="21">
      <c r="A13" s="125"/>
      <c r="B13" s="126"/>
      <c r="C13" s="126"/>
      <c r="D13" s="126"/>
      <c r="E13" s="127"/>
      <c r="F13" s="8" t="str">
        <f>'BOM 04 22Master'!AP11</f>
        <v>8th flour Nariman Point,Maharashtra,400021</v>
      </c>
      <c r="G13" s="126"/>
      <c r="H13" s="126"/>
      <c r="I13" s="126"/>
      <c r="J13" s="128"/>
      <c r="K13" s="129"/>
    </row>
    <row r="14" spans="1:11">
      <c r="A14" s="677" t="s">
        <v>167</v>
      </c>
      <c r="B14" s="678"/>
      <c r="C14" s="130">
        <f>D22</f>
        <v>1</v>
      </c>
      <c r="D14" s="131"/>
      <c r="E14" s="131"/>
      <c r="F14" s="131"/>
      <c r="G14" s="131"/>
      <c r="H14" s="131"/>
      <c r="I14" s="131"/>
      <c r="J14" s="132"/>
      <c r="K14" s="133"/>
    </row>
    <row r="15" spans="1:11">
      <c r="A15" s="134"/>
      <c r="B15" s="135"/>
      <c r="C15" s="131"/>
      <c r="D15" s="131"/>
      <c r="E15" s="131"/>
      <c r="F15" s="131"/>
      <c r="G15" s="131"/>
      <c r="H15" s="131"/>
      <c r="I15" s="131"/>
      <c r="J15" s="132"/>
      <c r="K15" s="133"/>
    </row>
    <row r="16" spans="1:11">
      <c r="A16" s="677" t="s">
        <v>168</v>
      </c>
      <c r="B16" s="678"/>
      <c r="C16" s="130">
        <f>C22</f>
        <v>0</v>
      </c>
      <c r="D16" s="131"/>
      <c r="E16" s="131"/>
      <c r="F16" s="131"/>
      <c r="G16" s="131"/>
      <c r="H16" s="131"/>
      <c r="I16" s="131"/>
      <c r="J16" s="132"/>
      <c r="K16" s="133"/>
    </row>
    <row r="17" spans="1:11">
      <c r="A17" s="679"/>
      <c r="B17" s="680"/>
      <c r="C17" s="680"/>
      <c r="D17" s="680"/>
      <c r="E17" s="680"/>
      <c r="F17" s="680"/>
      <c r="G17" s="680"/>
      <c r="H17" s="680"/>
      <c r="I17" s="680"/>
      <c r="J17" s="136"/>
      <c r="K17" s="137"/>
    </row>
    <row r="18" spans="1:11">
      <c r="A18" s="138"/>
      <c r="B18" s="139"/>
      <c r="C18" s="673" t="s">
        <v>169</v>
      </c>
      <c r="D18" s="673"/>
      <c r="E18" s="673"/>
      <c r="F18" s="673"/>
      <c r="G18" s="673"/>
      <c r="H18" s="673"/>
      <c r="I18" s="674"/>
      <c r="J18" s="139"/>
      <c r="K18" s="140"/>
    </row>
    <row r="19" spans="1:11" ht="105">
      <c r="A19" s="141" t="s">
        <v>170</v>
      </c>
      <c r="B19" s="142" t="s">
        <v>171</v>
      </c>
      <c r="C19" s="142" t="s">
        <v>172</v>
      </c>
      <c r="D19" s="142" t="s">
        <v>173</v>
      </c>
      <c r="E19" s="142" t="s">
        <v>174</v>
      </c>
      <c r="F19" s="142" t="s">
        <v>175</v>
      </c>
      <c r="G19" s="142" t="s">
        <v>176</v>
      </c>
      <c r="H19" s="142" t="s">
        <v>177</v>
      </c>
      <c r="I19" s="142" t="s">
        <v>178</v>
      </c>
      <c r="J19" s="142" t="s">
        <v>179</v>
      </c>
      <c r="K19" s="143" t="s">
        <v>180</v>
      </c>
    </row>
    <row r="20" spans="1:11">
      <c r="A20" s="309"/>
      <c r="B20" s="309"/>
      <c r="C20" s="309"/>
      <c r="D20" s="309"/>
      <c r="E20" s="309"/>
      <c r="F20" s="309"/>
      <c r="G20" s="309"/>
      <c r="H20" s="309"/>
      <c r="I20" s="309"/>
      <c r="J20" s="309"/>
      <c r="K20" s="309"/>
    </row>
    <row r="21" spans="1:11" s="360" customFormat="1">
      <c r="A21" s="483" t="str">
        <f>'BOM 04 22Master'!F17</f>
        <v>Senior Software Engineer</v>
      </c>
      <c r="B21" s="345" t="s">
        <v>502</v>
      </c>
      <c r="C21" s="144">
        <v>0</v>
      </c>
      <c r="D21" s="144">
        <v>1</v>
      </c>
      <c r="E21" s="346">
        <f>'BOM 04 22Master'!Y17</f>
        <v>112719</v>
      </c>
      <c r="F21" s="346">
        <f>'BOM 04 22Master'!Z17</f>
        <v>67631.399999999994</v>
      </c>
      <c r="G21" s="346">
        <f>'BOM 04 22Master'!AD17</f>
        <v>27052.559999999998</v>
      </c>
      <c r="H21" s="346">
        <f t="shared" ref="H21" si="0">E21-(F21+G21)</f>
        <v>18035.040000000008</v>
      </c>
      <c r="I21" s="145">
        <v>0</v>
      </c>
      <c r="J21" s="345"/>
      <c r="K21" s="345"/>
    </row>
    <row r="22" spans="1:11">
      <c r="A22" s="350"/>
      <c r="B22" s="348"/>
      <c r="C22" s="408">
        <f>SUM(C20:C21)</f>
        <v>0</v>
      </c>
      <c r="D22" s="410">
        <f>SUM(D20:D21)</f>
        <v>1</v>
      </c>
      <c r="E22" s="409">
        <f>SUM(E20:E21)</f>
        <v>112719</v>
      </c>
      <c r="F22" s="589">
        <f t="shared" ref="F22:I22" si="1">SUM(F20:F21)</f>
        <v>67631.399999999994</v>
      </c>
      <c r="G22" s="589">
        <f t="shared" si="1"/>
        <v>27052.559999999998</v>
      </c>
      <c r="H22" s="589">
        <f t="shared" si="1"/>
        <v>18035.040000000008</v>
      </c>
      <c r="I22" s="608">
        <f t="shared" si="1"/>
        <v>0</v>
      </c>
      <c r="J22" s="309"/>
      <c r="K22" s="309"/>
    </row>
    <row r="23" spans="1:11">
      <c r="A23" s="61"/>
      <c r="B23" s="348"/>
      <c r="C23" s="348"/>
      <c r="D23" s="348"/>
      <c r="E23" s="349"/>
      <c r="F23" s="349"/>
      <c r="G23" s="349"/>
      <c r="H23" s="349"/>
      <c r="I23" s="350"/>
      <c r="J23" s="351"/>
      <c r="K23" s="351"/>
    </row>
    <row r="24" spans="1:11">
      <c r="A24" s="61"/>
      <c r="B24" s="348"/>
      <c r="C24" s="348"/>
      <c r="D24" s="348"/>
      <c r="E24" s="349"/>
      <c r="F24" s="349"/>
      <c r="G24" s="349"/>
      <c r="H24" s="349"/>
      <c r="I24" s="350"/>
      <c r="J24" s="351"/>
      <c r="K24" s="351"/>
    </row>
    <row r="25" spans="1:11">
      <c r="A25" s="13"/>
      <c r="K25" s="14"/>
    </row>
    <row r="26" spans="1:11">
      <c r="A26" s="13"/>
      <c r="E26" s="2"/>
      <c r="K26" s="14"/>
    </row>
    <row r="27" spans="1:11">
      <c r="A27" s="13"/>
      <c r="K27" s="14"/>
    </row>
    <row r="28" spans="1:11">
      <c r="A28" s="13"/>
      <c r="K28" s="14"/>
    </row>
    <row r="29" spans="1:11">
      <c r="A29" s="13"/>
      <c r="K29" s="14"/>
    </row>
    <row r="30" spans="1:11" ht="15.75" thickBot="1">
      <c r="A30" s="25"/>
      <c r="B30" s="23"/>
      <c r="C30" s="23"/>
      <c r="D30" s="23"/>
      <c r="E30" s="2" t="s">
        <v>38</v>
      </c>
      <c r="F30" s="360"/>
      <c r="G30" s="360"/>
      <c r="H30" s="360"/>
      <c r="I30" s="23"/>
      <c r="J30" s="23"/>
      <c r="K30" s="24"/>
    </row>
  </sheetData>
  <mergeCells count="12">
    <mergeCell ref="F8:K8"/>
    <mergeCell ref="A1:I1"/>
    <mergeCell ref="A2:I2"/>
    <mergeCell ref="A3:I3"/>
    <mergeCell ref="A4:I4"/>
    <mergeCell ref="D6:E6"/>
    <mergeCell ref="C18:I18"/>
    <mergeCell ref="F10:K10"/>
    <mergeCell ref="F12:K12"/>
    <mergeCell ref="A14:B14"/>
    <mergeCell ref="A16:B16"/>
    <mergeCell ref="A17:I17"/>
  </mergeCells>
  <pageMargins left="0.88" right="0.7" top="0.75" bottom="0.75" header="0.3" footer="0.3"/>
  <pageSetup scale="8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7"/>
  <sheetViews>
    <sheetView tabSelected="1" topLeftCell="N1" workbookViewId="0">
      <selection activeCell="Z8" sqref="Z8"/>
    </sheetView>
  </sheetViews>
  <sheetFormatPr defaultColWidth="9.140625" defaultRowHeight="15"/>
  <cols>
    <col min="1" max="1" width="5.85546875" style="9" customWidth="1"/>
    <col min="2" max="2" width="28.42578125" style="9" bestFit="1" customWidth="1"/>
    <col min="3" max="3" width="9.140625" style="9"/>
    <col min="4" max="4" width="6.85546875" style="9" customWidth="1"/>
    <col min="5" max="5" width="13.42578125" style="9" customWidth="1"/>
    <col min="6" max="6" width="9.85546875" style="9" customWidth="1"/>
    <col min="7" max="9" width="9.140625" style="9" customWidth="1"/>
    <col min="10" max="10" width="12.5703125" style="9" customWidth="1"/>
    <col min="11" max="40" width="4.42578125" style="9" customWidth="1"/>
    <col min="41" max="16384" width="9.140625" style="9"/>
  </cols>
  <sheetData>
    <row r="1" spans="1:41">
      <c r="A1" s="293"/>
      <c r="B1" s="293"/>
      <c r="C1" s="293"/>
      <c r="D1" s="293"/>
      <c r="E1" s="293"/>
      <c r="F1" s="293"/>
      <c r="G1" s="293"/>
      <c r="H1" s="293"/>
      <c r="I1" s="293"/>
      <c r="J1" s="293"/>
      <c r="K1" s="294"/>
      <c r="L1" s="294"/>
      <c r="M1" s="294"/>
      <c r="N1" s="294"/>
      <c r="O1" s="294"/>
      <c r="P1" s="294"/>
      <c r="Q1" s="294"/>
      <c r="R1" s="294"/>
      <c r="S1" s="294"/>
      <c r="T1" s="294"/>
      <c r="U1" s="294"/>
      <c r="V1" s="294"/>
      <c r="W1" s="294"/>
      <c r="X1" s="294"/>
      <c r="Y1" s="294"/>
      <c r="Z1" s="294"/>
      <c r="AA1" s="294"/>
      <c r="AB1" s="294"/>
      <c r="AC1" s="294"/>
      <c r="AD1" s="294"/>
      <c r="AE1" s="294"/>
      <c r="AF1" s="294"/>
      <c r="AG1" s="294"/>
      <c r="AH1" s="294"/>
      <c r="AI1" s="294"/>
      <c r="AJ1" s="294"/>
      <c r="AK1" s="294"/>
      <c r="AL1" s="294"/>
      <c r="AM1" s="312"/>
      <c r="AN1" s="312"/>
      <c r="AO1" s="294"/>
    </row>
    <row r="2" spans="1:41">
      <c r="A2" s="691" t="s">
        <v>390</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2"/>
      <c r="AN2" s="692"/>
      <c r="AO2" s="691"/>
    </row>
    <row r="3" spans="1:41">
      <c r="A3" s="693" t="s">
        <v>391</v>
      </c>
      <c r="B3" s="693"/>
      <c r="C3" s="693"/>
      <c r="D3" s="693"/>
      <c r="E3" s="693"/>
      <c r="F3" s="693"/>
      <c r="G3" s="693"/>
      <c r="H3" s="693"/>
      <c r="I3" s="693"/>
      <c r="J3" s="693"/>
      <c r="K3" s="693"/>
      <c r="L3" s="693"/>
      <c r="M3" s="693"/>
      <c r="N3" s="693"/>
      <c r="O3" s="693"/>
      <c r="P3" s="693"/>
      <c r="Q3" s="693"/>
      <c r="R3" s="693"/>
      <c r="S3" s="693"/>
      <c r="T3" s="693"/>
      <c r="U3" s="693"/>
      <c r="V3" s="693"/>
      <c r="W3" s="693"/>
      <c r="X3" s="693"/>
      <c r="Y3" s="693"/>
      <c r="Z3" s="693"/>
      <c r="AA3" s="693"/>
      <c r="AB3" s="693"/>
      <c r="AC3" s="693"/>
      <c r="AD3" s="693"/>
      <c r="AE3" s="693"/>
      <c r="AF3" s="693"/>
      <c r="AG3" s="693"/>
      <c r="AH3" s="693"/>
      <c r="AI3" s="693"/>
      <c r="AJ3" s="693"/>
      <c r="AK3" s="693"/>
      <c r="AL3" s="693"/>
      <c r="AM3" s="694"/>
      <c r="AN3" s="694"/>
      <c r="AO3" s="693"/>
    </row>
    <row r="4" spans="1:41">
      <c r="A4" s="695" t="s">
        <v>575</v>
      </c>
      <c r="B4" s="695"/>
      <c r="C4" s="695"/>
      <c r="D4" s="695"/>
      <c r="E4" s="695"/>
      <c r="F4" s="695"/>
      <c r="G4" s="695"/>
      <c r="H4" s="695"/>
      <c r="I4" s="695"/>
      <c r="J4" s="695"/>
      <c r="K4" s="695"/>
      <c r="L4" s="695"/>
      <c r="M4" s="695"/>
      <c r="N4" s="695"/>
      <c r="O4" s="695"/>
      <c r="P4" s="695"/>
      <c r="Q4" s="695"/>
      <c r="R4" s="695"/>
      <c r="S4" s="695"/>
      <c r="T4" s="695"/>
      <c r="U4" s="695"/>
      <c r="V4" s="695"/>
      <c r="W4" s="695"/>
      <c r="X4" s="695"/>
      <c r="Y4" s="695"/>
      <c r="Z4" s="695"/>
      <c r="AA4" s="695"/>
      <c r="AB4" s="695"/>
      <c r="AC4" s="695"/>
      <c r="AD4" s="695"/>
      <c r="AE4" s="695"/>
      <c r="AF4" s="695"/>
      <c r="AG4" s="695"/>
      <c r="AH4" s="695"/>
      <c r="AI4" s="695"/>
      <c r="AJ4" s="695"/>
      <c r="AK4" s="695"/>
      <c r="AL4" s="695"/>
      <c r="AM4" s="696"/>
      <c r="AN4" s="696"/>
      <c r="AO4" s="695"/>
    </row>
    <row r="5" spans="1:41" ht="14.45" customHeight="1">
      <c r="A5" s="698" t="s">
        <v>392</v>
      </c>
      <c r="B5" s="699"/>
      <c r="C5" s="699"/>
      <c r="D5" s="699"/>
      <c r="E5" s="699"/>
      <c r="F5" s="699"/>
      <c r="G5" s="699"/>
      <c r="H5" s="699"/>
      <c r="I5" s="699"/>
      <c r="J5" s="699"/>
      <c r="K5" s="699"/>
      <c r="L5" s="699"/>
      <c r="M5" s="699"/>
      <c r="N5" s="699"/>
      <c r="O5" s="699"/>
      <c r="P5" s="699"/>
      <c r="Q5" s="699"/>
      <c r="R5" s="699"/>
      <c r="S5" s="699"/>
      <c r="T5" s="699"/>
      <c r="U5" s="699"/>
      <c r="V5" s="699"/>
      <c r="W5" s="699"/>
      <c r="X5" s="699"/>
      <c r="Y5" s="699"/>
      <c r="Z5" s="699"/>
      <c r="AA5" s="699"/>
      <c r="AB5" s="699"/>
      <c r="AC5" s="699"/>
      <c r="AD5" s="699"/>
      <c r="AE5" s="699"/>
      <c r="AF5" s="699"/>
      <c r="AG5" s="699"/>
      <c r="AH5" s="699"/>
      <c r="AI5" s="699"/>
      <c r="AJ5" s="699"/>
      <c r="AK5" s="699"/>
      <c r="AL5" s="699"/>
      <c r="AM5" s="699"/>
      <c r="AN5" s="699"/>
      <c r="AO5" s="700"/>
    </row>
    <row r="6" spans="1:41">
      <c r="A6" s="295"/>
      <c r="B6" s="295"/>
      <c r="C6" s="295"/>
      <c r="D6" s="295"/>
      <c r="E6" s="295"/>
      <c r="F6" s="295"/>
      <c r="G6" s="691" t="s">
        <v>393</v>
      </c>
      <c r="H6" s="691"/>
      <c r="I6" s="691" t="s">
        <v>394</v>
      </c>
      <c r="J6" s="691"/>
      <c r="K6" s="697" t="s">
        <v>395</v>
      </c>
      <c r="L6" s="697"/>
      <c r="M6" s="697"/>
      <c r="N6" s="697"/>
      <c r="O6" s="697"/>
      <c r="P6" s="697"/>
      <c r="Q6" s="697"/>
      <c r="R6" s="697"/>
      <c r="S6" s="697"/>
      <c r="T6" s="697"/>
      <c r="U6" s="697"/>
      <c r="V6" s="697"/>
      <c r="W6" s="697"/>
      <c r="X6" s="697"/>
      <c r="Y6" s="697"/>
      <c r="Z6" s="697"/>
      <c r="AA6" s="697"/>
      <c r="AB6" s="697"/>
      <c r="AC6" s="697"/>
      <c r="AD6" s="697"/>
      <c r="AE6" s="697"/>
      <c r="AF6" s="697"/>
      <c r="AG6" s="697"/>
      <c r="AH6" s="697"/>
      <c r="AI6" s="697"/>
      <c r="AJ6" s="697"/>
      <c r="AK6" s="697"/>
      <c r="AL6" s="697"/>
      <c r="AM6" s="639"/>
      <c r="AN6" s="639"/>
      <c r="AO6" s="296"/>
    </row>
    <row r="7" spans="1:41" ht="33.75">
      <c r="A7" s="522" t="s">
        <v>359</v>
      </c>
      <c r="B7" s="522" t="s">
        <v>397</v>
      </c>
      <c r="C7" s="522" t="s">
        <v>205</v>
      </c>
      <c r="D7" s="522" t="s">
        <v>398</v>
      </c>
      <c r="E7" s="522" t="s">
        <v>399</v>
      </c>
      <c r="F7" s="522" t="s">
        <v>400</v>
      </c>
      <c r="G7" s="522" t="s">
        <v>363</v>
      </c>
      <c r="H7" s="522" t="s">
        <v>137</v>
      </c>
      <c r="I7" s="522" t="s">
        <v>363</v>
      </c>
      <c r="J7" s="522" t="s">
        <v>137</v>
      </c>
      <c r="K7" s="516">
        <v>1</v>
      </c>
      <c r="L7" s="516" t="s">
        <v>401</v>
      </c>
      <c r="M7" s="516" t="s">
        <v>402</v>
      </c>
      <c r="N7" s="516" t="s">
        <v>403</v>
      </c>
      <c r="O7" s="516" t="s">
        <v>404</v>
      </c>
      <c r="P7" s="516" t="s">
        <v>405</v>
      </c>
      <c r="Q7" s="516" t="s">
        <v>406</v>
      </c>
      <c r="R7" s="516" t="s">
        <v>407</v>
      </c>
      <c r="S7" s="516" t="s">
        <v>408</v>
      </c>
      <c r="T7" s="516" t="s">
        <v>409</v>
      </c>
      <c r="U7" s="516" t="s">
        <v>410</v>
      </c>
      <c r="V7" s="516" t="s">
        <v>411</v>
      </c>
      <c r="W7" s="516" t="s">
        <v>412</v>
      </c>
      <c r="X7" s="516" t="s">
        <v>413</v>
      </c>
      <c r="Y7" s="516" t="s">
        <v>414</v>
      </c>
      <c r="Z7" s="516" t="s">
        <v>415</v>
      </c>
      <c r="AA7" s="516" t="s">
        <v>416</v>
      </c>
      <c r="AB7" s="516" t="s">
        <v>417</v>
      </c>
      <c r="AC7" s="516" t="s">
        <v>418</v>
      </c>
      <c r="AD7" s="516" t="s">
        <v>419</v>
      </c>
      <c r="AE7" s="516" t="s">
        <v>420</v>
      </c>
      <c r="AF7" s="516" t="s">
        <v>421</v>
      </c>
      <c r="AG7" s="516" t="s">
        <v>422</v>
      </c>
      <c r="AH7" s="516" t="s">
        <v>423</v>
      </c>
      <c r="AI7" s="516" t="s">
        <v>424</v>
      </c>
      <c r="AJ7" s="516" t="s">
        <v>425</v>
      </c>
      <c r="AK7" s="516" t="s">
        <v>426</v>
      </c>
      <c r="AL7" s="516" t="s">
        <v>427</v>
      </c>
      <c r="AM7" s="516" t="s">
        <v>571</v>
      </c>
      <c r="AN7" s="516" t="s">
        <v>572</v>
      </c>
      <c r="AO7" s="523" t="s">
        <v>428</v>
      </c>
    </row>
    <row r="8" spans="1:41" ht="25.5" customHeight="1">
      <c r="A8" s="313">
        <v>1</v>
      </c>
      <c r="B8" s="314" t="str">
        <f>'BOM 04 22Master'!B17</f>
        <v>Naresh Kumar Kandula</v>
      </c>
      <c r="C8" s="406">
        <f>'BOM 04 22Master'!C17</f>
        <v>30263</v>
      </c>
      <c r="D8" s="333" t="str">
        <f>'BOM 04 22Master'!D17</f>
        <v>M</v>
      </c>
      <c r="E8" s="407">
        <f>'BOM 04 22Master'!N17</f>
        <v>44340</v>
      </c>
      <c r="F8" s="315" t="str">
        <f>'BOM 04 22Master'!F17</f>
        <v>Senior Software Engineer</v>
      </c>
      <c r="G8" s="524"/>
      <c r="H8" s="525"/>
      <c r="I8" s="525"/>
      <c r="J8" s="525"/>
      <c r="K8" s="638" t="s">
        <v>386</v>
      </c>
      <c r="L8" s="638" t="s">
        <v>568</v>
      </c>
      <c r="M8" s="638" t="s">
        <v>568</v>
      </c>
      <c r="N8" s="638" t="s">
        <v>386</v>
      </c>
      <c r="O8" s="638" t="s">
        <v>386</v>
      </c>
      <c r="P8" s="638" t="s">
        <v>386</v>
      </c>
      <c r="Q8" s="638" t="s">
        <v>386</v>
      </c>
      <c r="R8" s="638" t="s">
        <v>386</v>
      </c>
      <c r="S8" s="638" t="s">
        <v>568</v>
      </c>
      <c r="T8" s="638" t="s">
        <v>568</v>
      </c>
      <c r="U8" s="638" t="s">
        <v>386</v>
      </c>
      <c r="V8" s="638" t="s">
        <v>386</v>
      </c>
      <c r="W8" s="638" t="s">
        <v>386</v>
      </c>
      <c r="X8" s="638" t="s">
        <v>386</v>
      </c>
      <c r="Y8" s="638" t="s">
        <v>578</v>
      </c>
      <c r="Z8" s="638" t="s">
        <v>568</v>
      </c>
      <c r="AA8" s="638" t="s">
        <v>568</v>
      </c>
      <c r="AB8" s="638" t="s">
        <v>386</v>
      </c>
      <c r="AC8" s="638" t="s">
        <v>386</v>
      </c>
      <c r="AD8" s="638" t="s">
        <v>386</v>
      </c>
      <c r="AE8" s="638" t="s">
        <v>386</v>
      </c>
      <c r="AF8" s="638" t="s">
        <v>386</v>
      </c>
      <c r="AG8" s="638" t="s">
        <v>568</v>
      </c>
      <c r="AH8" s="638" t="s">
        <v>568</v>
      </c>
      <c r="AI8" s="638" t="s">
        <v>386</v>
      </c>
      <c r="AJ8" s="638" t="s">
        <v>386</v>
      </c>
      <c r="AK8" s="638" t="s">
        <v>386</v>
      </c>
      <c r="AL8" s="638" t="s">
        <v>386</v>
      </c>
      <c r="AM8" s="638" t="s">
        <v>386</v>
      </c>
      <c r="AN8" s="638" t="s">
        <v>568</v>
      </c>
      <c r="AO8" s="317">
        <f>'BOM 04 22Master'!W17</f>
        <v>30</v>
      </c>
    </row>
    <row r="9" spans="1:41" ht="25.5" customHeight="1">
      <c r="A9" s="419"/>
      <c r="B9" s="420"/>
      <c r="C9" s="421"/>
      <c r="D9" s="422"/>
      <c r="E9" s="423"/>
      <c r="F9" s="424"/>
      <c r="G9" s="424"/>
      <c r="H9" s="425"/>
      <c r="I9" s="425"/>
      <c r="J9" s="425"/>
      <c r="K9" s="514"/>
      <c r="L9" s="514"/>
      <c r="M9" s="514"/>
      <c r="N9" s="514"/>
      <c r="O9" s="514"/>
      <c r="P9" s="514"/>
      <c r="Q9" s="514"/>
      <c r="R9" s="514"/>
      <c r="S9" s="514"/>
      <c r="T9" s="514"/>
      <c r="U9" s="514"/>
      <c r="V9" s="514"/>
      <c r="W9" s="514"/>
      <c r="X9" s="514"/>
      <c r="Y9" s="514"/>
      <c r="Z9" s="514"/>
      <c r="AA9" s="514"/>
      <c r="AB9" s="514"/>
      <c r="AC9" s="514"/>
      <c r="AD9" s="515"/>
      <c r="AE9" s="515"/>
      <c r="AF9" s="515"/>
      <c r="AG9" s="514"/>
      <c r="AH9" s="514"/>
      <c r="AI9" s="514"/>
      <c r="AJ9" s="514"/>
      <c r="AK9" s="515"/>
      <c r="AL9" s="515"/>
      <c r="AM9" s="515"/>
      <c r="AN9" s="515"/>
      <c r="AO9" s="427"/>
    </row>
    <row r="10" spans="1:41" ht="25.5" customHeight="1">
      <c r="A10" s="419"/>
      <c r="B10" s="420"/>
      <c r="C10" s="421"/>
      <c r="D10" s="422"/>
      <c r="E10" s="423"/>
      <c r="F10" s="424"/>
      <c r="G10" s="424"/>
      <c r="H10" s="425"/>
      <c r="I10" s="425"/>
      <c r="J10" s="425"/>
      <c r="K10" s="514"/>
      <c r="L10" s="514"/>
      <c r="M10" s="514"/>
      <c r="N10" s="514"/>
      <c r="O10" s="514"/>
      <c r="P10" s="514"/>
      <c r="Q10" s="514"/>
      <c r="R10" s="514"/>
      <c r="S10" s="514"/>
      <c r="T10" s="514"/>
      <c r="U10" s="514"/>
      <c r="V10" s="514"/>
      <c r="W10" s="514"/>
      <c r="X10" s="514"/>
      <c r="Y10" s="514"/>
      <c r="Z10" s="514"/>
      <c r="AA10" s="514"/>
      <c r="AB10" s="514"/>
      <c r="AC10" s="514"/>
      <c r="AD10" s="515"/>
      <c r="AE10" s="515"/>
      <c r="AF10" s="515"/>
      <c r="AG10" s="514"/>
      <c r="AH10" s="514"/>
      <c r="AI10" s="514"/>
      <c r="AJ10" s="514"/>
      <c r="AK10" s="515"/>
      <c r="AL10" s="515"/>
      <c r="AM10" s="515"/>
      <c r="AN10" s="515"/>
      <c r="AO10" s="427"/>
    </row>
    <row r="11" spans="1:41" ht="15.75">
      <c r="A11" s="419"/>
      <c r="B11" s="420"/>
      <c r="C11" s="421"/>
      <c r="D11" s="422"/>
      <c r="E11" s="423"/>
      <c r="F11" s="424"/>
      <c r="G11" s="424"/>
      <c r="H11" s="425"/>
      <c r="I11" s="425"/>
      <c r="J11" s="425"/>
      <c r="K11" s="426"/>
      <c r="L11" s="426"/>
      <c r="M11" s="426"/>
      <c r="N11" s="426"/>
      <c r="O11" s="426"/>
      <c r="P11" s="426"/>
      <c r="Q11" s="426"/>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7"/>
    </row>
    <row r="12" spans="1:41" ht="15.75">
      <c r="A12" s="419"/>
      <c r="B12" s="420"/>
      <c r="C12" s="421"/>
      <c r="D12" s="422"/>
      <c r="E12" s="423"/>
      <c r="F12" s="424"/>
      <c r="G12" s="424"/>
      <c r="H12" s="425"/>
      <c r="I12" s="425"/>
      <c r="J12" s="425"/>
      <c r="K12" s="426"/>
      <c r="L12" s="426"/>
      <c r="M12" s="426"/>
      <c r="N12" s="426"/>
      <c r="O12" s="426"/>
      <c r="P12" s="426"/>
      <c r="Q12" s="426"/>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7"/>
    </row>
    <row r="13" spans="1:41" ht="15.75">
      <c r="A13" s="419"/>
      <c r="B13" s="420"/>
      <c r="C13" s="421"/>
      <c r="D13" s="422"/>
      <c r="E13" s="423"/>
      <c r="F13" s="424"/>
      <c r="G13" s="424"/>
      <c r="H13" s="425"/>
      <c r="I13" s="425"/>
      <c r="J13" s="425"/>
      <c r="K13" s="426"/>
      <c r="L13" s="426"/>
      <c r="M13" s="426"/>
      <c r="N13" s="426"/>
      <c r="O13" s="426"/>
      <c r="P13" s="426"/>
      <c r="Q13" s="426"/>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7"/>
    </row>
    <row r="14" spans="1:41" ht="15.75">
      <c r="A14" s="419"/>
      <c r="B14" s="420"/>
      <c r="C14" s="421"/>
      <c r="D14" s="422"/>
      <c r="E14" s="423"/>
      <c r="F14" s="424"/>
      <c r="G14" s="424"/>
      <c r="H14" s="425"/>
      <c r="I14" s="425"/>
      <c r="J14" s="425"/>
      <c r="K14" s="426"/>
      <c r="L14" s="426"/>
      <c r="M14" s="426"/>
      <c r="N14" s="426"/>
      <c r="O14" s="426"/>
      <c r="P14" s="426"/>
      <c r="Q14" s="426"/>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7"/>
    </row>
    <row r="15" spans="1:41" ht="15.75">
      <c r="A15" s="419"/>
      <c r="B15" s="420"/>
      <c r="C15" s="421"/>
      <c r="D15" s="422"/>
      <c r="E15" s="423"/>
      <c r="F15" s="424"/>
      <c r="G15" s="424"/>
      <c r="H15" s="425"/>
      <c r="I15" s="425"/>
      <c r="J15" s="425"/>
      <c r="K15" s="426"/>
      <c r="L15" s="426"/>
      <c r="M15" s="426"/>
      <c r="N15" s="426"/>
      <c r="O15" s="426"/>
      <c r="P15" s="426"/>
      <c r="Q15" s="426"/>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7"/>
    </row>
    <row r="17" spans="29:36">
      <c r="AC17" s="690" t="s">
        <v>38</v>
      </c>
      <c r="AD17" s="690"/>
      <c r="AE17" s="690"/>
      <c r="AF17" s="690"/>
      <c r="AG17" s="690"/>
      <c r="AH17" s="690"/>
      <c r="AI17" s="690"/>
      <c r="AJ17" s="690"/>
    </row>
  </sheetData>
  <mergeCells count="8">
    <mergeCell ref="AC17:AJ17"/>
    <mergeCell ref="A2:AO2"/>
    <mergeCell ref="A3:AO3"/>
    <mergeCell ref="A4:AO4"/>
    <mergeCell ref="G6:H6"/>
    <mergeCell ref="I6:J6"/>
    <mergeCell ref="K6:AL6"/>
    <mergeCell ref="A5:AO5"/>
  </mergeCells>
  <phoneticPr fontId="69" type="noConversion"/>
  <pageMargins left="0.70866141732283472" right="0.70866141732283472" top="0.74803149606299213" bottom="0.74803149606299213" header="0.31496062992125984" footer="0.31496062992125984"/>
  <pageSetup paperSize="8" scale="9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2"/>
  <sheetViews>
    <sheetView zoomScale="90" zoomScaleNormal="90" workbookViewId="0">
      <selection activeCell="C22" sqref="C22"/>
    </sheetView>
  </sheetViews>
  <sheetFormatPr defaultRowHeight="15"/>
  <cols>
    <col min="3" max="3" width="8.5703125" customWidth="1"/>
    <col min="4" max="4" width="29.42578125" customWidth="1"/>
    <col min="5" max="5" width="20.85546875" customWidth="1"/>
    <col min="7" max="7" width="11.140625" customWidth="1"/>
    <col min="14" max="14" width="25.5703125" customWidth="1"/>
    <col min="15" max="15" width="27.140625" customWidth="1"/>
  </cols>
  <sheetData>
    <row r="1" spans="1:16" s="360" customFormat="1">
      <c r="A1" s="704" t="s">
        <v>453</v>
      </c>
      <c r="B1" s="705"/>
      <c r="C1" s="705"/>
      <c r="D1" s="705"/>
      <c r="E1" s="705"/>
      <c r="F1" s="705"/>
      <c r="G1" s="705"/>
      <c r="H1" s="705"/>
      <c r="I1" s="705"/>
      <c r="J1" s="705"/>
      <c r="K1" s="705"/>
      <c r="L1" s="705"/>
      <c r="M1" s="705"/>
      <c r="N1" s="705"/>
      <c r="O1" s="50"/>
      <c r="P1" s="52"/>
    </row>
    <row r="2" spans="1:16" s="360" customFormat="1" ht="15.75" thickBot="1">
      <c r="A2" s="706"/>
      <c r="B2" s="707"/>
      <c r="C2" s="707"/>
      <c r="D2" s="707"/>
      <c r="E2" s="707"/>
      <c r="F2" s="707"/>
      <c r="G2" s="707"/>
      <c r="H2" s="707"/>
      <c r="I2" s="707"/>
      <c r="J2" s="707"/>
      <c r="K2" s="707"/>
      <c r="L2" s="707"/>
      <c r="M2" s="707"/>
      <c r="N2" s="707"/>
      <c r="O2" s="25"/>
      <c r="P2" s="24"/>
    </row>
    <row r="3" spans="1:16" s="360" customFormat="1" ht="15.75" thickBot="1">
      <c r="A3" s="708" t="s">
        <v>454</v>
      </c>
      <c r="B3" s="709"/>
      <c r="C3" s="709"/>
      <c r="D3" s="709"/>
      <c r="E3" s="709"/>
      <c r="F3" s="709"/>
      <c r="G3" s="709"/>
      <c r="H3" s="709"/>
      <c r="I3" s="709"/>
      <c r="J3" s="709"/>
      <c r="K3" s="709"/>
      <c r="L3" s="709"/>
      <c r="M3" s="709"/>
      <c r="N3" s="709"/>
      <c r="O3" s="13"/>
      <c r="P3" s="14"/>
    </row>
    <row r="4" spans="1:16" s="360" customFormat="1">
      <c r="A4" s="334" t="s">
        <v>486</v>
      </c>
      <c r="B4" s="298"/>
      <c r="C4" s="298"/>
      <c r="D4" s="299"/>
      <c r="E4" s="710" t="s">
        <v>487</v>
      </c>
      <c r="F4" s="711"/>
      <c r="G4" s="711"/>
      <c r="H4" s="335"/>
      <c r="I4" s="335"/>
      <c r="J4" s="335"/>
      <c r="K4" s="335"/>
      <c r="L4" s="335"/>
      <c r="M4" s="335"/>
      <c r="N4" s="335"/>
      <c r="O4" s="13"/>
      <c r="P4" s="14"/>
    </row>
    <row r="5" spans="1:16" s="360" customFormat="1">
      <c r="A5" s="336"/>
      <c r="B5" s="300" t="str">
        <f>'BOM 04 22Master'!F5</f>
        <v>Burgeon IT Services Pvt.Ltd.</v>
      </c>
      <c r="C5" s="300"/>
      <c r="D5" s="301"/>
      <c r="E5" s="337"/>
      <c r="F5" s="338"/>
      <c r="G5" s="712" t="str">
        <f>'BOM 04 22Master'!B17</f>
        <v>Naresh Kumar Kandula</v>
      </c>
      <c r="H5" s="712"/>
      <c r="I5" s="712"/>
      <c r="J5" s="338"/>
      <c r="K5" s="338"/>
      <c r="L5" s="338"/>
      <c r="M5" s="338"/>
      <c r="N5" s="338"/>
      <c r="O5" s="13"/>
      <c r="P5" s="14"/>
    </row>
    <row r="6" spans="1:16" s="360" customFormat="1" ht="15.75" thickBot="1">
      <c r="A6" s="302"/>
      <c r="B6" s="303" t="str">
        <f>'BOM 04 22Master'!F6</f>
        <v>Siri Mansion LIGB 436 Dr.A S Rao Nagar,Hyderabad</v>
      </c>
      <c r="C6" s="303"/>
      <c r="D6" s="304"/>
      <c r="E6" s="337"/>
      <c r="F6" s="338"/>
      <c r="G6" s="338"/>
      <c r="H6" s="338"/>
      <c r="I6" s="338"/>
      <c r="J6" s="338"/>
      <c r="K6" s="338"/>
      <c r="L6" s="338"/>
      <c r="M6" s="338"/>
      <c r="N6" s="338"/>
      <c r="O6" s="13"/>
      <c r="P6" s="14"/>
    </row>
    <row r="7" spans="1:16" s="360" customFormat="1">
      <c r="A7" s="305" t="s">
        <v>488</v>
      </c>
      <c r="B7" s="298"/>
      <c r="C7" s="298"/>
      <c r="D7" s="299"/>
      <c r="E7" s="305" t="s">
        <v>455</v>
      </c>
      <c r="F7" s="298"/>
      <c r="G7" s="339">
        <f>'BOM 04 22Master'!N17</f>
        <v>44340</v>
      </c>
      <c r="H7" s="298"/>
      <c r="I7" s="298"/>
      <c r="J7" s="298"/>
      <c r="K7" s="298"/>
      <c r="L7" s="298"/>
      <c r="M7" s="298"/>
      <c r="N7" s="298"/>
      <c r="O7" s="13"/>
      <c r="P7" s="14"/>
    </row>
    <row r="8" spans="1:16" s="360" customFormat="1">
      <c r="A8" s="336"/>
      <c r="B8" s="300"/>
      <c r="C8" s="300"/>
      <c r="D8" s="301"/>
      <c r="E8" s="306"/>
      <c r="F8" s="300"/>
      <c r="G8" s="300"/>
      <c r="H8" s="300"/>
      <c r="I8" s="300"/>
      <c r="J8" s="300"/>
      <c r="K8" s="300"/>
      <c r="L8" s="300"/>
      <c r="M8" s="300"/>
      <c r="N8" s="300"/>
      <c r="O8" s="13"/>
      <c r="P8" s="14"/>
    </row>
    <row r="9" spans="1:16" s="360" customFormat="1">
      <c r="A9" s="336"/>
      <c r="B9" s="300"/>
      <c r="C9" s="300"/>
      <c r="D9" s="301"/>
      <c r="E9" s="340"/>
      <c r="F9" s="300"/>
      <c r="G9" s="300"/>
      <c r="H9" s="300"/>
      <c r="I9" s="300"/>
      <c r="J9" s="300"/>
      <c r="K9" s="300"/>
      <c r="L9" s="300"/>
      <c r="M9" s="300"/>
      <c r="N9" s="300"/>
      <c r="O9" s="13"/>
      <c r="P9" s="14"/>
    </row>
    <row r="10" spans="1:16" s="360" customFormat="1" ht="15.75" thickBot="1">
      <c r="A10" s="362"/>
      <c r="B10" s="308"/>
      <c r="C10" s="308"/>
      <c r="D10" s="341"/>
      <c r="E10" s="302"/>
      <c r="F10" s="303"/>
      <c r="G10" s="303"/>
      <c r="H10" s="303"/>
      <c r="I10" s="303"/>
      <c r="J10" s="303"/>
      <c r="K10" s="303"/>
      <c r="L10" s="303"/>
      <c r="M10" s="303"/>
      <c r="N10" s="303"/>
      <c r="O10" s="25"/>
      <c r="P10" s="24"/>
    </row>
    <row r="11" spans="1:16" s="360" customFormat="1">
      <c r="A11" s="713" t="s">
        <v>5</v>
      </c>
      <c r="B11" s="715" t="s">
        <v>456</v>
      </c>
      <c r="C11" s="716"/>
      <c r="D11" s="715" t="s">
        <v>457</v>
      </c>
      <c r="E11" s="718"/>
      <c r="F11" s="721" t="s">
        <v>458</v>
      </c>
      <c r="G11" s="717" t="s">
        <v>459</v>
      </c>
      <c r="H11" s="723"/>
      <c r="I11" s="724" t="s">
        <v>460</v>
      </c>
      <c r="J11" s="723"/>
      <c r="K11" s="725"/>
      <c r="L11" s="724" t="s">
        <v>461</v>
      </c>
      <c r="M11" s="723"/>
      <c r="N11" s="723"/>
      <c r="O11" s="701" t="s">
        <v>462</v>
      </c>
      <c r="P11" s="701" t="s">
        <v>40</v>
      </c>
    </row>
    <row r="12" spans="1:16" s="360" customFormat="1" ht="15.75" thickBot="1">
      <c r="A12" s="714"/>
      <c r="B12" s="717"/>
      <c r="C12" s="718"/>
      <c r="D12" s="717"/>
      <c r="E12" s="718"/>
      <c r="F12" s="722"/>
      <c r="G12" s="717"/>
      <c r="H12" s="723"/>
      <c r="I12" s="726"/>
      <c r="J12" s="727"/>
      <c r="K12" s="728"/>
      <c r="L12" s="726"/>
      <c r="M12" s="727"/>
      <c r="N12" s="727"/>
      <c r="O12" s="702"/>
      <c r="P12" s="702"/>
    </row>
    <row r="13" spans="1:16" s="360" customFormat="1">
      <c r="A13" s="363">
        <v>1</v>
      </c>
      <c r="B13" s="719"/>
      <c r="C13" s="720"/>
      <c r="D13" s="719"/>
      <c r="E13" s="720"/>
      <c r="F13" s="311">
        <v>6</v>
      </c>
      <c r="G13" s="719"/>
      <c r="H13" s="720"/>
      <c r="I13" s="342">
        <v>9</v>
      </c>
      <c r="J13" s="342"/>
      <c r="K13" s="342"/>
      <c r="L13" s="342">
        <v>9</v>
      </c>
      <c r="M13" s="342"/>
      <c r="N13" s="342"/>
      <c r="O13" s="329" t="s">
        <v>463</v>
      </c>
      <c r="P13" s="364"/>
    </row>
    <row r="14" spans="1:16" s="360" customFormat="1" ht="25.5">
      <c r="A14" s="365"/>
      <c r="B14" s="343" t="s">
        <v>464</v>
      </c>
      <c r="C14" s="343" t="s">
        <v>465</v>
      </c>
      <c r="D14" s="330" t="s">
        <v>466</v>
      </c>
      <c r="E14" s="330" t="s">
        <v>137</v>
      </c>
      <c r="F14" s="330"/>
      <c r="G14" s="330" t="s">
        <v>467</v>
      </c>
      <c r="H14" s="330" t="s">
        <v>468</v>
      </c>
      <c r="I14" s="330" t="s">
        <v>469</v>
      </c>
      <c r="J14" s="330" t="s">
        <v>470</v>
      </c>
      <c r="K14" s="330" t="s">
        <v>471</v>
      </c>
      <c r="L14" s="330" t="s">
        <v>472</v>
      </c>
      <c r="M14" s="330" t="s">
        <v>473</v>
      </c>
      <c r="N14" s="343" t="s">
        <v>474</v>
      </c>
      <c r="O14" s="366"/>
      <c r="P14" s="367"/>
    </row>
    <row r="15" spans="1:16" s="360" customFormat="1">
      <c r="A15" s="365" t="s">
        <v>569</v>
      </c>
      <c r="B15" s="502">
        <v>0</v>
      </c>
      <c r="C15" s="330">
        <v>1</v>
      </c>
      <c r="D15" s="344">
        <v>44571</v>
      </c>
      <c r="E15" s="344">
        <v>44571</v>
      </c>
      <c r="F15" s="330">
        <v>9</v>
      </c>
      <c r="G15" s="330"/>
      <c r="H15" s="330"/>
      <c r="I15" s="330" t="s">
        <v>496</v>
      </c>
      <c r="J15" s="330" t="s">
        <v>496</v>
      </c>
      <c r="K15" s="330" t="s">
        <v>496</v>
      </c>
      <c r="L15" s="330"/>
      <c r="M15" s="330"/>
      <c r="N15" s="330"/>
      <c r="O15" s="368"/>
      <c r="P15" s="369"/>
    </row>
    <row r="16" spans="1:16" s="360" customFormat="1">
      <c r="A16" s="365" t="s">
        <v>570</v>
      </c>
      <c r="B16" s="502">
        <v>0</v>
      </c>
      <c r="C16" s="502">
        <v>0</v>
      </c>
      <c r="D16" s="502">
        <v>0</v>
      </c>
      <c r="E16" s="502">
        <v>0</v>
      </c>
      <c r="F16" s="637">
        <f>F15+1.5-C16</f>
        <v>10.5</v>
      </c>
      <c r="G16" s="330"/>
      <c r="H16" s="330"/>
      <c r="I16" s="330" t="s">
        <v>496</v>
      </c>
      <c r="J16" s="330" t="s">
        <v>496</v>
      </c>
      <c r="K16" s="330" t="s">
        <v>496</v>
      </c>
      <c r="L16" s="330"/>
      <c r="M16" s="330"/>
      <c r="N16" s="330"/>
      <c r="O16" s="368"/>
      <c r="P16" s="369"/>
    </row>
    <row r="17" spans="1:16" s="360" customFormat="1">
      <c r="A17" s="365" t="s">
        <v>573</v>
      </c>
      <c r="B17" s="502">
        <v>0</v>
      </c>
      <c r="C17" s="502">
        <v>0</v>
      </c>
      <c r="D17" s="502">
        <v>0</v>
      </c>
      <c r="E17" s="502">
        <v>0</v>
      </c>
      <c r="F17" s="637">
        <f>F16+1.5-C17</f>
        <v>12</v>
      </c>
      <c r="G17" s="330"/>
      <c r="H17" s="330"/>
      <c r="I17" s="330" t="s">
        <v>496</v>
      </c>
      <c r="J17" s="330" t="s">
        <v>496</v>
      </c>
      <c r="K17" s="330" t="s">
        <v>496</v>
      </c>
      <c r="L17" s="330"/>
      <c r="M17" s="330"/>
      <c r="N17" s="330"/>
      <c r="O17" s="368"/>
      <c r="P17" s="369"/>
    </row>
    <row r="18" spans="1:16" s="360" customFormat="1">
      <c r="A18" s="365" t="s">
        <v>576</v>
      </c>
      <c r="B18" s="502">
        <v>0</v>
      </c>
      <c r="C18" s="502">
        <v>0</v>
      </c>
      <c r="D18" s="502">
        <v>0</v>
      </c>
      <c r="E18" s="502">
        <v>0</v>
      </c>
      <c r="F18" s="637">
        <f>F17+1.5-C18</f>
        <v>13.5</v>
      </c>
      <c r="G18" s="330"/>
      <c r="H18" s="330"/>
      <c r="I18" s="330" t="s">
        <v>496</v>
      </c>
      <c r="J18" s="330" t="s">
        <v>496</v>
      </c>
      <c r="K18" s="330" t="s">
        <v>496</v>
      </c>
      <c r="L18" s="330"/>
      <c r="M18" s="330"/>
      <c r="N18" s="330"/>
      <c r="O18" s="368"/>
      <c r="P18" s="369"/>
    </row>
    <row r="19" spans="1:16" s="360" customFormat="1">
      <c r="A19" s="569"/>
      <c r="B19" s="330"/>
      <c r="C19" s="330"/>
      <c r="D19" s="484"/>
      <c r="E19" s="484"/>
      <c r="F19" s="330"/>
      <c r="G19" s="330"/>
      <c r="H19" s="330"/>
      <c r="I19" s="330"/>
      <c r="J19" s="330"/>
      <c r="K19" s="330"/>
      <c r="L19" s="330"/>
      <c r="M19" s="330"/>
      <c r="N19" s="330"/>
      <c r="O19" s="368"/>
      <c r="P19" s="369"/>
    </row>
    <row r="20" spans="1:16" s="360" customFormat="1">
      <c r="A20" s="569"/>
      <c r="B20" s="330"/>
      <c r="C20" s="330"/>
      <c r="D20" s="484"/>
      <c r="E20" s="484"/>
      <c r="F20" s="330"/>
      <c r="G20" s="330"/>
      <c r="H20" s="330"/>
      <c r="I20" s="330"/>
      <c r="J20" s="330"/>
      <c r="K20" s="330"/>
      <c r="L20" s="330"/>
      <c r="M20" s="330"/>
      <c r="N20" s="330"/>
      <c r="O20" s="368"/>
      <c r="P20" s="369"/>
    </row>
    <row r="21" spans="1:16" s="360" customFormat="1">
      <c r="A21" s="569"/>
      <c r="B21" s="330"/>
      <c r="C21" s="330"/>
      <c r="D21" s="484"/>
      <c r="E21" s="484"/>
      <c r="F21" s="330"/>
      <c r="G21" s="330"/>
      <c r="H21" s="330"/>
      <c r="I21" s="330"/>
      <c r="J21" s="330"/>
      <c r="K21" s="330"/>
      <c r="L21" s="330"/>
      <c r="M21" s="330"/>
      <c r="N21" s="330"/>
      <c r="O21" s="368"/>
      <c r="P21" s="369"/>
    </row>
    <row r="22" spans="1:16" s="360" customFormat="1">
      <c r="A22" s="569"/>
      <c r="B22" s="330"/>
      <c r="C22" s="330"/>
      <c r="D22" s="484"/>
      <c r="E22" s="484"/>
      <c r="F22" s="330"/>
      <c r="G22" s="330"/>
      <c r="H22" s="330"/>
      <c r="I22" s="330"/>
      <c r="J22" s="330"/>
      <c r="K22" s="330"/>
      <c r="L22" s="330"/>
      <c r="M22" s="330"/>
      <c r="N22" s="330"/>
      <c r="O22" s="368"/>
      <c r="P22" s="369"/>
    </row>
    <row r="23" spans="1:16" s="360" customFormat="1">
      <c r="A23" s="370"/>
      <c r="B23" s="330"/>
      <c r="C23" s="330"/>
      <c r="D23" s="484"/>
      <c r="E23" s="484"/>
      <c r="F23" s="330"/>
      <c r="G23" s="330"/>
      <c r="H23" s="330"/>
      <c r="I23" s="330"/>
      <c r="J23" s="330"/>
      <c r="K23" s="330"/>
      <c r="L23" s="330"/>
      <c r="M23" s="330"/>
      <c r="N23" s="330"/>
      <c r="O23" s="368"/>
      <c r="P23" s="369"/>
    </row>
    <row r="24" spans="1:16" s="360" customFormat="1">
      <c r="A24" s="370"/>
      <c r="B24" s="330"/>
      <c r="C24" s="330"/>
      <c r="D24" s="330"/>
      <c r="E24" s="330"/>
      <c r="F24" s="330"/>
      <c r="G24" s="330"/>
      <c r="H24" s="330"/>
      <c r="I24" s="330"/>
      <c r="J24" s="330"/>
      <c r="K24" s="330"/>
      <c r="L24" s="330"/>
      <c r="M24" s="330"/>
      <c r="N24" s="330"/>
      <c r="O24" s="368"/>
      <c r="P24" s="369"/>
    </row>
    <row r="25" spans="1:16" s="360" customFormat="1">
      <c r="A25" s="370"/>
      <c r="B25" s="330"/>
      <c r="C25" s="330"/>
      <c r="D25" s="344"/>
      <c r="E25" s="344"/>
      <c r="F25" s="330"/>
      <c r="G25" s="330"/>
      <c r="H25" s="330"/>
      <c r="I25" s="330"/>
      <c r="J25" s="330"/>
      <c r="K25" s="330"/>
      <c r="L25" s="330"/>
      <c r="M25" s="330"/>
      <c r="N25" s="330"/>
      <c r="O25" s="368"/>
      <c r="P25" s="369"/>
    </row>
    <row r="26" spans="1:16" s="360" customFormat="1">
      <c r="A26" s="370"/>
      <c r="B26" s="330"/>
      <c r="C26" s="330"/>
      <c r="D26" s="344"/>
      <c r="E26" s="344"/>
      <c r="F26" s="330"/>
      <c r="G26" s="330"/>
      <c r="H26" s="330"/>
      <c r="I26" s="330"/>
      <c r="J26" s="330"/>
      <c r="K26" s="330"/>
      <c r="L26" s="330"/>
      <c r="M26" s="330"/>
      <c r="N26" s="330"/>
      <c r="O26" s="368"/>
      <c r="P26" s="369"/>
    </row>
    <row r="27" spans="1:16" s="360" customFormat="1">
      <c r="A27" s="370"/>
      <c r="B27" s="330"/>
      <c r="C27" s="330"/>
      <c r="D27" s="344"/>
      <c r="E27" s="344"/>
      <c r="F27" s="330"/>
      <c r="G27" s="330"/>
      <c r="H27" s="330"/>
      <c r="I27" s="330"/>
      <c r="J27" s="330"/>
      <c r="K27" s="330"/>
      <c r="L27" s="330"/>
      <c r="M27" s="330"/>
      <c r="N27" s="330"/>
      <c r="O27" s="368"/>
      <c r="P27" s="369"/>
    </row>
    <row r="28" spans="1:16" s="360" customFormat="1">
      <c r="A28" s="370"/>
      <c r="B28" s="330"/>
      <c r="C28" s="330"/>
      <c r="D28" s="344"/>
      <c r="E28" s="344"/>
      <c r="F28" s="330"/>
      <c r="G28" s="330"/>
      <c r="H28" s="330"/>
      <c r="I28" s="330"/>
      <c r="J28" s="330"/>
      <c r="K28" s="330"/>
      <c r="L28" s="330"/>
      <c r="M28" s="330"/>
      <c r="N28" s="330"/>
      <c r="O28" s="368"/>
      <c r="P28" s="369"/>
    </row>
    <row r="29" spans="1:16" s="360" customFormat="1">
      <c r="A29" s="365"/>
      <c r="B29" s="330"/>
      <c r="C29" s="330"/>
      <c r="D29" s="330"/>
      <c r="E29" s="330"/>
      <c r="F29" s="330"/>
      <c r="G29" s="330"/>
      <c r="H29" s="330"/>
      <c r="I29" s="330"/>
      <c r="J29" s="330"/>
      <c r="K29" s="330"/>
      <c r="L29" s="330"/>
      <c r="M29" s="330"/>
      <c r="N29" s="330"/>
      <c r="O29" s="368"/>
      <c r="P29" s="369"/>
    </row>
    <row r="30" spans="1:16" s="360" customFormat="1">
      <c r="A30" s="365"/>
      <c r="B30" s="371"/>
      <c r="C30" s="330"/>
      <c r="D30" s="330"/>
      <c r="E30" s="330"/>
      <c r="F30" s="330"/>
      <c r="G30" s="330"/>
      <c r="H30" s="330"/>
      <c r="I30" s="330"/>
      <c r="J30" s="330"/>
      <c r="K30" s="330"/>
      <c r="L30" s="330"/>
      <c r="M30" s="330"/>
      <c r="N30" s="330"/>
      <c r="O30" s="368"/>
      <c r="P30" s="369"/>
    </row>
    <row r="31" spans="1:16" s="360" customFormat="1">
      <c r="A31" s="365"/>
      <c r="B31" s="330"/>
      <c r="C31" s="330"/>
      <c r="D31" s="330"/>
      <c r="E31" s="330"/>
      <c r="F31" s="330"/>
      <c r="G31" s="330"/>
      <c r="H31" s="330"/>
      <c r="I31" s="330"/>
      <c r="J31" s="330"/>
      <c r="K31" s="330"/>
      <c r="L31" s="330"/>
      <c r="M31" s="330"/>
      <c r="N31" s="330"/>
      <c r="O31" s="368"/>
      <c r="P31" s="369"/>
    </row>
    <row r="32" spans="1:16" s="360" customFormat="1">
      <c r="A32" s="365"/>
      <c r="B32" s="330"/>
      <c r="C32" s="330"/>
      <c r="D32" s="330"/>
      <c r="E32" s="330"/>
      <c r="F32" s="330"/>
      <c r="G32" s="330"/>
      <c r="H32" s="330"/>
      <c r="I32" s="330"/>
      <c r="J32" s="330"/>
      <c r="K32" s="330"/>
      <c r="L32" s="330"/>
      <c r="M32" s="330"/>
      <c r="N32" s="330"/>
      <c r="O32" s="368"/>
      <c r="P32" s="369"/>
    </row>
    <row r="33" spans="1:16" s="360" customFormat="1">
      <c r="A33" s="365"/>
      <c r="B33" s="330"/>
      <c r="C33" s="330"/>
      <c r="D33" s="330"/>
      <c r="E33" s="330"/>
      <c r="F33" s="330"/>
      <c r="G33" s="330"/>
      <c r="H33" s="330"/>
      <c r="I33" s="330"/>
      <c r="J33" s="330"/>
      <c r="K33" s="330"/>
      <c r="L33" s="330"/>
      <c r="M33" s="330"/>
      <c r="N33" s="330"/>
      <c r="O33" s="368"/>
      <c r="P33" s="369"/>
    </row>
    <row r="34" spans="1:16" s="360" customFormat="1">
      <c r="A34" s="365"/>
      <c r="B34" s="330"/>
      <c r="C34" s="330"/>
      <c r="D34" s="330"/>
      <c r="E34" s="330"/>
      <c r="F34" s="330"/>
      <c r="G34" s="330"/>
      <c r="H34" s="330"/>
      <c r="I34" s="330"/>
      <c r="J34" s="330"/>
      <c r="K34" s="330"/>
      <c r="L34" s="330"/>
      <c r="M34" s="330"/>
      <c r="N34" s="330"/>
      <c r="O34" s="368"/>
      <c r="P34" s="369"/>
    </row>
    <row r="35" spans="1:16" s="360" customFormat="1">
      <c r="A35" s="365"/>
      <c r="B35" s="330"/>
      <c r="C35" s="330"/>
      <c r="D35" s="330"/>
      <c r="E35" s="330"/>
      <c r="F35" s="330"/>
      <c r="G35" s="330"/>
      <c r="H35" s="330"/>
      <c r="I35" s="330"/>
      <c r="J35" s="330"/>
      <c r="K35" s="330"/>
      <c r="L35" s="330"/>
      <c r="M35" s="330"/>
      <c r="N35" s="330"/>
      <c r="O35" s="368"/>
      <c r="P35" s="369"/>
    </row>
    <row r="36" spans="1:16" s="360" customFormat="1">
      <c r="A36" s="372"/>
      <c r="B36" s="371"/>
      <c r="C36" s="371"/>
      <c r="D36" s="371"/>
      <c r="E36" s="371"/>
      <c r="F36" s="371"/>
      <c r="G36" s="371"/>
      <c r="H36" s="371"/>
      <c r="I36" s="371"/>
      <c r="J36" s="371"/>
      <c r="K36" s="371"/>
      <c r="L36" s="371"/>
      <c r="M36" s="371"/>
      <c r="N36" s="371"/>
      <c r="O36" s="351"/>
      <c r="P36" s="14"/>
    </row>
    <row r="37" spans="1:16" s="360" customFormat="1">
      <c r="A37" s="372"/>
      <c r="B37" s="371"/>
      <c r="C37" s="371"/>
      <c r="D37" s="371"/>
      <c r="E37" s="371"/>
      <c r="F37" s="371"/>
      <c r="G37" s="371"/>
      <c r="H37" s="371"/>
      <c r="I37" s="371"/>
      <c r="J37" s="371"/>
      <c r="K37" s="371"/>
      <c r="L37" s="371"/>
      <c r="M37" s="371"/>
      <c r="N37" s="371"/>
      <c r="O37" s="351"/>
      <c r="P37" s="14"/>
    </row>
    <row r="38" spans="1:16" s="360" customFormat="1">
      <c r="A38" s="372"/>
      <c r="B38" s="371"/>
      <c r="C38" s="371"/>
      <c r="D38" s="371"/>
      <c r="E38" s="371"/>
      <c r="F38" s="371"/>
      <c r="G38" s="371"/>
      <c r="H38" s="371"/>
      <c r="I38" s="371"/>
      <c r="J38" s="371"/>
      <c r="K38" s="371"/>
      <c r="L38" s="371"/>
      <c r="M38" s="371"/>
      <c r="N38" s="371"/>
      <c r="O38" s="351"/>
      <c r="P38" s="14"/>
    </row>
    <row r="39" spans="1:16" s="360" customFormat="1">
      <c r="A39" s="372"/>
      <c r="B39" s="371"/>
      <c r="C39" s="371"/>
      <c r="D39" s="371"/>
      <c r="E39" s="371"/>
      <c r="F39" s="371"/>
      <c r="G39" s="371"/>
      <c r="H39" s="371"/>
      <c r="I39" s="371"/>
      <c r="J39" s="371"/>
      <c r="K39" s="371"/>
      <c r="L39" s="371"/>
      <c r="M39" s="371"/>
      <c r="N39" s="371"/>
      <c r="O39" s="351"/>
      <c r="P39" s="14"/>
    </row>
    <row r="40" spans="1:16" s="360" customFormat="1">
      <c r="A40" s="372"/>
      <c r="B40" s="371"/>
      <c r="C40" s="371"/>
      <c r="D40" s="371"/>
      <c r="E40" s="371"/>
      <c r="F40" s="371"/>
      <c r="G40" s="371"/>
      <c r="H40" s="371"/>
      <c r="I40" s="371"/>
      <c r="J40" s="371"/>
      <c r="K40" s="371"/>
      <c r="L40" s="371"/>
      <c r="M40" s="371"/>
      <c r="N40" s="371"/>
      <c r="O40" s="351"/>
      <c r="P40" s="14"/>
    </row>
    <row r="41" spans="1:16" s="360" customFormat="1">
      <c r="A41" s="372"/>
      <c r="B41" s="371"/>
      <c r="C41" s="371"/>
      <c r="D41" s="371"/>
      <c r="E41" s="371"/>
      <c r="F41" s="371"/>
      <c r="G41" s="371"/>
      <c r="H41" s="371"/>
      <c r="I41" s="371"/>
      <c r="J41" s="371"/>
      <c r="K41" s="371"/>
      <c r="L41" s="371"/>
      <c r="M41" s="371"/>
      <c r="N41" s="371"/>
      <c r="O41" s="351"/>
      <c r="P41" s="14"/>
    </row>
    <row r="42" spans="1:16" s="360" customFormat="1">
      <c r="A42" s="372"/>
      <c r="B42" s="371"/>
      <c r="C42" s="371"/>
      <c r="D42" s="371"/>
      <c r="E42" s="371"/>
      <c r="F42" s="371"/>
      <c r="G42" s="371"/>
      <c r="H42" s="371"/>
      <c r="I42" s="371"/>
      <c r="J42" s="371"/>
      <c r="K42" s="371"/>
      <c r="L42" s="371"/>
      <c r="M42" s="371"/>
      <c r="N42" s="371"/>
      <c r="O42" s="351"/>
      <c r="P42" s="14"/>
    </row>
    <row r="43" spans="1:16" s="360" customFormat="1">
      <c r="A43" s="372"/>
      <c r="B43" s="371"/>
      <c r="C43" s="371"/>
      <c r="D43" s="371"/>
      <c r="E43" s="371"/>
      <c r="F43" s="371"/>
      <c r="G43" s="371"/>
      <c r="H43" s="371"/>
      <c r="I43" s="371"/>
      <c r="J43" s="371"/>
      <c r="K43" s="371"/>
      <c r="L43" s="371"/>
      <c r="M43" s="371"/>
      <c r="N43" s="371"/>
      <c r="O43" s="351"/>
      <c r="P43" s="14"/>
    </row>
    <row r="44" spans="1:16" s="360" customFormat="1" ht="15.75" thickBot="1">
      <c r="A44" s="373"/>
      <c r="B44" s="374"/>
      <c r="C44" s="374"/>
      <c r="D44" s="374"/>
      <c r="E44" s="374"/>
      <c r="F44" s="374"/>
      <c r="G44" s="703" t="s">
        <v>38</v>
      </c>
      <c r="H44" s="703"/>
      <c r="I44" s="703"/>
      <c r="J44" s="703"/>
      <c r="K44" s="703"/>
      <c r="L44" s="703"/>
      <c r="M44" s="703"/>
      <c r="N44" s="703"/>
      <c r="O44" s="23"/>
      <c r="P44" s="24"/>
    </row>
    <row r="46" spans="1:16" s="360" customFormat="1"/>
    <row r="47" spans="1:16" s="360" customFormat="1"/>
    <row r="48" spans="1:16" s="360" customFormat="1"/>
    <row r="49" spans="1:16" s="360" customFormat="1"/>
    <row r="50" spans="1:16" s="360" customFormat="1"/>
    <row r="51" spans="1:16" s="360" customFormat="1"/>
    <row r="52" spans="1:16" s="360" customFormat="1"/>
    <row r="53" spans="1:16" s="360" customFormat="1"/>
    <row r="54" spans="1:16" s="360" customFormat="1"/>
    <row r="55" spans="1:16" s="360" customFormat="1"/>
    <row r="56" spans="1:16" s="360" customFormat="1"/>
    <row r="57" spans="1:16" s="360" customFormat="1"/>
    <row r="58" spans="1:16" s="360" customFormat="1"/>
    <row r="59" spans="1:16" s="360" customFormat="1"/>
    <row r="60" spans="1:16" s="360" customFormat="1"/>
    <row r="62" spans="1:16">
      <c r="A62" s="360"/>
      <c r="B62" s="360"/>
      <c r="C62" s="360"/>
      <c r="D62" s="360"/>
      <c r="E62" s="360"/>
      <c r="F62" s="360"/>
      <c r="G62" s="360"/>
      <c r="H62" s="360"/>
      <c r="I62" s="360"/>
      <c r="J62" s="360"/>
      <c r="K62" s="360"/>
      <c r="L62" s="360"/>
      <c r="M62" s="360"/>
      <c r="N62" s="360"/>
      <c r="O62" s="360"/>
      <c r="P62" s="360"/>
    </row>
  </sheetData>
  <protectedRanges>
    <protectedRange password="CA4D" sqref="O11:P13" name="Range1"/>
    <protectedRange password="CA4D" sqref="A1:N2 A11:N13" name="Range1_3"/>
    <protectedRange password="CA4D" sqref="A3:N3" name="Range1_6_1"/>
    <protectedRange password="CA4D" sqref="N7:N10 A4:D10" name="Range1_1_1"/>
    <protectedRange password="CA4D" sqref="E4:N6" name="Range1_2_2"/>
    <protectedRange password="CA4D" sqref="E7:M10" name="Range1_2_1_1"/>
  </protectedRanges>
  <mergeCells count="14">
    <mergeCell ref="O11:O12"/>
    <mergeCell ref="P11:P12"/>
    <mergeCell ref="G44:N44"/>
    <mergeCell ref="A1:N2"/>
    <mergeCell ref="A3:N3"/>
    <mergeCell ref="E4:G4"/>
    <mergeCell ref="G5:I5"/>
    <mergeCell ref="A11:A12"/>
    <mergeCell ref="B11:C13"/>
    <mergeCell ref="D11:E13"/>
    <mergeCell ref="F11:F12"/>
    <mergeCell ref="G11:H13"/>
    <mergeCell ref="I11:K12"/>
    <mergeCell ref="L11:N12"/>
  </mergeCells>
  <pageMargins left="0.55000000000000004" right="0.46" top="0.75" bottom="0.75" header="0.3" footer="0.3"/>
  <pageSetup scale="5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3"/>
  <sheetViews>
    <sheetView topLeftCell="N1" workbookViewId="0">
      <selection activeCell="Y8" sqref="Y8"/>
    </sheetView>
  </sheetViews>
  <sheetFormatPr defaultRowHeight="15"/>
  <cols>
    <col min="1" max="1" width="4" customWidth="1"/>
    <col min="2" max="2" width="6.42578125" customWidth="1"/>
    <col min="3" max="3" width="9.7109375" customWidth="1"/>
    <col min="4" max="4" width="27.7109375" customWidth="1"/>
    <col min="5" max="5" width="7.7109375" customWidth="1"/>
    <col min="6" max="6" width="8.5703125" customWidth="1"/>
    <col min="7" max="7" width="8.85546875" bestFit="1" customWidth="1"/>
    <col min="8" max="8" width="7.42578125" customWidth="1"/>
    <col min="9" max="9" width="9.7109375" bestFit="1" customWidth="1"/>
    <col min="10" max="10" width="7.140625" customWidth="1"/>
    <col min="11" max="11" width="6.7109375" customWidth="1"/>
    <col min="12" max="12" width="8.85546875" customWidth="1"/>
    <col min="13" max="13" width="4.85546875" customWidth="1"/>
    <col min="14" max="14" width="8.85546875" bestFit="1" customWidth="1"/>
    <col min="15" max="15" width="9.85546875" bestFit="1" customWidth="1"/>
    <col min="16" max="18" width="8.85546875" bestFit="1" customWidth="1"/>
    <col min="19" max="19" width="6.140625" customWidth="1"/>
    <col min="20" max="20" width="7.140625" customWidth="1"/>
    <col min="21" max="21" width="8.85546875" bestFit="1" customWidth="1"/>
    <col min="22" max="23" width="7.140625" customWidth="1"/>
    <col min="24" max="24" width="6.7109375" customWidth="1"/>
    <col min="25" max="25" width="7.7109375" customWidth="1"/>
    <col min="26" max="26" width="11.7109375" customWidth="1"/>
    <col min="28" max="28" width="18.7109375" bestFit="1" customWidth="1"/>
  </cols>
  <sheetData>
    <row r="1" spans="1:28" ht="15.75" thickBot="1">
      <c r="D1" s="255"/>
      <c r="L1" s="297"/>
      <c r="N1" s="297"/>
    </row>
    <row r="2" spans="1:28">
      <c r="A2" s="739" t="s">
        <v>390</v>
      </c>
      <c r="B2" s="740"/>
      <c r="C2" s="740"/>
      <c r="D2" s="740"/>
      <c r="E2" s="740"/>
      <c r="F2" s="740"/>
      <c r="G2" s="740"/>
      <c r="H2" s="740"/>
      <c r="I2" s="740"/>
      <c r="J2" s="740"/>
      <c r="K2" s="740"/>
      <c r="L2" s="740"/>
      <c r="M2" s="740"/>
      <c r="N2" s="740"/>
      <c r="O2" s="740"/>
      <c r="P2" s="740"/>
      <c r="Q2" s="740"/>
      <c r="R2" s="740"/>
      <c r="S2" s="740"/>
      <c r="T2" s="740"/>
      <c r="U2" s="740"/>
      <c r="V2" s="740"/>
      <c r="W2" s="740"/>
      <c r="X2" s="740"/>
      <c r="Y2" s="740"/>
      <c r="Z2" s="740"/>
      <c r="AA2" s="740"/>
      <c r="AB2" s="741"/>
    </row>
    <row r="3" spans="1:28">
      <c r="A3" s="729" t="s">
        <v>391</v>
      </c>
      <c r="B3" s="730"/>
      <c r="C3" s="730"/>
      <c r="D3" s="730"/>
      <c r="E3" s="730"/>
      <c r="F3" s="730"/>
      <c r="G3" s="730"/>
      <c r="H3" s="730"/>
      <c r="I3" s="730"/>
      <c r="J3" s="730"/>
      <c r="K3" s="730"/>
      <c r="L3" s="730"/>
      <c r="M3" s="730"/>
      <c r="N3" s="730"/>
      <c r="O3" s="730"/>
      <c r="P3" s="730"/>
      <c r="Q3" s="730"/>
      <c r="R3" s="730"/>
      <c r="S3" s="730"/>
      <c r="T3" s="730"/>
      <c r="U3" s="730"/>
      <c r="V3" s="730"/>
      <c r="W3" s="730"/>
      <c r="X3" s="730"/>
      <c r="Y3" s="730"/>
      <c r="Z3" s="730"/>
      <c r="AA3" s="730"/>
      <c r="AB3" s="731"/>
    </row>
    <row r="4" spans="1:28">
      <c r="A4" s="732" t="s">
        <v>577</v>
      </c>
      <c r="B4" s="733"/>
      <c r="C4" s="733"/>
      <c r="D4" s="733"/>
      <c r="E4" s="733"/>
      <c r="F4" s="733"/>
      <c r="G4" s="733"/>
      <c r="H4" s="733"/>
      <c r="I4" s="733"/>
      <c r="J4" s="733"/>
      <c r="K4" s="733"/>
      <c r="L4" s="733"/>
      <c r="M4" s="733"/>
      <c r="N4" s="733"/>
      <c r="O4" s="733"/>
      <c r="P4" s="733"/>
      <c r="Q4" s="733"/>
      <c r="R4" s="733"/>
      <c r="S4" s="733"/>
      <c r="T4" s="733"/>
      <c r="U4" s="733"/>
      <c r="V4" s="733"/>
      <c r="W4" s="733"/>
      <c r="X4" s="733"/>
      <c r="Y4" s="733"/>
      <c r="Z4" s="733"/>
      <c r="AA4" s="733"/>
      <c r="AB4" s="734"/>
    </row>
    <row r="5" spans="1:28">
      <c r="A5" s="735" t="s">
        <v>392</v>
      </c>
      <c r="B5" s="736"/>
      <c r="C5" s="736"/>
      <c r="D5" s="736"/>
      <c r="E5" s="736"/>
      <c r="F5" s="736"/>
      <c r="G5" s="736"/>
      <c r="H5" s="736"/>
      <c r="I5" s="736"/>
      <c r="J5" s="736"/>
      <c r="K5" s="736"/>
      <c r="L5" s="736"/>
      <c r="M5" s="736"/>
      <c r="N5" s="736"/>
      <c r="O5" s="736"/>
      <c r="P5" s="736"/>
      <c r="Q5" s="736"/>
      <c r="R5" s="736"/>
      <c r="S5" s="736"/>
      <c r="T5" s="736"/>
      <c r="U5" s="736"/>
      <c r="V5" s="736"/>
      <c r="W5" s="736"/>
      <c r="X5" s="736"/>
      <c r="Y5" s="736"/>
      <c r="Z5" s="736"/>
      <c r="AA5" s="736"/>
      <c r="AB5" s="737"/>
    </row>
    <row r="6" spans="1:28" ht="33.75">
      <c r="A6" s="493"/>
      <c r="B6" s="319"/>
      <c r="C6" s="319"/>
      <c r="D6" s="319"/>
      <c r="E6" s="319"/>
      <c r="F6" s="319"/>
      <c r="G6" s="319"/>
      <c r="H6" s="319"/>
      <c r="I6" s="319"/>
      <c r="J6" s="319"/>
      <c r="K6" s="319"/>
      <c r="L6" s="319"/>
      <c r="M6" s="319"/>
      <c r="N6" s="319"/>
      <c r="O6" s="320" t="s">
        <v>382</v>
      </c>
      <c r="P6" s="319"/>
      <c r="Q6" s="319"/>
      <c r="R6" s="319"/>
      <c r="S6" s="319"/>
      <c r="T6" s="319"/>
      <c r="U6" s="318"/>
      <c r="V6" s="320" t="s">
        <v>429</v>
      </c>
      <c r="W6" s="319"/>
      <c r="X6" s="319"/>
      <c r="Y6" s="319"/>
      <c r="Z6" s="318"/>
      <c r="AA6" s="318"/>
      <c r="AB6" s="494"/>
    </row>
    <row r="7" spans="1:28" ht="95.25">
      <c r="A7" s="495" t="s">
        <v>359</v>
      </c>
      <c r="B7" s="318" t="s">
        <v>396</v>
      </c>
      <c r="C7" s="318" t="s">
        <v>430</v>
      </c>
      <c r="D7" s="321" t="s">
        <v>431</v>
      </c>
      <c r="E7" s="322" t="s">
        <v>432</v>
      </c>
      <c r="F7" s="322" t="s">
        <v>433</v>
      </c>
      <c r="G7" s="322" t="s">
        <v>434</v>
      </c>
      <c r="H7" s="322" t="s">
        <v>435</v>
      </c>
      <c r="I7" s="322" t="s">
        <v>436</v>
      </c>
      <c r="J7" s="322" t="s">
        <v>437</v>
      </c>
      <c r="K7" s="322" t="s">
        <v>438</v>
      </c>
      <c r="L7" s="322" t="s">
        <v>439</v>
      </c>
      <c r="M7" s="322" t="s">
        <v>440</v>
      </c>
      <c r="N7" s="322" t="s">
        <v>441</v>
      </c>
      <c r="O7" s="322" t="s">
        <v>442</v>
      </c>
      <c r="P7" s="322" t="s">
        <v>485</v>
      </c>
      <c r="Q7" s="322" t="s">
        <v>443</v>
      </c>
      <c r="R7" s="322" t="s">
        <v>32</v>
      </c>
      <c r="S7" s="322" t="s">
        <v>444</v>
      </c>
      <c r="T7" s="322" t="s">
        <v>445</v>
      </c>
      <c r="U7" s="322" t="s">
        <v>446</v>
      </c>
      <c r="V7" s="322" t="s">
        <v>447</v>
      </c>
      <c r="W7" s="322" t="s">
        <v>448</v>
      </c>
      <c r="X7" s="322" t="s">
        <v>449</v>
      </c>
      <c r="Y7" s="322" t="s">
        <v>450</v>
      </c>
      <c r="Z7" s="322" t="s">
        <v>451</v>
      </c>
      <c r="AA7" s="322" t="s">
        <v>452</v>
      </c>
      <c r="AB7" s="496" t="s">
        <v>159</v>
      </c>
    </row>
    <row r="8" spans="1:28" s="360" customFormat="1" ht="15.75">
      <c r="A8" s="503">
        <v>3</v>
      </c>
      <c r="B8" s="323"/>
      <c r="C8" s="316" t="s">
        <v>559</v>
      </c>
      <c r="D8" s="324" t="str">
        <f>'BOM 04 22Master'!B17</f>
        <v>Naresh Kumar Kandula</v>
      </c>
      <c r="E8" s="486">
        <f>'BOM 04 22Master'!Z17</f>
        <v>67631.399999999994</v>
      </c>
      <c r="F8" s="486">
        <f>'BOM 04 22Master'!AD17</f>
        <v>27052.559999999998</v>
      </c>
      <c r="G8" s="486">
        <f>'BOM 04 22Master'!AE17</f>
        <v>2083</v>
      </c>
      <c r="H8" s="489">
        <f>'BOM 04 22Master'!AI17</f>
        <v>1555</v>
      </c>
      <c r="I8" s="489">
        <f>'BOM 04 22Master'!AG17</f>
        <v>13982</v>
      </c>
      <c r="J8" s="489">
        <f>'BOM 04 22Master'!AF17</f>
        <v>2083</v>
      </c>
      <c r="K8" s="491"/>
      <c r="L8" s="486">
        <f>'BOM 04 22Master'!AH17</f>
        <v>112831.95999999999</v>
      </c>
      <c r="M8" s="492">
        <v>0</v>
      </c>
      <c r="N8" s="486">
        <f>'BOM 04 22Master'!AM17</f>
        <v>123275.98033999999</v>
      </c>
      <c r="O8" s="486">
        <f>'BOM 04 22Master'!AQ17</f>
        <v>0</v>
      </c>
      <c r="P8" s="486">
        <f>'BOM 04 22Master'!AR17</f>
        <v>441</v>
      </c>
      <c r="Q8" s="486">
        <f>'BOM 04 22Master'!AP17</f>
        <v>200</v>
      </c>
      <c r="R8" s="486">
        <f>'BOM 04 22Master'!AO17</f>
        <v>1800</v>
      </c>
      <c r="S8" s="488">
        <f>'BOM 04 22Master'!AN17</f>
        <v>0</v>
      </c>
      <c r="T8" s="488">
        <f>'BOM 04 22Master'!AS17</f>
        <v>2441</v>
      </c>
      <c r="U8" s="486">
        <f>'BOM 04 22Master'!AT17</f>
        <v>120834.98033999999</v>
      </c>
      <c r="V8" s="490">
        <v>12</v>
      </c>
      <c r="W8" s="490">
        <v>0</v>
      </c>
      <c r="X8" s="490">
        <v>0</v>
      </c>
      <c r="Y8" s="490">
        <v>13.5</v>
      </c>
      <c r="Z8" s="532">
        <f>'BOM 04 22Master'!AU17</f>
        <v>44686</v>
      </c>
      <c r="AA8" s="384" t="str">
        <f>'BOM 04 22Master'!AV17</f>
        <v xml:space="preserve">ICICI </v>
      </c>
      <c r="AB8" s="497" t="str">
        <f>'BOM 04 22Master'!AW17</f>
        <v>A/C'018301591417</v>
      </c>
    </row>
    <row r="9" spans="1:28" s="360" customFormat="1" ht="16.5">
      <c r="A9" s="504"/>
      <c r="B9" s="505"/>
      <c r="C9" s="506"/>
      <c r="D9" s="507"/>
      <c r="E9" s="508">
        <f t="shared" ref="E9:J9" si="0">SUM(E8:E8)</f>
        <v>67631.399999999994</v>
      </c>
      <c r="F9" s="508">
        <f t="shared" si="0"/>
        <v>27052.559999999998</v>
      </c>
      <c r="G9" s="508">
        <f t="shared" si="0"/>
        <v>2083</v>
      </c>
      <c r="H9" s="508">
        <f t="shared" si="0"/>
        <v>1555</v>
      </c>
      <c r="I9" s="508">
        <f t="shared" si="0"/>
        <v>13982</v>
      </c>
      <c r="J9" s="508">
        <f t="shared" si="0"/>
        <v>2083</v>
      </c>
      <c r="K9" s="508"/>
      <c r="L9" s="508">
        <f t="shared" ref="L9:X9" si="1">SUM(L8:L8)</f>
        <v>112831.95999999999</v>
      </c>
      <c r="M9" s="508">
        <f t="shared" si="1"/>
        <v>0</v>
      </c>
      <c r="N9" s="508">
        <f t="shared" si="1"/>
        <v>123275.98033999999</v>
      </c>
      <c r="O9" s="508">
        <f t="shared" si="1"/>
        <v>0</v>
      </c>
      <c r="P9" s="508">
        <f t="shared" si="1"/>
        <v>441</v>
      </c>
      <c r="Q9" s="508">
        <f t="shared" si="1"/>
        <v>200</v>
      </c>
      <c r="R9" s="508">
        <f t="shared" si="1"/>
        <v>1800</v>
      </c>
      <c r="S9" s="508">
        <f t="shared" si="1"/>
        <v>0</v>
      </c>
      <c r="T9" s="508">
        <f t="shared" si="1"/>
        <v>2441</v>
      </c>
      <c r="U9" s="508">
        <f t="shared" si="1"/>
        <v>120834.98033999999</v>
      </c>
      <c r="V9" s="509">
        <f t="shared" si="1"/>
        <v>12</v>
      </c>
      <c r="W9" s="509">
        <f t="shared" si="1"/>
        <v>0</v>
      </c>
      <c r="X9" s="509">
        <f t="shared" si="1"/>
        <v>0</v>
      </c>
      <c r="Y9" s="509"/>
      <c r="Z9" s="510"/>
      <c r="AA9" s="511"/>
      <c r="AB9" s="512"/>
    </row>
    <row r="10" spans="1:28" s="360" customFormat="1" ht="15.75">
      <c r="A10" s="498"/>
      <c r="B10" s="428"/>
      <c r="C10" s="429"/>
      <c r="D10" s="430"/>
      <c r="E10" s="431"/>
      <c r="F10" s="431"/>
      <c r="G10" s="432"/>
      <c r="H10" s="433"/>
      <c r="I10" s="433"/>
      <c r="J10" s="433"/>
      <c r="K10" s="434"/>
      <c r="L10" s="431"/>
      <c r="M10" s="435"/>
      <c r="N10" s="431"/>
      <c r="O10" s="432"/>
      <c r="P10" s="432"/>
      <c r="Q10" s="432"/>
      <c r="R10" s="432"/>
      <c r="S10" s="436"/>
      <c r="T10" s="436"/>
      <c r="U10" s="431"/>
      <c r="V10" s="437"/>
      <c r="W10" s="437"/>
      <c r="X10" s="437"/>
      <c r="Y10" s="437"/>
      <c r="Z10" s="438"/>
      <c r="AA10" s="439"/>
      <c r="AB10" s="499"/>
    </row>
    <row r="11" spans="1:28" s="360" customFormat="1" ht="15.75">
      <c r="A11" s="498"/>
      <c r="B11" s="428"/>
      <c r="C11" s="429"/>
      <c r="D11" s="430"/>
      <c r="E11" s="431"/>
      <c r="F11" s="431"/>
      <c r="G11" s="432"/>
      <c r="H11" s="433"/>
      <c r="I11" s="433"/>
      <c r="J11" s="433"/>
      <c r="K11" s="434"/>
      <c r="L11" s="431"/>
      <c r="M11" s="435"/>
      <c r="N11" s="431"/>
      <c r="O11" s="432"/>
      <c r="P11" s="432"/>
      <c r="Q11" s="432"/>
      <c r="R11" s="432"/>
      <c r="S11" s="436"/>
      <c r="T11" s="436"/>
      <c r="U11" s="431"/>
      <c r="V11" s="437"/>
      <c r="W11" s="437"/>
      <c r="X11" s="437"/>
      <c r="Y11" s="437"/>
      <c r="Z11" s="438"/>
      <c r="AA11" s="439"/>
      <c r="AB11" s="499"/>
    </row>
    <row r="12" spans="1:28" s="360" customFormat="1" ht="15.75">
      <c r="A12" s="498"/>
      <c r="B12" s="428"/>
      <c r="C12" s="429"/>
      <c r="D12" s="430"/>
      <c r="E12" s="431"/>
      <c r="F12" s="431"/>
      <c r="G12" s="432"/>
      <c r="H12" s="433"/>
      <c r="I12" s="433"/>
      <c r="J12" s="433"/>
      <c r="K12" s="434"/>
      <c r="L12" s="431"/>
      <c r="M12" s="435"/>
      <c r="N12" s="431"/>
      <c r="O12" s="432"/>
      <c r="P12" s="432"/>
      <c r="Q12" s="432"/>
      <c r="R12" s="432"/>
      <c r="S12" s="436"/>
      <c r="T12" s="436"/>
      <c r="U12" s="431"/>
      <c r="V12" s="437"/>
      <c r="W12" s="437"/>
      <c r="X12" s="437"/>
      <c r="Y12" s="437"/>
      <c r="Z12" s="438"/>
      <c r="AA12" s="439"/>
      <c r="AB12" s="499"/>
    </row>
    <row r="13" spans="1:28" s="360" customFormat="1" ht="15.75">
      <c r="A13" s="498"/>
      <c r="B13" s="428"/>
      <c r="C13" s="429"/>
      <c r="D13" s="430"/>
      <c r="E13" s="431"/>
      <c r="F13" s="431"/>
      <c r="G13" s="432"/>
      <c r="H13" s="433"/>
      <c r="I13" s="433"/>
      <c r="J13" s="433"/>
      <c r="K13" s="434"/>
      <c r="L13" s="431"/>
      <c r="M13" s="435"/>
      <c r="N13" s="431"/>
      <c r="O13" s="432"/>
      <c r="P13" s="432"/>
      <c r="Q13" s="432"/>
      <c r="R13" s="432"/>
      <c r="S13" s="436"/>
      <c r="T13" s="436"/>
      <c r="U13" s="431"/>
      <c r="V13" s="437"/>
      <c r="W13" s="437"/>
      <c r="X13" s="437"/>
      <c r="Y13" s="437"/>
      <c r="Z13" s="438"/>
      <c r="AA13" s="439"/>
      <c r="AB13" s="499"/>
    </row>
    <row r="14" spans="1:28" s="360" customFormat="1">
      <c r="A14" s="13"/>
      <c r="B14" s="351"/>
      <c r="C14" s="351"/>
      <c r="D14" s="351"/>
      <c r="E14" s="351"/>
      <c r="F14" s="351"/>
      <c r="G14" s="351"/>
      <c r="H14" s="351"/>
      <c r="I14" s="351"/>
      <c r="J14" s="351"/>
      <c r="K14" s="351"/>
      <c r="L14" s="351"/>
      <c r="M14" s="351"/>
      <c r="N14" s="351"/>
      <c r="O14" s="351"/>
      <c r="P14" s="351"/>
      <c r="Q14" s="351"/>
      <c r="R14" s="351"/>
      <c r="S14" s="351"/>
      <c r="AB14" s="14"/>
    </row>
    <row r="15" spans="1:28" ht="15.75" thickBot="1">
      <c r="A15" s="25"/>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4"/>
    </row>
    <row r="23" spans="21:28">
      <c r="U23" s="738" t="s">
        <v>38</v>
      </c>
      <c r="V23" s="738"/>
      <c r="W23" s="738"/>
      <c r="X23" s="738"/>
      <c r="Y23" s="738"/>
      <c r="Z23" s="738"/>
      <c r="AA23" s="738"/>
      <c r="AB23" s="738"/>
    </row>
  </sheetData>
  <mergeCells count="5">
    <mergeCell ref="A3:AB3"/>
    <mergeCell ref="A4:AB4"/>
    <mergeCell ref="A5:AB5"/>
    <mergeCell ref="U23:AB23"/>
    <mergeCell ref="A2:AB2"/>
  </mergeCells>
  <pageMargins left="0.70866141732283472" right="0.70866141732283472" top="0.74803149606299213" bottom="0.74803149606299213" header="0.31496062992125984" footer="0.31496062992125984"/>
  <pageSetup paperSize="8" scale="75"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2"/>
  <sheetViews>
    <sheetView zoomScaleNormal="100" workbookViewId="0">
      <selection activeCell="A53" sqref="A53:XFD106"/>
    </sheetView>
  </sheetViews>
  <sheetFormatPr defaultRowHeight="15"/>
  <cols>
    <col min="10" max="10" width="14.5703125" customWidth="1"/>
    <col min="12" max="12" width="24.140625" customWidth="1"/>
  </cols>
  <sheetData>
    <row r="1" spans="1:12" ht="32.25">
      <c r="A1" s="13"/>
      <c r="B1" s="775" t="s">
        <v>110</v>
      </c>
      <c r="C1" s="757"/>
      <c r="D1" s="757"/>
      <c r="E1" s="757"/>
      <c r="F1" s="757"/>
      <c r="G1" s="757"/>
      <c r="H1" s="757"/>
      <c r="I1" s="757"/>
      <c r="J1" s="757"/>
      <c r="K1" s="757"/>
      <c r="L1" s="758"/>
    </row>
    <row r="2" spans="1:12" ht="23.25">
      <c r="A2" s="13"/>
      <c r="B2" s="776" t="s">
        <v>111</v>
      </c>
      <c r="C2" s="777"/>
      <c r="D2" s="777"/>
      <c r="E2" s="777"/>
      <c r="F2" s="777"/>
      <c r="G2" s="777"/>
      <c r="H2" s="777"/>
      <c r="I2" s="777"/>
      <c r="J2" s="777"/>
      <c r="K2" s="777"/>
      <c r="L2" s="760"/>
    </row>
    <row r="3" spans="1:12" ht="16.5" thickBot="1">
      <c r="A3" s="13"/>
      <c r="B3" s="786" t="s">
        <v>560</v>
      </c>
      <c r="C3" s="761"/>
      <c r="D3" s="761"/>
      <c r="E3" s="761"/>
      <c r="F3" s="761"/>
      <c r="G3" s="761"/>
      <c r="H3" s="761"/>
      <c r="I3" s="761"/>
      <c r="J3" s="761"/>
      <c r="K3" s="761"/>
      <c r="L3" s="762"/>
    </row>
    <row r="4" spans="1:12" ht="15" customHeight="1">
      <c r="A4" s="13"/>
      <c r="B4" s="787" t="s">
        <v>112</v>
      </c>
      <c r="C4" s="788"/>
      <c r="D4" s="788"/>
      <c r="E4" s="788"/>
      <c r="F4" s="788"/>
      <c r="G4" s="351"/>
      <c r="H4" s="789" t="s">
        <v>113</v>
      </c>
      <c r="I4" s="789"/>
      <c r="J4" s="789"/>
      <c r="K4" s="789"/>
      <c r="L4" s="765"/>
    </row>
    <row r="5" spans="1:12" ht="15.75" thickBot="1">
      <c r="A5" s="13"/>
      <c r="B5" s="787"/>
      <c r="C5" s="788"/>
      <c r="D5" s="788"/>
      <c r="E5" s="788"/>
      <c r="F5" s="788"/>
      <c r="G5" s="351"/>
      <c r="H5" s="789"/>
      <c r="I5" s="789"/>
      <c r="J5" s="789"/>
      <c r="K5" s="789"/>
      <c r="L5" s="765"/>
    </row>
    <row r="6" spans="1:12">
      <c r="A6" s="13"/>
      <c r="B6" s="50"/>
      <c r="C6" s="51"/>
      <c r="D6" s="51"/>
      <c r="E6" s="51"/>
      <c r="F6" s="52"/>
      <c r="G6" s="351"/>
      <c r="H6" s="50"/>
      <c r="I6" s="51"/>
      <c r="J6" s="51"/>
      <c r="K6" s="51"/>
      <c r="L6" s="52"/>
    </row>
    <row r="7" spans="1:12">
      <c r="A7" s="13"/>
      <c r="B7" s="53" t="str">
        <f>'BOM 04 22Master'!F5</f>
        <v>Burgeon IT Services Pvt.Ltd.</v>
      </c>
      <c r="C7" s="351"/>
      <c r="D7" s="351"/>
      <c r="E7" s="351"/>
      <c r="F7" s="14"/>
      <c r="G7" s="351"/>
      <c r="H7" s="53" t="str">
        <f>'BOM 04 22Master'!AP5</f>
        <v>Burgeon IT Services Pvt.Ltd.</v>
      </c>
      <c r="I7" s="351"/>
      <c r="J7" s="351"/>
      <c r="K7" s="351"/>
      <c r="L7" s="14"/>
    </row>
    <row r="8" spans="1:12">
      <c r="A8" s="13"/>
      <c r="B8" s="13"/>
      <c r="C8" s="351"/>
      <c r="D8" s="351"/>
      <c r="E8" s="351"/>
      <c r="F8" s="14"/>
      <c r="G8" s="351"/>
      <c r="H8" s="13"/>
      <c r="I8" s="351"/>
      <c r="J8" s="351"/>
      <c r="K8" s="351"/>
      <c r="L8" s="14"/>
    </row>
    <row r="9" spans="1:12">
      <c r="A9" s="13"/>
      <c r="B9" s="53" t="str">
        <f>'BOM 04 22Master'!F6</f>
        <v>Siri Mansion LIGB 436 Dr.A S Rao Nagar,Hyderabad</v>
      </c>
      <c r="C9" s="351"/>
      <c r="D9" s="351"/>
      <c r="E9" s="351"/>
      <c r="F9" s="14"/>
      <c r="G9" s="351"/>
      <c r="H9" s="53" t="str">
        <f>'BOM 04 22Master'!AP6</f>
        <v>Siri Mansion LIGB 436 Dr.A S Rao Nagar,Hyderabad</v>
      </c>
      <c r="I9" s="351"/>
      <c r="J9" s="351"/>
      <c r="K9" s="351"/>
      <c r="L9" s="14"/>
    </row>
    <row r="10" spans="1:12" ht="15.75" thickBot="1">
      <c r="A10" s="13"/>
      <c r="B10" s="25"/>
      <c r="C10" s="23"/>
      <c r="D10" s="23"/>
      <c r="E10" s="23"/>
      <c r="F10" s="24"/>
      <c r="G10" s="351"/>
      <c r="H10" s="25"/>
      <c r="I10" s="23"/>
      <c r="J10" s="23"/>
      <c r="K10" s="23"/>
      <c r="L10" s="24"/>
    </row>
    <row r="11" spans="1:12">
      <c r="A11" s="13"/>
      <c r="B11" s="13"/>
      <c r="C11" s="351"/>
      <c r="D11" s="351"/>
      <c r="E11" s="351"/>
      <c r="F11" s="351"/>
      <c r="G11" s="351"/>
      <c r="H11" s="351"/>
      <c r="I11" s="351"/>
      <c r="J11" s="351" t="s">
        <v>114</v>
      </c>
      <c r="K11" s="351"/>
      <c r="L11" s="14"/>
    </row>
    <row r="12" spans="1:12">
      <c r="A12" s="13"/>
      <c r="B12" s="790" t="s">
        <v>115</v>
      </c>
      <c r="C12" s="791"/>
      <c r="D12" s="791"/>
      <c r="E12" s="791"/>
      <c r="F12" s="791"/>
      <c r="G12" s="351"/>
      <c r="H12" s="791" t="s">
        <v>4</v>
      </c>
      <c r="I12" s="791"/>
      <c r="J12" s="791"/>
      <c r="K12" s="791"/>
      <c r="L12" s="754"/>
    </row>
    <row r="13" spans="1:12" ht="15.75" thickBot="1">
      <c r="A13" s="13"/>
      <c r="B13" s="13"/>
      <c r="C13" s="351"/>
      <c r="D13" s="351"/>
      <c r="E13" s="351"/>
      <c r="F13" s="351"/>
      <c r="G13" s="351"/>
      <c r="H13" s="351"/>
      <c r="I13" s="351"/>
      <c r="J13" s="351"/>
      <c r="K13" s="351"/>
      <c r="L13" s="14"/>
    </row>
    <row r="14" spans="1:12">
      <c r="A14" s="13"/>
      <c r="B14" s="50"/>
      <c r="C14" s="51"/>
      <c r="D14" s="51"/>
      <c r="E14" s="51"/>
      <c r="F14" s="52"/>
      <c r="G14" s="351"/>
      <c r="H14" s="54"/>
      <c r="I14" s="55"/>
      <c r="J14" s="55"/>
      <c r="K14" s="55"/>
      <c r="L14" s="56"/>
    </row>
    <row r="15" spans="1:12">
      <c r="A15" s="13"/>
      <c r="B15" s="13"/>
      <c r="C15" s="351"/>
      <c r="D15" s="351"/>
      <c r="E15" s="351"/>
      <c r="F15" s="14"/>
      <c r="G15" s="351"/>
      <c r="H15" s="53" t="str">
        <f>'BOM 04 22Master'!AP10</f>
        <v>INFOSYS  LTD.85-C Mittal Towers</v>
      </c>
      <c r="I15" s="352"/>
      <c r="J15" s="352"/>
      <c r="K15" s="352"/>
      <c r="L15" s="57"/>
    </row>
    <row r="16" spans="1:12">
      <c r="A16" s="13"/>
      <c r="B16" s="53" t="str">
        <f>'BOM 04 22Master'!F8</f>
        <v>IT SUPPORTIVE SERVICES&amp;MUMBAI</v>
      </c>
      <c r="C16" s="351"/>
      <c r="D16" s="351"/>
      <c r="E16" s="351"/>
      <c r="F16" s="14"/>
      <c r="G16" s="351"/>
      <c r="H16" s="53"/>
      <c r="I16" s="352"/>
      <c r="J16" s="352"/>
      <c r="K16" s="352"/>
      <c r="L16" s="57"/>
    </row>
    <row r="17" spans="1:12">
      <c r="A17" s="13"/>
      <c r="B17" s="13"/>
      <c r="C17" s="351"/>
      <c r="D17" s="351"/>
      <c r="E17" s="351"/>
      <c r="F17" s="14"/>
      <c r="G17" s="351"/>
      <c r="H17" s="53" t="str">
        <f>'BOM 04 22Master'!AP11</f>
        <v>8th flour Nariman Point,Maharashtra,400021</v>
      </c>
      <c r="I17" s="352"/>
      <c r="J17" s="352"/>
      <c r="K17" s="352"/>
      <c r="L17" s="57"/>
    </row>
    <row r="18" spans="1:12" ht="15.75" thickBot="1">
      <c r="A18" s="13"/>
      <c r="B18" s="25"/>
      <c r="C18" s="23"/>
      <c r="D18" s="23"/>
      <c r="E18" s="23"/>
      <c r="F18" s="24"/>
      <c r="G18" s="351"/>
      <c r="H18" s="58"/>
      <c r="I18" s="59"/>
      <c r="J18" s="59"/>
      <c r="K18" s="59"/>
      <c r="L18" s="60"/>
    </row>
    <row r="19" spans="1:12" ht="27.95" customHeight="1">
      <c r="A19" s="61"/>
      <c r="B19" s="768" t="s">
        <v>116</v>
      </c>
      <c r="C19" s="769"/>
      <c r="D19" s="769"/>
      <c r="E19" s="769"/>
      <c r="F19" s="769"/>
      <c r="G19" s="769"/>
      <c r="H19" s="772" t="str">
        <f>'BOM 04 22Master'!B17</f>
        <v>Naresh Kumar Kandula</v>
      </c>
      <c r="I19" s="771"/>
      <c r="J19" s="771"/>
      <c r="K19" s="771"/>
      <c r="L19" s="745"/>
    </row>
    <row r="20" spans="1:12" s="360" customFormat="1" ht="27.95" customHeight="1">
      <c r="A20" s="61"/>
      <c r="B20" s="778"/>
      <c r="C20" s="779"/>
      <c r="D20" s="779"/>
      <c r="E20" s="779"/>
      <c r="F20" s="779"/>
      <c r="G20" s="780"/>
      <c r="H20" s="781" t="str">
        <f>'BOM 04 22Master'!G17</f>
        <v>Flat B-309, H.no 7-1-3 , Shanthi Bagh Apts, Opp to Country Club, Begumpet, Hyd -500016</v>
      </c>
      <c r="I20" s="782"/>
      <c r="J20" s="782"/>
      <c r="K20" s="782"/>
      <c r="L20" s="783"/>
    </row>
    <row r="21" spans="1:12" ht="27.95" customHeight="1">
      <c r="A21" s="61"/>
      <c r="B21" s="784" t="s">
        <v>117</v>
      </c>
      <c r="C21" s="785"/>
      <c r="D21" s="785"/>
      <c r="E21" s="785"/>
      <c r="F21" s="785"/>
      <c r="G21" s="785"/>
      <c r="H21" s="772">
        <f>'BOM 04 22Master'!A17</f>
        <v>8</v>
      </c>
      <c r="I21" s="771"/>
      <c r="J21" s="771"/>
      <c r="K21" s="771"/>
      <c r="L21" s="745"/>
    </row>
    <row r="22" spans="1:12" ht="27.95" customHeight="1">
      <c r="A22" s="61"/>
      <c r="B22" s="768" t="s">
        <v>118</v>
      </c>
      <c r="C22" s="769"/>
      <c r="D22" s="769"/>
      <c r="E22" s="769"/>
      <c r="F22" s="769"/>
      <c r="G22" s="769"/>
      <c r="H22" s="772" t="str">
        <f>'BOM 04 22Master'!F17</f>
        <v>Senior Software Engineer</v>
      </c>
      <c r="I22" s="771"/>
      <c r="J22" s="771"/>
      <c r="K22" s="771"/>
      <c r="L22" s="745"/>
    </row>
    <row r="23" spans="1:12" ht="27.95" customHeight="1">
      <c r="A23" s="61"/>
      <c r="B23" s="768" t="s">
        <v>119</v>
      </c>
      <c r="C23" s="769"/>
      <c r="D23" s="769"/>
      <c r="E23" s="769"/>
      <c r="F23" s="769"/>
      <c r="G23" s="769"/>
      <c r="H23" s="773">
        <f>'BOM 04 22Master'!N17</f>
        <v>44340</v>
      </c>
      <c r="I23" s="774"/>
      <c r="J23" s="774"/>
      <c r="K23" s="774"/>
      <c r="L23" s="748"/>
    </row>
    <row r="24" spans="1:12" ht="27.95" customHeight="1">
      <c r="A24" s="61"/>
      <c r="B24" s="375" t="s">
        <v>120</v>
      </c>
      <c r="C24" s="63"/>
      <c r="D24" s="63"/>
      <c r="E24" s="63"/>
      <c r="F24" s="63"/>
      <c r="G24" s="63"/>
      <c r="H24" s="482"/>
      <c r="I24" s="65"/>
      <c r="J24" s="361" t="str">
        <f>'BOM 04 22Master'!T17</f>
        <v>N/A</v>
      </c>
      <c r="K24" s="480"/>
      <c r="L24" s="481"/>
    </row>
    <row r="25" spans="1:12" ht="27.95" customHeight="1">
      <c r="A25" s="61"/>
      <c r="B25" s="375" t="s">
        <v>121</v>
      </c>
      <c r="C25" s="63"/>
      <c r="D25" s="63"/>
      <c r="E25" s="63"/>
      <c r="F25" s="63"/>
      <c r="G25" s="67"/>
      <c r="H25" s="68"/>
      <c r="I25" s="69"/>
      <c r="J25" s="361" t="str">
        <f>'BOM 04 22Master'!S17</f>
        <v>101579607071</v>
      </c>
      <c r="K25" s="69"/>
      <c r="L25" s="70"/>
    </row>
    <row r="26" spans="1:12" ht="27.95" customHeight="1">
      <c r="A26" s="61"/>
      <c r="B26" s="767" t="s">
        <v>122</v>
      </c>
      <c r="C26" s="749"/>
      <c r="D26" s="749"/>
      <c r="E26" s="749"/>
      <c r="F26" s="749"/>
      <c r="G26" s="749"/>
      <c r="H26" s="750">
        <f>'BOM 04 22Master'!Y17</f>
        <v>112719</v>
      </c>
      <c r="I26" s="751"/>
      <c r="J26" s="751"/>
      <c r="K26" s="751"/>
      <c r="L26" s="752"/>
    </row>
    <row r="27" spans="1:12" ht="27.95" customHeight="1">
      <c r="A27" s="61"/>
      <c r="B27" s="768" t="s">
        <v>123</v>
      </c>
      <c r="C27" s="769"/>
      <c r="D27" s="769"/>
      <c r="E27" s="769"/>
      <c r="F27" s="769"/>
      <c r="G27" s="769"/>
      <c r="H27" s="770">
        <f>'BOM 04 22Master'!D10</f>
        <v>44652</v>
      </c>
      <c r="I27" s="771"/>
      <c r="J27" s="771"/>
      <c r="K27" s="771"/>
      <c r="L27" s="745"/>
    </row>
    <row r="28" spans="1:12" ht="27.95" customHeight="1">
      <c r="A28" s="13"/>
      <c r="B28" s="768" t="s">
        <v>124</v>
      </c>
      <c r="C28" s="769"/>
      <c r="D28" s="769"/>
      <c r="E28" s="769"/>
      <c r="F28" s="769"/>
      <c r="G28" s="769"/>
      <c r="H28" s="771" t="s">
        <v>125</v>
      </c>
      <c r="I28" s="771"/>
      <c r="J28" s="771"/>
      <c r="K28" s="771"/>
      <c r="L28" s="745"/>
    </row>
    <row r="29" spans="1:12" ht="27.95" customHeight="1">
      <c r="A29" s="13"/>
      <c r="B29" s="375" t="s">
        <v>126</v>
      </c>
      <c r="C29" s="63"/>
      <c r="D29" s="63"/>
      <c r="E29" s="63"/>
      <c r="F29" s="63"/>
      <c r="G29" s="67"/>
      <c r="H29" s="482"/>
      <c r="I29" s="480"/>
      <c r="J29" s="411">
        <f>'BOM 04 22Master'!W17</f>
        <v>30</v>
      </c>
      <c r="K29" s="480"/>
      <c r="L29" s="481"/>
    </row>
    <row r="30" spans="1:12" ht="27.95" customHeight="1">
      <c r="A30" s="13"/>
      <c r="B30" s="375" t="s">
        <v>127</v>
      </c>
      <c r="C30" s="63"/>
      <c r="D30" s="63"/>
      <c r="E30" s="63"/>
      <c r="F30" s="63"/>
      <c r="G30" s="67"/>
      <c r="H30" s="482"/>
      <c r="I30" s="480"/>
      <c r="J30" s="480" t="s">
        <v>37</v>
      </c>
      <c r="K30" s="480"/>
      <c r="L30" s="481"/>
    </row>
    <row r="31" spans="1:12" ht="27.95" customHeight="1">
      <c r="A31" s="13"/>
      <c r="B31" s="375" t="s">
        <v>128</v>
      </c>
      <c r="C31" s="63"/>
      <c r="D31" s="63"/>
      <c r="E31" s="63"/>
      <c r="F31" s="63"/>
      <c r="G31" s="67"/>
      <c r="H31" s="482"/>
      <c r="I31" s="480"/>
      <c r="J31" s="411">
        <v>0</v>
      </c>
      <c r="K31" s="480"/>
      <c r="L31" s="481"/>
    </row>
    <row r="32" spans="1:12" ht="27.95" customHeight="1">
      <c r="A32" s="13"/>
      <c r="B32" s="375" t="s">
        <v>129</v>
      </c>
      <c r="C32" s="63"/>
      <c r="D32" s="63"/>
      <c r="E32" s="63"/>
      <c r="F32" s="63"/>
      <c r="G32" s="67"/>
      <c r="H32" s="482"/>
      <c r="I32" s="480"/>
      <c r="J32" s="480">
        <v>0</v>
      </c>
      <c r="K32" s="480"/>
      <c r="L32" s="481"/>
    </row>
    <row r="33" spans="1:12" ht="27.95" customHeight="1">
      <c r="A33" s="13"/>
      <c r="B33" s="375" t="s">
        <v>130</v>
      </c>
      <c r="C33" s="63"/>
      <c r="D33" s="63"/>
      <c r="E33" s="63"/>
      <c r="F33" s="63"/>
      <c r="G33" s="67"/>
      <c r="H33" s="482"/>
      <c r="I33" s="480"/>
      <c r="J33" s="411">
        <f>'BOM 04 22Master'!AM17</f>
        <v>123275.98033999999</v>
      </c>
      <c r="K33" s="480"/>
      <c r="L33" s="481" t="s">
        <v>35</v>
      </c>
    </row>
    <row r="34" spans="1:12" ht="27.95" customHeight="1">
      <c r="A34" s="13"/>
      <c r="B34" s="375" t="s">
        <v>131</v>
      </c>
      <c r="C34" s="63"/>
      <c r="D34" s="478" t="s">
        <v>32</v>
      </c>
      <c r="E34" s="479">
        <f>'BOM 04 22Master'!AO17</f>
        <v>1800</v>
      </c>
      <c r="F34" s="478" t="s">
        <v>31</v>
      </c>
      <c r="G34" s="479">
        <f>'BOM 04 22Master'!AN17</f>
        <v>0</v>
      </c>
      <c r="H34" s="478" t="s">
        <v>33</v>
      </c>
      <c r="I34" s="479">
        <f>'BOM 04 22Master'!AP17</f>
        <v>200</v>
      </c>
      <c r="J34" s="478" t="s">
        <v>34</v>
      </c>
      <c r="K34" s="479">
        <f>'BOM 04 22Master'!AQ17</f>
        <v>0</v>
      </c>
      <c r="L34" s="414">
        <f>'BOM 04 22Master'!AR17</f>
        <v>441</v>
      </c>
    </row>
    <row r="35" spans="1:12" ht="27.95" customHeight="1">
      <c r="A35" s="13"/>
      <c r="B35" s="375" t="s">
        <v>132</v>
      </c>
      <c r="C35" s="63"/>
      <c r="D35" s="63"/>
      <c r="E35" s="63"/>
      <c r="F35" s="63"/>
      <c r="G35" s="67"/>
      <c r="H35" s="482"/>
      <c r="I35" s="480"/>
      <c r="J35" s="411">
        <f>J33-(E34+G34+I34+K34+L34)</f>
        <v>120834.98033999999</v>
      </c>
      <c r="K35" s="480"/>
      <c r="L35" s="481"/>
    </row>
    <row r="36" spans="1:12" ht="27.95" customHeight="1">
      <c r="A36" s="13"/>
      <c r="B36" s="376" t="s">
        <v>133</v>
      </c>
      <c r="C36" s="377"/>
      <c r="D36" s="377"/>
      <c r="E36" s="377"/>
      <c r="F36" s="377"/>
      <c r="G36" s="378"/>
      <c r="H36" s="379"/>
      <c r="I36" s="380"/>
      <c r="J36" s="380"/>
      <c r="K36" s="380"/>
      <c r="L36" s="79"/>
    </row>
    <row r="37" spans="1:12" ht="27.95" customHeight="1">
      <c r="A37" s="13"/>
      <c r="B37" s="381" t="s">
        <v>134</v>
      </c>
      <c r="C37" s="81"/>
      <c r="D37" s="81"/>
      <c r="E37" s="81"/>
      <c r="F37" s="81"/>
      <c r="G37" s="82"/>
      <c r="H37" s="48"/>
      <c r="I37" s="17"/>
      <c r="J37" s="17"/>
      <c r="K37" s="17"/>
      <c r="L37" s="83"/>
    </row>
    <row r="38" spans="1:12">
      <c r="A38" s="13"/>
      <c r="B38" s="13"/>
      <c r="C38" s="351"/>
      <c r="D38" s="351"/>
      <c r="E38" s="351"/>
      <c r="F38" s="351"/>
      <c r="G38" s="351"/>
      <c r="H38" s="351"/>
      <c r="I38" s="351"/>
      <c r="J38" s="351"/>
      <c r="K38" s="351"/>
      <c r="L38" s="14"/>
    </row>
    <row r="39" spans="1:12" ht="15.75" thickBot="1">
      <c r="A39" s="13"/>
      <c r="B39" s="25"/>
      <c r="C39" s="23"/>
      <c r="D39" s="23"/>
      <c r="E39" s="23"/>
      <c r="F39" s="23"/>
      <c r="G39" s="23"/>
      <c r="H39" s="23"/>
      <c r="I39" s="23"/>
      <c r="J39" s="23"/>
      <c r="K39" s="23"/>
      <c r="L39" s="24"/>
    </row>
    <row r="40" spans="1:12" s="360" customFormat="1">
      <c r="A40" s="351"/>
      <c r="B40" s="351"/>
      <c r="C40" s="351"/>
      <c r="D40" s="351"/>
      <c r="E40" s="351"/>
      <c r="F40" s="351"/>
      <c r="G40" s="351"/>
      <c r="H40" s="351"/>
      <c r="I40" s="351"/>
      <c r="J40" s="351"/>
      <c r="K40" s="351"/>
      <c r="L40" s="351"/>
    </row>
    <row r="41" spans="1:12" s="360" customFormat="1">
      <c r="A41" s="351"/>
      <c r="B41" s="351"/>
      <c r="C41" s="351"/>
      <c r="D41" s="351"/>
      <c r="E41" s="351"/>
      <c r="F41" s="351"/>
      <c r="G41" s="351"/>
      <c r="H41" s="351"/>
      <c r="I41" s="351"/>
      <c r="J41" s="351"/>
      <c r="K41" s="351"/>
      <c r="L41" s="351"/>
    </row>
    <row r="42" spans="1:12" s="360" customFormat="1" ht="33" customHeight="1">
      <c r="A42" s="351"/>
      <c r="B42" s="351"/>
      <c r="C42" s="351"/>
      <c r="D42" s="351"/>
      <c r="E42" s="351"/>
      <c r="F42" s="351"/>
      <c r="G42" s="351"/>
      <c r="H42" s="351"/>
      <c r="I42" s="351"/>
      <c r="J42" s="351"/>
      <c r="K42" s="351"/>
      <c r="L42" s="351"/>
    </row>
    <row r="43" spans="1:12" s="360" customFormat="1">
      <c r="A43" s="351"/>
      <c r="B43" s="351"/>
      <c r="C43" s="351"/>
      <c r="D43" s="351"/>
      <c r="E43" s="351"/>
      <c r="F43" s="351"/>
      <c r="G43" s="351"/>
      <c r="H43" s="351"/>
      <c r="I43" s="351"/>
      <c r="J43" s="351"/>
      <c r="K43" s="351"/>
      <c r="L43" s="351"/>
    </row>
    <row r="44" spans="1:12" s="360" customFormat="1">
      <c r="A44" s="351"/>
      <c r="B44" s="351"/>
      <c r="C44" s="351"/>
      <c r="D44" s="351"/>
      <c r="E44" s="351"/>
      <c r="F44" s="351"/>
      <c r="G44" s="351"/>
      <c r="H44" s="351"/>
      <c r="I44" s="351"/>
      <c r="J44" s="351"/>
      <c r="K44" s="351"/>
      <c r="L44" s="351"/>
    </row>
    <row r="45" spans="1:12" s="360" customFormat="1">
      <c r="A45" s="351"/>
      <c r="B45" s="351"/>
      <c r="C45" s="351"/>
      <c r="D45" s="351"/>
      <c r="E45" s="351"/>
      <c r="F45" s="351"/>
      <c r="G45" s="351"/>
      <c r="H45" s="351"/>
      <c r="I45" s="351"/>
      <c r="J45" s="351"/>
      <c r="K45" s="351"/>
      <c r="L45" s="351"/>
    </row>
    <row r="46" spans="1:12" s="360" customFormat="1">
      <c r="A46" s="351"/>
      <c r="B46" s="351"/>
      <c r="C46" s="351"/>
      <c r="D46" s="351"/>
      <c r="E46" s="351"/>
      <c r="F46" s="351"/>
      <c r="G46" s="351"/>
      <c r="H46" s="351"/>
      <c r="I46" s="351"/>
      <c r="J46" s="351"/>
      <c r="K46" s="351"/>
      <c r="L46" s="351"/>
    </row>
    <row r="47" spans="1:12" s="360" customFormat="1">
      <c r="A47" s="351"/>
      <c r="B47" s="351"/>
      <c r="C47" s="351"/>
      <c r="D47" s="351"/>
      <c r="E47" s="351"/>
      <c r="F47" s="351"/>
      <c r="G47" s="351"/>
      <c r="H47" s="351"/>
      <c r="I47" s="351"/>
      <c r="J47" s="351"/>
      <c r="K47" s="351"/>
      <c r="L47" s="351"/>
    </row>
    <row r="48" spans="1:12" s="360" customFormat="1">
      <c r="A48" s="351"/>
      <c r="B48" s="351"/>
      <c r="C48" s="351"/>
      <c r="D48" s="351"/>
      <c r="E48" s="351"/>
      <c r="F48" s="351"/>
      <c r="G48" s="351"/>
      <c r="H48" s="351"/>
      <c r="I48" s="351"/>
      <c r="J48" s="351"/>
      <c r="K48" s="351"/>
      <c r="L48" s="351"/>
    </row>
    <row r="49" spans="1:12" s="360" customFormat="1">
      <c r="A49" s="351"/>
      <c r="B49" s="351"/>
      <c r="C49" s="351"/>
      <c r="D49" s="351"/>
      <c r="E49" s="351"/>
      <c r="F49" s="351"/>
      <c r="G49" s="351"/>
      <c r="H49" s="351"/>
      <c r="I49" s="351"/>
      <c r="J49" s="351"/>
      <c r="K49" s="351"/>
      <c r="L49" s="351"/>
    </row>
    <row r="50" spans="1:12" s="360" customFormat="1">
      <c r="A50" s="351"/>
      <c r="B50" s="351"/>
      <c r="C50" s="351"/>
      <c r="D50" s="351"/>
      <c r="E50" s="351"/>
      <c r="F50" s="351"/>
      <c r="G50" s="351"/>
      <c r="H50" s="351"/>
      <c r="I50" s="351"/>
      <c r="J50" s="351"/>
      <c r="K50" s="351"/>
      <c r="L50" s="351"/>
    </row>
    <row r="51" spans="1:12" s="360" customFormat="1">
      <c r="A51" s="351"/>
      <c r="B51" s="351"/>
      <c r="C51" s="351"/>
      <c r="D51" s="351"/>
      <c r="E51" s="351"/>
      <c r="F51" s="351"/>
      <c r="G51" s="351"/>
      <c r="H51" s="351"/>
      <c r="I51" s="351"/>
      <c r="J51" s="351"/>
      <c r="K51" s="351"/>
      <c r="L51" s="351"/>
    </row>
    <row r="52" spans="1:12" s="360" customFormat="1" ht="15.75" thickBot="1">
      <c r="A52" s="351"/>
      <c r="B52" s="351"/>
      <c r="C52" s="351"/>
      <c r="D52" s="351"/>
      <c r="E52" s="351"/>
      <c r="F52" s="351"/>
      <c r="G52" s="351"/>
      <c r="H52" s="351"/>
      <c r="I52" s="351"/>
      <c r="J52" s="351"/>
      <c r="K52" s="351"/>
      <c r="L52" s="351"/>
    </row>
    <row r="53" spans="1:12" ht="32.25">
      <c r="A53" s="50"/>
      <c r="B53" s="756" t="s">
        <v>110</v>
      </c>
      <c r="C53" s="757"/>
      <c r="D53" s="757"/>
      <c r="E53" s="757"/>
      <c r="F53" s="757"/>
      <c r="G53" s="757"/>
      <c r="H53" s="757"/>
      <c r="I53" s="757"/>
      <c r="J53" s="757"/>
      <c r="K53" s="757"/>
      <c r="L53" s="758"/>
    </row>
    <row r="54" spans="1:12" ht="23.25">
      <c r="A54" s="13"/>
      <c r="B54" s="759" t="s">
        <v>111</v>
      </c>
      <c r="C54" s="759"/>
      <c r="D54" s="759"/>
      <c r="E54" s="759"/>
      <c r="F54" s="759"/>
      <c r="G54" s="759"/>
      <c r="H54" s="759"/>
      <c r="I54" s="759"/>
      <c r="J54" s="759"/>
      <c r="K54" s="759"/>
      <c r="L54" s="760"/>
    </row>
    <row r="55" spans="1:12" ht="16.5" thickBot="1">
      <c r="A55" s="25"/>
      <c r="B55" s="761" t="s">
        <v>385</v>
      </c>
      <c r="C55" s="761"/>
      <c r="D55" s="761"/>
      <c r="E55" s="761"/>
      <c r="F55" s="761"/>
      <c r="G55" s="761"/>
      <c r="H55" s="761"/>
      <c r="I55" s="761"/>
      <c r="J55" s="761"/>
      <c r="K55" s="761"/>
      <c r="L55" s="762"/>
    </row>
    <row r="56" spans="1:12" ht="15" customHeight="1">
      <c r="A56" s="13"/>
      <c r="B56" s="763" t="s">
        <v>112</v>
      </c>
      <c r="C56" s="763"/>
      <c r="D56" s="763"/>
      <c r="E56" s="763"/>
      <c r="F56" s="763"/>
      <c r="H56" s="764" t="s">
        <v>113</v>
      </c>
      <c r="I56" s="764"/>
      <c r="J56" s="764"/>
      <c r="K56" s="764"/>
      <c r="L56" s="765"/>
    </row>
    <row r="57" spans="1:12" ht="15.75" thickBot="1">
      <c r="A57" s="13"/>
      <c r="B57" s="763"/>
      <c r="C57" s="763"/>
      <c r="D57" s="763"/>
      <c r="E57" s="763"/>
      <c r="F57" s="763"/>
      <c r="H57" s="764"/>
      <c r="I57" s="764"/>
      <c r="J57" s="764"/>
      <c r="K57" s="764"/>
      <c r="L57" s="765"/>
    </row>
    <row r="58" spans="1:12">
      <c r="A58" s="13"/>
      <c r="B58" s="50"/>
      <c r="C58" s="51"/>
      <c r="D58" s="51"/>
      <c r="E58" s="51"/>
      <c r="F58" s="52"/>
      <c r="H58" s="50"/>
      <c r="I58" s="51"/>
      <c r="J58" s="51"/>
      <c r="K58" s="51"/>
      <c r="L58" s="52"/>
    </row>
    <row r="59" spans="1:12">
      <c r="A59" s="13"/>
      <c r="B59" s="53" t="e">
        <f>#REF!</f>
        <v>#REF!</v>
      </c>
      <c r="F59" s="14"/>
      <c r="H59" s="53" t="e">
        <f>#REF!</f>
        <v>#REF!</v>
      </c>
      <c r="L59" s="14"/>
    </row>
    <row r="60" spans="1:12">
      <c r="A60" s="13"/>
      <c r="B60" s="13"/>
      <c r="F60" s="14"/>
      <c r="H60" s="13"/>
      <c r="L60" s="14"/>
    </row>
    <row r="61" spans="1:12">
      <c r="A61" s="13"/>
      <c r="B61" s="53" t="e">
        <f>#REF!</f>
        <v>#REF!</v>
      </c>
      <c r="F61" s="14"/>
      <c r="H61" s="53" t="e">
        <f>#REF!</f>
        <v>#REF!</v>
      </c>
      <c r="L61" s="14"/>
    </row>
    <row r="62" spans="1:12" ht="15.75" thickBot="1">
      <c r="A62" s="13"/>
      <c r="B62" s="25"/>
      <c r="C62" s="23"/>
      <c r="D62" s="23"/>
      <c r="E62" s="23"/>
      <c r="F62" s="24"/>
      <c r="H62" s="25"/>
      <c r="I62" s="23"/>
      <c r="J62" s="23"/>
      <c r="K62" s="23"/>
      <c r="L62" s="24"/>
    </row>
    <row r="63" spans="1:12">
      <c r="A63" s="13"/>
      <c r="J63" t="s">
        <v>114</v>
      </c>
      <c r="L63" s="14"/>
    </row>
    <row r="64" spans="1:12">
      <c r="A64" s="13"/>
      <c r="B64" s="753" t="s">
        <v>115</v>
      </c>
      <c r="C64" s="753"/>
      <c r="D64" s="753"/>
      <c r="E64" s="753"/>
      <c r="F64" s="753"/>
      <c r="H64" s="753" t="s">
        <v>4</v>
      </c>
      <c r="I64" s="753"/>
      <c r="J64" s="753"/>
      <c r="K64" s="753"/>
      <c r="L64" s="754"/>
    </row>
    <row r="65" spans="1:12" ht="15.75" thickBot="1">
      <c r="A65" s="13"/>
      <c r="L65" s="14"/>
    </row>
    <row r="66" spans="1:12">
      <c r="A66" s="13"/>
      <c r="B66" s="50"/>
      <c r="C66" s="51"/>
      <c r="D66" s="51"/>
      <c r="E66" s="51"/>
      <c r="F66" s="52"/>
      <c r="H66" s="54"/>
      <c r="I66" s="55"/>
      <c r="J66" s="55"/>
      <c r="K66" s="55"/>
      <c r="L66" s="56"/>
    </row>
    <row r="67" spans="1:12">
      <c r="A67" s="13"/>
      <c r="B67" s="13"/>
      <c r="F67" s="14"/>
      <c r="H67" s="53" t="e">
        <f>#REF!</f>
        <v>#REF!</v>
      </c>
      <c r="I67" s="2"/>
      <c r="J67" s="2"/>
      <c r="K67" s="2"/>
      <c r="L67" s="57"/>
    </row>
    <row r="68" spans="1:12">
      <c r="A68" s="13"/>
      <c r="B68" s="53" t="e">
        <f>#REF!</f>
        <v>#REF!</v>
      </c>
      <c r="F68" s="14"/>
      <c r="H68" s="53"/>
      <c r="I68" s="2"/>
      <c r="J68" s="2"/>
      <c r="K68" s="2"/>
      <c r="L68" s="57"/>
    </row>
    <row r="69" spans="1:12">
      <c r="A69" s="13"/>
      <c r="B69" s="13"/>
      <c r="F69" s="14"/>
      <c r="H69" s="53" t="e">
        <f>#REF!</f>
        <v>#REF!</v>
      </c>
      <c r="I69" s="2"/>
      <c r="J69" s="2"/>
      <c r="K69" s="2"/>
      <c r="L69" s="57"/>
    </row>
    <row r="70" spans="1:12" ht="15.75" thickBot="1">
      <c r="A70" s="13"/>
      <c r="B70" s="25"/>
      <c r="C70" s="23"/>
      <c r="D70" s="23"/>
      <c r="E70" s="23"/>
      <c r="F70" s="24"/>
      <c r="H70" s="58"/>
      <c r="I70" s="59"/>
      <c r="J70" s="59"/>
      <c r="K70" s="59"/>
      <c r="L70" s="60"/>
    </row>
    <row r="71" spans="1:12" ht="27.95" customHeight="1">
      <c r="A71" s="61"/>
      <c r="B71" s="742" t="s">
        <v>116</v>
      </c>
      <c r="C71" s="742"/>
      <c r="D71" s="742"/>
      <c r="E71" s="742"/>
      <c r="F71" s="742"/>
      <c r="G71" s="742"/>
      <c r="H71" s="743">
        <f>'BOM 04 22Master'!B440</f>
        <v>0</v>
      </c>
      <c r="I71" s="744"/>
      <c r="J71" s="744"/>
      <c r="K71" s="744"/>
      <c r="L71" s="745"/>
    </row>
    <row r="72" spans="1:12" ht="27.95" customHeight="1">
      <c r="A72" s="61"/>
      <c r="B72" s="755" t="s">
        <v>117</v>
      </c>
      <c r="C72" s="755"/>
      <c r="D72" s="755"/>
      <c r="E72" s="755"/>
      <c r="F72" s="755"/>
      <c r="G72" s="755"/>
      <c r="H72" s="743">
        <f>'BOM 04 22Master'!A441</f>
        <v>0</v>
      </c>
      <c r="I72" s="744"/>
      <c r="J72" s="744"/>
      <c r="K72" s="744"/>
      <c r="L72" s="745"/>
    </row>
    <row r="73" spans="1:12" ht="27.95" customHeight="1">
      <c r="A73" s="61"/>
      <c r="B73" s="742" t="s">
        <v>118</v>
      </c>
      <c r="C73" s="742"/>
      <c r="D73" s="742"/>
      <c r="E73" s="742"/>
      <c r="F73" s="742"/>
      <c r="G73" s="742"/>
      <c r="H73" s="743">
        <f>'BOM 04 22Master'!F440</f>
        <v>0</v>
      </c>
      <c r="I73" s="744"/>
      <c r="J73" s="744"/>
      <c r="K73" s="744"/>
      <c r="L73" s="745"/>
    </row>
    <row r="74" spans="1:12" ht="27.95" customHeight="1">
      <c r="A74" s="61"/>
      <c r="B74" s="742" t="s">
        <v>119</v>
      </c>
      <c r="C74" s="742"/>
      <c r="D74" s="742"/>
      <c r="E74" s="742"/>
      <c r="F74" s="742"/>
      <c r="G74" s="742"/>
      <c r="H74" s="746">
        <f>'BOM 04 22Master'!N440</f>
        <v>0</v>
      </c>
      <c r="I74" s="747"/>
      <c r="J74" s="747"/>
      <c r="K74" s="747"/>
      <c r="L74" s="748"/>
    </row>
    <row r="75" spans="1:12" ht="27.95" customHeight="1">
      <c r="A75" s="61"/>
      <c r="B75" s="62" t="s">
        <v>120</v>
      </c>
      <c r="C75" s="63"/>
      <c r="D75" s="63"/>
      <c r="E75" s="63"/>
      <c r="F75" s="63"/>
      <c r="G75" s="63"/>
      <c r="H75" s="64"/>
      <c r="I75" s="65"/>
      <c r="J75" s="27">
        <f>'BOM 04 22Master'!T440</f>
        <v>0</v>
      </c>
      <c r="K75" s="66"/>
      <c r="L75" s="71"/>
    </row>
    <row r="76" spans="1:12" ht="27.95" customHeight="1">
      <c r="A76" s="61"/>
      <c r="B76" s="62" t="s">
        <v>121</v>
      </c>
      <c r="C76" s="63"/>
      <c r="D76" s="63"/>
      <c r="E76" s="63"/>
      <c r="F76" s="63"/>
      <c r="G76" s="67"/>
      <c r="H76" s="68"/>
      <c r="I76" s="69"/>
      <c r="J76" s="27">
        <f>'BOM 04 22Master'!S440</f>
        <v>0</v>
      </c>
      <c r="K76" s="69"/>
      <c r="L76" s="70"/>
    </row>
    <row r="77" spans="1:12" ht="27.95" customHeight="1">
      <c r="A77" s="61"/>
      <c r="B77" s="749" t="s">
        <v>122</v>
      </c>
      <c r="C77" s="749"/>
      <c r="D77" s="749"/>
      <c r="E77" s="749"/>
      <c r="F77" s="749"/>
      <c r="G77" s="749"/>
      <c r="H77" s="750">
        <v>11322</v>
      </c>
      <c r="I77" s="751"/>
      <c r="J77" s="751"/>
      <c r="K77" s="751"/>
      <c r="L77" s="752"/>
    </row>
    <row r="78" spans="1:12" ht="27.95" customHeight="1">
      <c r="A78" s="61"/>
      <c r="B78" s="742" t="s">
        <v>123</v>
      </c>
      <c r="C78" s="742"/>
      <c r="D78" s="742"/>
      <c r="E78" s="742"/>
      <c r="F78" s="742"/>
      <c r="G78" s="742"/>
      <c r="H78" s="766">
        <f>'BOM 04 22Master'!D434</f>
        <v>0</v>
      </c>
      <c r="I78" s="744"/>
      <c r="J78" s="744"/>
      <c r="K78" s="744"/>
      <c r="L78" s="745"/>
    </row>
    <row r="79" spans="1:12" ht="27.95" customHeight="1">
      <c r="A79" s="13"/>
      <c r="B79" s="742" t="s">
        <v>124</v>
      </c>
      <c r="C79" s="742"/>
      <c r="D79" s="742"/>
      <c r="E79" s="742"/>
      <c r="F79" s="742"/>
      <c r="G79" s="742"/>
      <c r="H79" s="744" t="s">
        <v>125</v>
      </c>
      <c r="I79" s="744"/>
      <c r="J79" s="744"/>
      <c r="K79" s="744"/>
      <c r="L79" s="745"/>
    </row>
    <row r="80" spans="1:12" ht="27.95" customHeight="1">
      <c r="A80" s="13"/>
      <c r="B80" s="62" t="s">
        <v>126</v>
      </c>
      <c r="C80" s="63"/>
      <c r="D80" s="63"/>
      <c r="E80" s="63"/>
      <c r="F80" s="63"/>
      <c r="G80" s="67"/>
      <c r="H80" s="64"/>
      <c r="I80" s="66"/>
      <c r="J80" s="66">
        <f>'BOM 04 22Master'!W440</f>
        <v>0</v>
      </c>
      <c r="K80" s="66"/>
      <c r="L80" s="71"/>
    </row>
    <row r="81" spans="1:12" ht="27.95" customHeight="1">
      <c r="A81" s="13"/>
      <c r="B81" s="62" t="s">
        <v>127</v>
      </c>
      <c r="C81" s="63"/>
      <c r="D81" s="63"/>
      <c r="E81" s="63"/>
      <c r="F81" s="63"/>
      <c r="G81" s="67"/>
      <c r="H81" s="64"/>
      <c r="I81" s="66"/>
      <c r="J81" s="66" t="s">
        <v>37</v>
      </c>
      <c r="K81" s="66"/>
      <c r="L81" s="71"/>
    </row>
    <row r="82" spans="1:12" ht="27.95" customHeight="1">
      <c r="A82" s="13"/>
      <c r="B82" s="62" t="s">
        <v>128</v>
      </c>
      <c r="C82" s="63"/>
      <c r="D82" s="63"/>
      <c r="E82" s="63"/>
      <c r="F82" s="63"/>
      <c r="G82" s="67"/>
      <c r="H82" s="64"/>
      <c r="I82" s="66"/>
      <c r="J82" s="72">
        <v>0</v>
      </c>
      <c r="K82" s="66"/>
      <c r="L82" s="71"/>
    </row>
    <row r="83" spans="1:12" ht="27.95" customHeight="1">
      <c r="A83" s="13"/>
      <c r="B83" s="62" t="s">
        <v>129</v>
      </c>
      <c r="C83" s="63"/>
      <c r="D83" s="63"/>
      <c r="E83" s="63"/>
      <c r="F83" s="63"/>
      <c r="G83" s="67"/>
      <c r="H83" s="64"/>
      <c r="I83" s="66"/>
      <c r="J83" s="66">
        <v>0</v>
      </c>
      <c r="K83" s="66"/>
      <c r="L83" s="71"/>
    </row>
    <row r="84" spans="1:12" ht="27.95" customHeight="1">
      <c r="A84" s="13"/>
      <c r="B84" s="62" t="s">
        <v>130</v>
      </c>
      <c r="C84" s="63"/>
      <c r="D84" s="63"/>
      <c r="E84" s="63"/>
      <c r="F84" s="63"/>
      <c r="G84" s="67"/>
      <c r="H84" s="64"/>
      <c r="I84" s="66"/>
      <c r="J84" s="72">
        <f>'BOM 04 22Master'!AM440</f>
        <v>0</v>
      </c>
      <c r="K84" s="66"/>
      <c r="L84" s="71" t="s">
        <v>35</v>
      </c>
    </row>
    <row r="85" spans="1:12" ht="27.95" customHeight="1">
      <c r="A85" s="13"/>
      <c r="B85" s="62" t="s">
        <v>131</v>
      </c>
      <c r="C85" s="63"/>
      <c r="D85" s="84" t="s">
        <v>32</v>
      </c>
      <c r="E85" s="85">
        <f>'BOM 04 22Master'!AO440</f>
        <v>0</v>
      </c>
      <c r="F85" s="84" t="s">
        <v>31</v>
      </c>
      <c r="G85" s="85">
        <f>'BOM 04 22Master'!AN440</f>
        <v>0</v>
      </c>
      <c r="H85" s="84" t="s">
        <v>33</v>
      </c>
      <c r="I85" s="85">
        <f>'BOM 04 22Master'!AP440</f>
        <v>0</v>
      </c>
      <c r="J85" s="84" t="s">
        <v>34</v>
      </c>
      <c r="K85" s="85">
        <f>'BOM 04 22Master'!AQ440</f>
        <v>0</v>
      </c>
      <c r="L85" s="86">
        <f>'BOM 04 22Master'!AR440</f>
        <v>0</v>
      </c>
    </row>
    <row r="86" spans="1:12" ht="27.95" customHeight="1">
      <c r="A86" s="13"/>
      <c r="B86" s="62" t="s">
        <v>132</v>
      </c>
      <c r="C86" s="63"/>
      <c r="D86" s="63"/>
      <c r="E86" s="63"/>
      <c r="F86" s="63"/>
      <c r="G86" s="67"/>
      <c r="H86" s="64"/>
      <c r="I86" s="66"/>
      <c r="J86" s="73">
        <f>J84-(E85+G85+I85+K85+L85)</f>
        <v>0</v>
      </c>
      <c r="K86" s="66"/>
      <c r="L86" s="71"/>
    </row>
    <row r="87" spans="1:12" ht="27.95" customHeight="1">
      <c r="A87" s="13"/>
      <c r="B87" s="74" t="s">
        <v>133</v>
      </c>
      <c r="C87" s="75"/>
      <c r="D87" s="75"/>
      <c r="E87" s="75"/>
      <c r="F87" s="75"/>
      <c r="G87" s="76"/>
      <c r="H87" s="77"/>
      <c r="I87" s="78"/>
      <c r="J87" s="78"/>
      <c r="K87" s="78"/>
      <c r="L87" s="79"/>
    </row>
    <row r="88" spans="1:12" ht="27.95" customHeight="1">
      <c r="A88" s="13"/>
      <c r="B88" s="80" t="s">
        <v>134</v>
      </c>
      <c r="C88" s="81"/>
      <c r="D88" s="81"/>
      <c r="E88" s="81"/>
      <c r="F88" s="81"/>
      <c r="G88" s="82"/>
      <c r="H88" s="48"/>
      <c r="I88" s="17"/>
      <c r="J88" s="17"/>
      <c r="K88" s="17"/>
      <c r="L88" s="83"/>
    </row>
    <row r="89" spans="1:12">
      <c r="A89" s="13"/>
      <c r="L89" s="14"/>
    </row>
    <row r="90" spans="1:12" ht="15.75" thickBot="1">
      <c r="A90" s="25"/>
      <c r="B90" s="23"/>
      <c r="C90" s="23"/>
      <c r="D90" s="23"/>
      <c r="E90" s="23"/>
      <c r="F90" s="23"/>
      <c r="G90" s="23"/>
      <c r="H90" s="23"/>
      <c r="I90" s="23"/>
      <c r="J90" s="23"/>
      <c r="K90" s="23"/>
      <c r="L90" s="24"/>
    </row>
    <row r="91" spans="1:12" ht="32.25">
      <c r="A91" s="50"/>
      <c r="B91" s="756" t="s">
        <v>110</v>
      </c>
      <c r="C91" s="757"/>
      <c r="D91" s="757"/>
      <c r="E91" s="757"/>
      <c r="F91" s="757"/>
      <c r="G91" s="757"/>
      <c r="H91" s="757"/>
      <c r="I91" s="757"/>
      <c r="J91" s="757"/>
      <c r="K91" s="757"/>
      <c r="L91" s="758"/>
    </row>
    <row r="92" spans="1:12" ht="23.25">
      <c r="A92" s="13"/>
      <c r="B92" s="759" t="s">
        <v>111</v>
      </c>
      <c r="C92" s="759"/>
      <c r="D92" s="759"/>
      <c r="E92" s="759"/>
      <c r="F92" s="759"/>
      <c r="G92" s="759"/>
      <c r="H92" s="759"/>
      <c r="I92" s="759"/>
      <c r="J92" s="759"/>
      <c r="K92" s="759"/>
      <c r="L92" s="760"/>
    </row>
    <row r="93" spans="1:12" ht="16.5" thickBot="1">
      <c r="A93" s="25"/>
      <c r="B93" s="761" t="s">
        <v>385</v>
      </c>
      <c r="C93" s="761"/>
      <c r="D93" s="761"/>
      <c r="E93" s="761"/>
      <c r="F93" s="761"/>
      <c r="G93" s="761"/>
      <c r="H93" s="761"/>
      <c r="I93" s="761"/>
      <c r="J93" s="761"/>
      <c r="K93" s="761"/>
      <c r="L93" s="762"/>
    </row>
    <row r="94" spans="1:12" ht="15" customHeight="1">
      <c r="A94" s="13"/>
      <c r="B94" s="763" t="s">
        <v>112</v>
      </c>
      <c r="C94" s="763"/>
      <c r="D94" s="763"/>
      <c r="E94" s="763"/>
      <c r="F94" s="763"/>
      <c r="H94" s="764" t="s">
        <v>113</v>
      </c>
      <c r="I94" s="764"/>
      <c r="J94" s="764"/>
      <c r="K94" s="764"/>
      <c r="L94" s="765"/>
    </row>
    <row r="95" spans="1:12" ht="15.75" thickBot="1">
      <c r="A95" s="13"/>
      <c r="B95" s="763"/>
      <c r="C95" s="763"/>
      <c r="D95" s="763"/>
      <c r="E95" s="763"/>
      <c r="F95" s="763"/>
      <c r="H95" s="764"/>
      <c r="I95" s="764"/>
      <c r="J95" s="764"/>
      <c r="K95" s="764"/>
      <c r="L95" s="765"/>
    </row>
    <row r="96" spans="1:12">
      <c r="A96" s="13"/>
      <c r="B96" s="50"/>
      <c r="C96" s="51"/>
      <c r="D96" s="51"/>
      <c r="E96" s="51"/>
      <c r="F96" s="52"/>
      <c r="H96" s="50"/>
      <c r="I96" s="51"/>
      <c r="J96" s="51"/>
      <c r="K96" s="51"/>
      <c r="L96" s="52"/>
    </row>
    <row r="97" spans="1:12">
      <c r="A97" s="13"/>
      <c r="B97" s="53" t="e">
        <f>#REF!</f>
        <v>#REF!</v>
      </c>
      <c r="F97" s="14"/>
      <c r="H97" s="53" t="e">
        <f>#REF!</f>
        <v>#REF!</v>
      </c>
      <c r="L97" s="14"/>
    </row>
    <row r="98" spans="1:12">
      <c r="A98" s="13"/>
      <c r="B98" s="13"/>
      <c r="F98" s="14"/>
      <c r="H98" s="13"/>
      <c r="L98" s="14"/>
    </row>
    <row r="99" spans="1:12">
      <c r="A99" s="13"/>
      <c r="B99" s="53" t="e">
        <f>#REF!</f>
        <v>#REF!</v>
      </c>
      <c r="F99" s="14"/>
      <c r="H99" s="53" t="e">
        <f>#REF!</f>
        <v>#REF!</v>
      </c>
      <c r="L99" s="14"/>
    </row>
    <row r="100" spans="1:12" ht="15.75" thickBot="1">
      <c r="A100" s="13"/>
      <c r="B100" s="25"/>
      <c r="C100" s="23"/>
      <c r="D100" s="23"/>
      <c r="E100" s="23"/>
      <c r="F100" s="24"/>
      <c r="H100" s="25"/>
      <c r="I100" s="23"/>
      <c r="J100" s="23"/>
      <c r="K100" s="23"/>
      <c r="L100" s="24"/>
    </row>
    <row r="101" spans="1:12">
      <c r="A101" s="13"/>
      <c r="J101" t="s">
        <v>114</v>
      </c>
      <c r="L101" s="14"/>
    </row>
    <row r="102" spans="1:12">
      <c r="A102" s="13"/>
      <c r="B102" s="753" t="s">
        <v>115</v>
      </c>
      <c r="C102" s="753"/>
      <c r="D102" s="753"/>
      <c r="E102" s="753"/>
      <c r="F102" s="753"/>
      <c r="H102" s="753" t="s">
        <v>4</v>
      </c>
      <c r="I102" s="753"/>
      <c r="J102" s="753"/>
      <c r="K102" s="753"/>
      <c r="L102" s="754"/>
    </row>
    <row r="103" spans="1:12" ht="15.75" thickBot="1">
      <c r="A103" s="13"/>
      <c r="L103" s="14"/>
    </row>
    <row r="104" spans="1:12">
      <c r="A104" s="13"/>
      <c r="B104" s="50"/>
      <c r="C104" s="51"/>
      <c r="D104" s="51"/>
      <c r="E104" s="51"/>
      <c r="F104" s="52"/>
      <c r="H104" s="54"/>
      <c r="I104" s="55"/>
      <c r="J104" s="55"/>
      <c r="K104" s="55"/>
      <c r="L104" s="56"/>
    </row>
    <row r="105" spans="1:12">
      <c r="A105" s="13"/>
      <c r="B105" s="13"/>
      <c r="F105" s="14"/>
      <c r="H105" s="53" t="e">
        <f>#REF!</f>
        <v>#REF!</v>
      </c>
      <c r="I105" s="2"/>
      <c r="J105" s="2"/>
      <c r="K105" s="2"/>
      <c r="L105" s="57"/>
    </row>
    <row r="106" spans="1:12">
      <c r="A106" s="13"/>
      <c r="B106" s="53" t="e">
        <f>#REF!</f>
        <v>#REF!</v>
      </c>
      <c r="F106" s="14"/>
      <c r="H106" s="53"/>
      <c r="I106" s="2"/>
      <c r="J106" s="2"/>
      <c r="K106" s="2"/>
      <c r="L106" s="57"/>
    </row>
    <row r="107" spans="1:12">
      <c r="A107" s="13"/>
      <c r="B107" s="13"/>
      <c r="F107" s="14"/>
      <c r="H107" s="53" t="e">
        <f>#REF!</f>
        <v>#REF!</v>
      </c>
      <c r="I107" s="2"/>
      <c r="J107" s="2"/>
      <c r="K107" s="2"/>
      <c r="L107" s="57"/>
    </row>
    <row r="108" spans="1:12" ht="15.75" thickBot="1">
      <c r="A108" s="13"/>
      <c r="B108" s="25"/>
      <c r="C108" s="23"/>
      <c r="D108" s="23"/>
      <c r="E108" s="23"/>
      <c r="F108" s="24"/>
      <c r="H108" s="58"/>
      <c r="I108" s="59"/>
      <c r="J108" s="59"/>
      <c r="K108" s="59"/>
      <c r="L108" s="60"/>
    </row>
    <row r="109" spans="1:12" ht="27.95" customHeight="1">
      <c r="A109" s="61"/>
      <c r="B109" s="742" t="s">
        <v>116</v>
      </c>
      <c r="C109" s="742"/>
      <c r="D109" s="742"/>
      <c r="E109" s="742"/>
      <c r="F109" s="742"/>
      <c r="G109" s="742"/>
      <c r="H109" s="743">
        <f>'BOM 04 22Master'!B478</f>
        <v>0</v>
      </c>
      <c r="I109" s="744"/>
      <c r="J109" s="744"/>
      <c r="K109" s="744"/>
      <c r="L109" s="745"/>
    </row>
    <row r="110" spans="1:12" ht="27.95" customHeight="1">
      <c r="A110" s="61"/>
      <c r="B110" s="755" t="s">
        <v>117</v>
      </c>
      <c r="C110" s="755"/>
      <c r="D110" s="755"/>
      <c r="E110" s="755"/>
      <c r="F110" s="755"/>
      <c r="G110" s="755"/>
      <c r="H110" s="743">
        <f>'BOM 04 22Master'!A479</f>
        <v>0</v>
      </c>
      <c r="I110" s="744"/>
      <c r="J110" s="744"/>
      <c r="K110" s="744"/>
      <c r="L110" s="745"/>
    </row>
    <row r="111" spans="1:12" ht="27.95" customHeight="1">
      <c r="A111" s="61"/>
      <c r="B111" s="742" t="s">
        <v>118</v>
      </c>
      <c r="C111" s="742"/>
      <c r="D111" s="742"/>
      <c r="E111" s="742"/>
      <c r="F111" s="742"/>
      <c r="G111" s="742"/>
      <c r="H111" s="743">
        <f>'BOM 04 22Master'!F478</f>
        <v>0</v>
      </c>
      <c r="I111" s="744"/>
      <c r="J111" s="744"/>
      <c r="K111" s="744"/>
      <c r="L111" s="745"/>
    </row>
    <row r="112" spans="1:12" ht="27.95" customHeight="1">
      <c r="A112" s="61"/>
      <c r="B112" s="742" t="s">
        <v>119</v>
      </c>
      <c r="C112" s="742"/>
      <c r="D112" s="742"/>
      <c r="E112" s="742"/>
      <c r="F112" s="742"/>
      <c r="G112" s="742"/>
      <c r="H112" s="746">
        <f>'BOM 04 22Master'!N478</f>
        <v>0</v>
      </c>
      <c r="I112" s="747"/>
      <c r="J112" s="747"/>
      <c r="K112" s="747"/>
      <c r="L112" s="748"/>
    </row>
    <row r="113" spans="1:12" ht="27.95" customHeight="1">
      <c r="A113" s="61"/>
      <c r="B113" s="62" t="s">
        <v>120</v>
      </c>
      <c r="C113" s="63"/>
      <c r="D113" s="63"/>
      <c r="E113" s="63"/>
      <c r="F113" s="63"/>
      <c r="G113" s="63"/>
      <c r="H113" s="64"/>
      <c r="I113" s="65"/>
      <c r="J113" s="27">
        <f>'BOM 04 22Master'!T478</f>
        <v>0</v>
      </c>
      <c r="K113" s="66"/>
      <c r="L113" s="71"/>
    </row>
    <row r="114" spans="1:12" ht="27.95" customHeight="1">
      <c r="A114" s="61"/>
      <c r="B114" s="62" t="s">
        <v>121</v>
      </c>
      <c r="C114" s="63"/>
      <c r="D114" s="63"/>
      <c r="E114" s="63"/>
      <c r="F114" s="63"/>
      <c r="G114" s="67"/>
      <c r="H114" s="68"/>
      <c r="I114" s="69"/>
      <c r="J114" s="27">
        <f>'BOM 04 22Master'!S478</f>
        <v>0</v>
      </c>
      <c r="K114" s="69"/>
      <c r="L114" s="70"/>
    </row>
    <row r="115" spans="1:12" ht="27.95" customHeight="1">
      <c r="A115" s="61"/>
      <c r="B115" s="749" t="s">
        <v>122</v>
      </c>
      <c r="C115" s="749"/>
      <c r="D115" s="749"/>
      <c r="E115" s="749"/>
      <c r="F115" s="749"/>
      <c r="G115" s="749"/>
      <c r="H115" s="750">
        <v>11322</v>
      </c>
      <c r="I115" s="751"/>
      <c r="J115" s="751"/>
      <c r="K115" s="751"/>
      <c r="L115" s="752"/>
    </row>
    <row r="116" spans="1:12" ht="27.95" customHeight="1">
      <c r="A116" s="61"/>
      <c r="B116" s="742" t="s">
        <v>123</v>
      </c>
      <c r="C116" s="742"/>
      <c r="D116" s="742"/>
      <c r="E116" s="742"/>
      <c r="F116" s="742"/>
      <c r="G116" s="742"/>
      <c r="H116" s="766">
        <f>'BOM 04 22Master'!D472</f>
        <v>0</v>
      </c>
      <c r="I116" s="744"/>
      <c r="J116" s="744"/>
      <c r="K116" s="744"/>
      <c r="L116" s="745"/>
    </row>
    <row r="117" spans="1:12" ht="27.95" customHeight="1">
      <c r="A117" s="13"/>
      <c r="B117" s="742" t="s">
        <v>124</v>
      </c>
      <c r="C117" s="742"/>
      <c r="D117" s="742"/>
      <c r="E117" s="742"/>
      <c r="F117" s="742"/>
      <c r="G117" s="742"/>
      <c r="H117" s="744" t="s">
        <v>125</v>
      </c>
      <c r="I117" s="744"/>
      <c r="J117" s="744"/>
      <c r="K117" s="744"/>
      <c r="L117" s="745"/>
    </row>
    <row r="118" spans="1:12" ht="27.95" customHeight="1">
      <c r="A118" s="13"/>
      <c r="B118" s="62" t="s">
        <v>126</v>
      </c>
      <c r="C118" s="63"/>
      <c r="D118" s="63"/>
      <c r="E118" s="63"/>
      <c r="F118" s="63"/>
      <c r="G118" s="67"/>
      <c r="H118" s="64"/>
      <c r="I118" s="66"/>
      <c r="J118" s="66">
        <f>'BOM 04 22Master'!W478</f>
        <v>0</v>
      </c>
      <c r="K118" s="66"/>
      <c r="L118" s="71"/>
    </row>
    <row r="119" spans="1:12" ht="27.95" customHeight="1">
      <c r="A119" s="13"/>
      <c r="B119" s="62" t="s">
        <v>127</v>
      </c>
      <c r="C119" s="63"/>
      <c r="D119" s="63"/>
      <c r="E119" s="63"/>
      <c r="F119" s="63"/>
      <c r="G119" s="67"/>
      <c r="H119" s="64"/>
      <c r="I119" s="66"/>
      <c r="J119" s="66" t="s">
        <v>37</v>
      </c>
      <c r="K119" s="66"/>
      <c r="L119" s="71"/>
    </row>
    <row r="120" spans="1:12" ht="27.95" customHeight="1">
      <c r="A120" s="13"/>
      <c r="B120" s="62" t="s">
        <v>128</v>
      </c>
      <c r="C120" s="63"/>
      <c r="D120" s="63"/>
      <c r="E120" s="63"/>
      <c r="F120" s="63"/>
      <c r="G120" s="67"/>
      <c r="H120" s="64"/>
      <c r="I120" s="66"/>
      <c r="J120" s="72">
        <v>0</v>
      </c>
      <c r="K120" s="66"/>
      <c r="L120" s="71"/>
    </row>
    <row r="121" spans="1:12" ht="27.95" customHeight="1">
      <c r="A121" s="13"/>
      <c r="B121" s="62" t="s">
        <v>129</v>
      </c>
      <c r="C121" s="63"/>
      <c r="D121" s="63"/>
      <c r="E121" s="63"/>
      <c r="F121" s="63"/>
      <c r="G121" s="67"/>
      <c r="H121" s="64"/>
      <c r="I121" s="66"/>
      <c r="J121" s="66">
        <v>0</v>
      </c>
      <c r="K121" s="66"/>
      <c r="L121" s="71"/>
    </row>
    <row r="122" spans="1:12" ht="27.95" customHeight="1">
      <c r="A122" s="13"/>
      <c r="B122" s="62" t="s">
        <v>130</v>
      </c>
      <c r="C122" s="63"/>
      <c r="D122" s="63"/>
      <c r="E122" s="63"/>
      <c r="F122" s="63"/>
      <c r="G122" s="67"/>
      <c r="H122" s="64"/>
      <c r="I122" s="66"/>
      <c r="J122" s="72">
        <f>'BOM 04 22Master'!AM478</f>
        <v>0</v>
      </c>
      <c r="K122" s="66"/>
      <c r="L122" s="71" t="s">
        <v>35</v>
      </c>
    </row>
    <row r="123" spans="1:12" ht="27.95" customHeight="1">
      <c r="A123" s="13"/>
      <c r="B123" s="62" t="s">
        <v>131</v>
      </c>
      <c r="C123" s="63"/>
      <c r="D123" s="84" t="s">
        <v>32</v>
      </c>
      <c r="E123" s="85">
        <f>'BOM 04 22Master'!AO478</f>
        <v>0</v>
      </c>
      <c r="F123" s="84" t="s">
        <v>31</v>
      </c>
      <c r="G123" s="85">
        <f>'BOM 04 22Master'!AN478</f>
        <v>0</v>
      </c>
      <c r="H123" s="84" t="s">
        <v>33</v>
      </c>
      <c r="I123" s="85">
        <f>'BOM 04 22Master'!AP478</f>
        <v>0</v>
      </c>
      <c r="J123" s="84" t="s">
        <v>34</v>
      </c>
      <c r="K123" s="85">
        <f>'BOM 04 22Master'!AQ478</f>
        <v>0</v>
      </c>
      <c r="L123" s="86">
        <f>'BOM 04 22Master'!AR478</f>
        <v>0</v>
      </c>
    </row>
    <row r="124" spans="1:12" ht="27.95" customHeight="1">
      <c r="A124" s="13"/>
      <c r="B124" s="62" t="s">
        <v>132</v>
      </c>
      <c r="C124" s="63"/>
      <c r="D124" s="63"/>
      <c r="E124" s="63"/>
      <c r="F124" s="63"/>
      <c r="G124" s="67"/>
      <c r="H124" s="64"/>
      <c r="I124" s="66"/>
      <c r="J124" s="73">
        <f>J122-(E123+G123+I123+K123+L123)</f>
        <v>0</v>
      </c>
      <c r="K124" s="66"/>
      <c r="L124" s="71"/>
    </row>
    <row r="125" spans="1:12" ht="27.95" customHeight="1">
      <c r="A125" s="13"/>
      <c r="B125" s="74" t="s">
        <v>133</v>
      </c>
      <c r="C125" s="75"/>
      <c r="D125" s="75"/>
      <c r="E125" s="75"/>
      <c r="F125" s="75"/>
      <c r="G125" s="76"/>
      <c r="H125" s="77"/>
      <c r="I125" s="78"/>
      <c r="J125" s="78"/>
      <c r="K125" s="78"/>
      <c r="L125" s="79"/>
    </row>
    <row r="126" spans="1:12" ht="27.95" customHeight="1">
      <c r="A126" s="13"/>
      <c r="B126" s="80" t="s">
        <v>134</v>
      </c>
      <c r="C126" s="81"/>
      <c r="D126" s="81"/>
      <c r="E126" s="81"/>
      <c r="F126" s="81"/>
      <c r="G126" s="82"/>
      <c r="H126" s="48"/>
      <c r="I126" s="17"/>
      <c r="J126" s="17"/>
      <c r="K126" s="17"/>
      <c r="L126" s="83"/>
    </row>
    <row r="127" spans="1:12">
      <c r="A127" s="13"/>
      <c r="L127" s="14"/>
    </row>
    <row r="128" spans="1:12" ht="15.75" thickBot="1">
      <c r="A128" s="25"/>
      <c r="B128" s="23"/>
      <c r="C128" s="23"/>
      <c r="D128" s="23"/>
      <c r="E128" s="23"/>
      <c r="F128" s="23"/>
      <c r="G128" s="23"/>
      <c r="H128" s="23"/>
      <c r="I128" s="23"/>
      <c r="J128" s="23"/>
      <c r="K128" s="23"/>
      <c r="L128" s="24"/>
    </row>
    <row r="129" spans="1:12" ht="15.75" thickBot="1"/>
    <row r="130" spans="1:12" ht="32.25">
      <c r="A130" s="50"/>
      <c r="B130" s="756" t="s">
        <v>110</v>
      </c>
      <c r="C130" s="757"/>
      <c r="D130" s="757"/>
      <c r="E130" s="757"/>
      <c r="F130" s="757"/>
      <c r="G130" s="757"/>
      <c r="H130" s="757"/>
      <c r="I130" s="757"/>
      <c r="J130" s="757"/>
      <c r="K130" s="757"/>
      <c r="L130" s="758"/>
    </row>
    <row r="131" spans="1:12" ht="23.25">
      <c r="A131" s="13"/>
      <c r="B131" s="759" t="s">
        <v>111</v>
      </c>
      <c r="C131" s="759"/>
      <c r="D131" s="759"/>
      <c r="E131" s="759"/>
      <c r="F131" s="759"/>
      <c r="G131" s="759"/>
      <c r="H131" s="759"/>
      <c r="I131" s="759"/>
      <c r="J131" s="759"/>
      <c r="K131" s="759"/>
      <c r="L131" s="760"/>
    </row>
    <row r="132" spans="1:12" ht="16.5" thickBot="1">
      <c r="A132" s="25"/>
      <c r="B132" s="761" t="s">
        <v>384</v>
      </c>
      <c r="C132" s="761"/>
      <c r="D132" s="761"/>
      <c r="E132" s="761"/>
      <c r="F132" s="761"/>
      <c r="G132" s="761"/>
      <c r="H132" s="761"/>
      <c r="I132" s="761"/>
      <c r="J132" s="761"/>
      <c r="K132" s="761"/>
      <c r="L132" s="762"/>
    </row>
    <row r="133" spans="1:12" ht="15" customHeight="1">
      <c r="A133" s="13"/>
      <c r="B133" s="763" t="s">
        <v>112</v>
      </c>
      <c r="C133" s="763"/>
      <c r="D133" s="763"/>
      <c r="E133" s="763"/>
      <c r="F133" s="763"/>
      <c r="H133" s="764" t="s">
        <v>113</v>
      </c>
      <c r="I133" s="764"/>
      <c r="J133" s="764"/>
      <c r="K133" s="764"/>
      <c r="L133" s="765"/>
    </row>
    <row r="134" spans="1:12" ht="15.75" thickBot="1">
      <c r="A134" s="13"/>
      <c r="B134" s="763"/>
      <c r="C134" s="763"/>
      <c r="D134" s="763"/>
      <c r="E134" s="763"/>
      <c r="F134" s="763"/>
      <c r="H134" s="764"/>
      <c r="I134" s="764"/>
      <c r="J134" s="764"/>
      <c r="K134" s="764"/>
      <c r="L134" s="765"/>
    </row>
    <row r="135" spans="1:12">
      <c r="A135" s="13"/>
      <c r="B135" s="50"/>
      <c r="C135" s="51"/>
      <c r="D135" s="51"/>
      <c r="E135" s="51"/>
      <c r="F135" s="52"/>
      <c r="H135" s="50"/>
      <c r="I135" s="51"/>
      <c r="J135" s="51"/>
      <c r="K135" s="51"/>
      <c r="L135" s="52"/>
    </row>
    <row r="136" spans="1:12">
      <c r="A136" s="13"/>
      <c r="B136" s="53" t="e">
        <f>#REF!</f>
        <v>#REF!</v>
      </c>
      <c r="F136" s="14"/>
      <c r="H136" s="53" t="e">
        <f>#REF!</f>
        <v>#REF!</v>
      </c>
      <c r="L136" s="14"/>
    </row>
    <row r="137" spans="1:12">
      <c r="A137" s="13"/>
      <c r="B137" s="13"/>
      <c r="F137" s="14"/>
      <c r="H137" s="13"/>
      <c r="L137" s="14"/>
    </row>
    <row r="138" spans="1:12">
      <c r="A138" s="13"/>
      <c r="B138" s="53" t="e">
        <f>#REF!</f>
        <v>#REF!</v>
      </c>
      <c r="F138" s="14"/>
      <c r="H138" s="53" t="e">
        <f>#REF!</f>
        <v>#REF!</v>
      </c>
      <c r="L138" s="14"/>
    </row>
    <row r="139" spans="1:12" ht="15.75" thickBot="1">
      <c r="A139" s="13"/>
      <c r="B139" s="25"/>
      <c r="C139" s="23"/>
      <c r="D139" s="23"/>
      <c r="E139" s="23"/>
      <c r="F139" s="24"/>
      <c r="H139" s="25"/>
      <c r="I139" s="23"/>
      <c r="J139" s="23"/>
      <c r="K139" s="23"/>
      <c r="L139" s="24"/>
    </row>
    <row r="140" spans="1:12">
      <c r="A140" s="13"/>
      <c r="J140" t="s">
        <v>114</v>
      </c>
      <c r="L140" s="14"/>
    </row>
    <row r="141" spans="1:12">
      <c r="A141" s="13"/>
      <c r="B141" s="753" t="s">
        <v>115</v>
      </c>
      <c r="C141" s="753"/>
      <c r="D141" s="753"/>
      <c r="E141" s="753"/>
      <c r="F141" s="753"/>
      <c r="H141" s="753" t="s">
        <v>4</v>
      </c>
      <c r="I141" s="753"/>
      <c r="J141" s="753"/>
      <c r="K141" s="753"/>
      <c r="L141" s="754"/>
    </row>
    <row r="142" spans="1:12" ht="15.75" thickBot="1">
      <c r="A142" s="13"/>
      <c r="L142" s="14"/>
    </row>
    <row r="143" spans="1:12">
      <c r="A143" s="13"/>
      <c r="B143" s="50"/>
      <c r="C143" s="51"/>
      <c r="D143" s="51"/>
      <c r="E143" s="51"/>
      <c r="F143" s="52"/>
      <c r="H143" s="54"/>
      <c r="I143" s="55"/>
      <c r="J143" s="55"/>
      <c r="K143" s="55"/>
      <c r="L143" s="56"/>
    </row>
    <row r="144" spans="1:12">
      <c r="A144" s="13"/>
      <c r="B144" s="13"/>
      <c r="F144" s="14"/>
      <c r="H144" s="53" t="e">
        <f>#REF!</f>
        <v>#REF!</v>
      </c>
      <c r="I144" s="2"/>
      <c r="J144" s="2"/>
      <c r="K144" s="2"/>
      <c r="L144" s="57"/>
    </row>
    <row r="145" spans="1:12">
      <c r="A145" s="13"/>
      <c r="B145" s="53" t="e">
        <f>#REF!</f>
        <v>#REF!</v>
      </c>
      <c r="F145" s="14"/>
      <c r="H145" s="53"/>
      <c r="I145" s="2"/>
      <c r="J145" s="2"/>
      <c r="K145" s="2"/>
      <c r="L145" s="57"/>
    </row>
    <row r="146" spans="1:12">
      <c r="A146" s="13"/>
      <c r="B146" s="13"/>
      <c r="F146" s="14"/>
      <c r="H146" s="53" t="e">
        <f>#REF!</f>
        <v>#REF!</v>
      </c>
      <c r="I146" s="2"/>
      <c r="J146" s="2"/>
      <c r="K146" s="2"/>
      <c r="L146" s="57"/>
    </row>
    <row r="147" spans="1:12" ht="15.75" thickBot="1">
      <c r="A147" s="13"/>
      <c r="B147" s="25"/>
      <c r="C147" s="23"/>
      <c r="D147" s="23"/>
      <c r="E147" s="23"/>
      <c r="F147" s="24"/>
      <c r="H147" s="58"/>
      <c r="I147" s="59"/>
      <c r="J147" s="59"/>
      <c r="K147" s="59"/>
      <c r="L147" s="60"/>
    </row>
    <row r="148" spans="1:12" ht="27.95" customHeight="1">
      <c r="A148" s="61"/>
      <c r="B148" s="742" t="s">
        <v>116</v>
      </c>
      <c r="C148" s="742"/>
      <c r="D148" s="742"/>
      <c r="E148" s="742"/>
      <c r="F148" s="742"/>
      <c r="G148" s="742"/>
      <c r="H148" s="743">
        <f>'BOM 04 22Master'!B517</f>
        <v>0</v>
      </c>
      <c r="I148" s="744"/>
      <c r="J148" s="744"/>
      <c r="K148" s="744"/>
      <c r="L148" s="745"/>
    </row>
    <row r="149" spans="1:12" ht="27.95" customHeight="1">
      <c r="A149" s="61"/>
      <c r="B149" s="755" t="s">
        <v>117</v>
      </c>
      <c r="C149" s="755"/>
      <c r="D149" s="755"/>
      <c r="E149" s="755"/>
      <c r="F149" s="755"/>
      <c r="G149" s="755"/>
      <c r="H149" s="743">
        <f>'BOM 04 22Master'!A518</f>
        <v>0</v>
      </c>
      <c r="I149" s="744"/>
      <c r="J149" s="744"/>
      <c r="K149" s="744"/>
      <c r="L149" s="745"/>
    </row>
    <row r="150" spans="1:12" ht="27.95" customHeight="1">
      <c r="A150" s="61"/>
      <c r="B150" s="742" t="s">
        <v>118</v>
      </c>
      <c r="C150" s="742"/>
      <c r="D150" s="742"/>
      <c r="E150" s="742"/>
      <c r="F150" s="742"/>
      <c r="G150" s="742"/>
      <c r="H150" s="743">
        <f>'BOM 04 22Master'!F517</f>
        <v>0</v>
      </c>
      <c r="I150" s="744"/>
      <c r="J150" s="744"/>
      <c r="K150" s="744"/>
      <c r="L150" s="745"/>
    </row>
    <row r="151" spans="1:12" ht="27.95" customHeight="1">
      <c r="A151" s="61"/>
      <c r="B151" s="742" t="s">
        <v>119</v>
      </c>
      <c r="C151" s="742"/>
      <c r="D151" s="742"/>
      <c r="E151" s="742"/>
      <c r="F151" s="742"/>
      <c r="G151" s="742"/>
      <c r="H151" s="746">
        <f>'BOM 04 22Master'!N517</f>
        <v>0</v>
      </c>
      <c r="I151" s="747"/>
      <c r="J151" s="747"/>
      <c r="K151" s="747"/>
      <c r="L151" s="748"/>
    </row>
    <row r="152" spans="1:12" ht="27.95" customHeight="1">
      <c r="A152" s="61"/>
      <c r="B152" s="62" t="s">
        <v>120</v>
      </c>
      <c r="C152" s="63"/>
      <c r="D152" s="63"/>
      <c r="E152" s="63"/>
      <c r="F152" s="63"/>
      <c r="G152" s="63"/>
      <c r="H152" s="64"/>
      <c r="I152" s="65"/>
      <c r="J152" s="27">
        <f>'BOM 04 22Master'!T517</f>
        <v>0</v>
      </c>
      <c r="K152" s="66"/>
      <c r="L152" s="71"/>
    </row>
    <row r="153" spans="1:12" ht="27.95" customHeight="1">
      <c r="A153" s="61"/>
      <c r="B153" s="62" t="s">
        <v>121</v>
      </c>
      <c r="C153" s="63"/>
      <c r="D153" s="63"/>
      <c r="E153" s="63"/>
      <c r="F153" s="63"/>
      <c r="G153" s="67"/>
      <c r="H153" s="68"/>
      <c r="I153" s="69"/>
      <c r="J153" s="27">
        <f>'BOM 04 22Master'!S517</f>
        <v>0</v>
      </c>
      <c r="K153" s="69"/>
      <c r="L153" s="70"/>
    </row>
    <row r="154" spans="1:12" ht="27.95" customHeight="1">
      <c r="A154" s="61"/>
      <c r="B154" s="749" t="s">
        <v>122</v>
      </c>
      <c r="C154" s="749"/>
      <c r="D154" s="749"/>
      <c r="E154" s="749"/>
      <c r="F154" s="749"/>
      <c r="G154" s="749"/>
      <c r="H154" s="750">
        <v>11322</v>
      </c>
      <c r="I154" s="751"/>
      <c r="J154" s="751"/>
      <c r="K154" s="751"/>
      <c r="L154" s="752"/>
    </row>
    <row r="155" spans="1:12" ht="27.95" customHeight="1">
      <c r="A155" s="61"/>
      <c r="B155" s="742" t="s">
        <v>123</v>
      </c>
      <c r="C155" s="742"/>
      <c r="D155" s="742"/>
      <c r="E155" s="742"/>
      <c r="F155" s="742"/>
      <c r="G155" s="742"/>
      <c r="H155" s="766">
        <f>'BOM 04 22Master'!D511</f>
        <v>0</v>
      </c>
      <c r="I155" s="744"/>
      <c r="J155" s="744"/>
      <c r="K155" s="744"/>
      <c r="L155" s="745"/>
    </row>
    <row r="156" spans="1:12" ht="27.95" customHeight="1">
      <c r="A156" s="13"/>
      <c r="B156" s="742" t="s">
        <v>124</v>
      </c>
      <c r="C156" s="742"/>
      <c r="D156" s="742"/>
      <c r="E156" s="742"/>
      <c r="F156" s="742"/>
      <c r="G156" s="742"/>
      <c r="H156" s="744" t="s">
        <v>125</v>
      </c>
      <c r="I156" s="744"/>
      <c r="J156" s="744"/>
      <c r="K156" s="744"/>
      <c r="L156" s="745"/>
    </row>
    <row r="157" spans="1:12" ht="27.95" customHeight="1">
      <c r="A157" s="13"/>
      <c r="B157" s="62" t="s">
        <v>126</v>
      </c>
      <c r="C157" s="63"/>
      <c r="D157" s="63"/>
      <c r="E157" s="63"/>
      <c r="F157" s="63"/>
      <c r="G157" s="67"/>
      <c r="H157" s="64"/>
      <c r="I157" s="66"/>
      <c r="J157" s="66">
        <f>'BOM 04 22Master'!W517</f>
        <v>0</v>
      </c>
      <c r="K157" s="66"/>
      <c r="L157" s="71"/>
    </row>
    <row r="158" spans="1:12" ht="27.95" customHeight="1">
      <c r="A158" s="13"/>
      <c r="B158" s="62" t="s">
        <v>127</v>
      </c>
      <c r="C158" s="63"/>
      <c r="D158" s="63"/>
      <c r="E158" s="63"/>
      <c r="F158" s="63"/>
      <c r="G158" s="67"/>
      <c r="H158" s="64"/>
      <c r="I158" s="66"/>
      <c r="J158" s="66" t="s">
        <v>37</v>
      </c>
      <c r="K158" s="66"/>
      <c r="L158" s="71"/>
    </row>
    <row r="159" spans="1:12" ht="27.95" customHeight="1">
      <c r="A159" s="13"/>
      <c r="B159" s="62" t="s">
        <v>128</v>
      </c>
      <c r="C159" s="63"/>
      <c r="D159" s="63"/>
      <c r="E159" s="63"/>
      <c r="F159" s="63"/>
      <c r="G159" s="67"/>
      <c r="H159" s="64"/>
      <c r="I159" s="66"/>
      <c r="J159" s="72">
        <v>0</v>
      </c>
      <c r="K159" s="66"/>
      <c r="L159" s="71"/>
    </row>
    <row r="160" spans="1:12" ht="27.95" customHeight="1">
      <c r="A160" s="13"/>
      <c r="B160" s="62" t="s">
        <v>129</v>
      </c>
      <c r="C160" s="63"/>
      <c r="D160" s="63"/>
      <c r="E160" s="63"/>
      <c r="F160" s="63"/>
      <c r="G160" s="67"/>
      <c r="H160" s="64"/>
      <c r="I160" s="66"/>
      <c r="J160" s="66">
        <v>0</v>
      </c>
      <c r="K160" s="66"/>
      <c r="L160" s="71"/>
    </row>
    <row r="161" spans="1:12" ht="27.95" customHeight="1">
      <c r="A161" s="13"/>
      <c r="B161" s="62" t="s">
        <v>130</v>
      </c>
      <c r="C161" s="63"/>
      <c r="D161" s="63"/>
      <c r="E161" s="63"/>
      <c r="F161" s="63"/>
      <c r="G161" s="67"/>
      <c r="H161" s="64"/>
      <c r="I161" s="66"/>
      <c r="J161" s="72">
        <f>'BOM 04 22Master'!AM517</f>
        <v>0</v>
      </c>
      <c r="K161" s="66"/>
      <c r="L161" s="71" t="s">
        <v>35</v>
      </c>
    </row>
    <row r="162" spans="1:12" ht="27.95" customHeight="1">
      <c r="A162" s="13"/>
      <c r="B162" s="62" t="s">
        <v>131</v>
      </c>
      <c r="C162" s="63"/>
      <c r="D162" s="84" t="s">
        <v>32</v>
      </c>
      <c r="E162" s="85">
        <f>'BOM 04 22Master'!AO517</f>
        <v>0</v>
      </c>
      <c r="F162" s="84" t="s">
        <v>31</v>
      </c>
      <c r="G162" s="85">
        <f>'BOM 04 22Master'!AN517</f>
        <v>0</v>
      </c>
      <c r="H162" s="84" t="s">
        <v>33</v>
      </c>
      <c r="I162" s="85">
        <f>'BOM 04 22Master'!AP517</f>
        <v>0</v>
      </c>
      <c r="J162" s="84" t="s">
        <v>34</v>
      </c>
      <c r="K162" s="85">
        <f>'BOM 04 22Master'!AQ517</f>
        <v>0</v>
      </c>
      <c r="L162" s="86">
        <f>'BOM 04 22Master'!AR517</f>
        <v>0</v>
      </c>
    </row>
    <row r="163" spans="1:12" ht="27.95" customHeight="1">
      <c r="A163" s="13"/>
      <c r="B163" s="62" t="s">
        <v>132</v>
      </c>
      <c r="C163" s="63"/>
      <c r="D163" s="63"/>
      <c r="E163" s="63"/>
      <c r="F163" s="63"/>
      <c r="G163" s="67"/>
      <c r="H163" s="64"/>
      <c r="I163" s="66"/>
      <c r="J163" s="73">
        <f>J161-(E162+G162+I162+K162+L162)</f>
        <v>0</v>
      </c>
      <c r="K163" s="66"/>
      <c r="L163" s="71"/>
    </row>
    <row r="164" spans="1:12" ht="27.95" customHeight="1">
      <c r="A164" s="13"/>
      <c r="B164" s="74" t="s">
        <v>133</v>
      </c>
      <c r="C164" s="75"/>
      <c r="D164" s="75"/>
      <c r="E164" s="75"/>
      <c r="F164" s="75"/>
      <c r="G164" s="76"/>
      <c r="H164" s="77"/>
      <c r="I164" s="78"/>
      <c r="J164" s="78"/>
      <c r="K164" s="78"/>
      <c r="L164" s="79"/>
    </row>
    <row r="165" spans="1:12" ht="27.95" customHeight="1">
      <c r="A165" s="13"/>
      <c r="B165" s="80" t="s">
        <v>134</v>
      </c>
      <c r="C165" s="81"/>
      <c r="D165" s="81"/>
      <c r="E165" s="81"/>
      <c r="F165" s="81"/>
      <c r="G165" s="82"/>
      <c r="H165" s="48"/>
      <c r="I165" s="17"/>
      <c r="J165" s="17"/>
      <c r="K165" s="17"/>
      <c r="L165" s="83"/>
    </row>
    <row r="166" spans="1:12">
      <c r="A166" s="13"/>
      <c r="L166" s="14"/>
    </row>
    <row r="167" spans="1:12" ht="15.75" thickBot="1">
      <c r="A167" s="25"/>
      <c r="B167" s="23"/>
      <c r="C167" s="23"/>
      <c r="D167" s="23"/>
      <c r="E167" s="23"/>
      <c r="F167" s="23"/>
      <c r="G167" s="23"/>
      <c r="H167" s="23"/>
      <c r="I167" s="23"/>
      <c r="J167" s="23"/>
      <c r="K167" s="23"/>
      <c r="L167" s="24"/>
    </row>
    <row r="168" spans="1:12" ht="32.25">
      <c r="A168" s="50"/>
      <c r="B168" s="756" t="s">
        <v>110</v>
      </c>
      <c r="C168" s="757"/>
      <c r="D168" s="757"/>
      <c r="E168" s="757"/>
      <c r="F168" s="757"/>
      <c r="G168" s="757"/>
      <c r="H168" s="757"/>
      <c r="I168" s="757"/>
      <c r="J168" s="757"/>
      <c r="K168" s="757"/>
      <c r="L168" s="758"/>
    </row>
    <row r="169" spans="1:12" ht="23.25">
      <c r="A169" s="13"/>
      <c r="B169" s="759" t="s">
        <v>111</v>
      </c>
      <c r="C169" s="759"/>
      <c r="D169" s="759"/>
      <c r="E169" s="759"/>
      <c r="F169" s="759"/>
      <c r="G169" s="759"/>
      <c r="H169" s="759"/>
      <c r="I169" s="759"/>
      <c r="J169" s="759"/>
      <c r="K169" s="759"/>
      <c r="L169" s="760"/>
    </row>
    <row r="170" spans="1:12" ht="16.5" thickBot="1">
      <c r="A170" s="25"/>
      <c r="B170" s="761" t="s">
        <v>384</v>
      </c>
      <c r="C170" s="761"/>
      <c r="D170" s="761"/>
      <c r="E170" s="761"/>
      <c r="F170" s="761"/>
      <c r="G170" s="761"/>
      <c r="H170" s="761"/>
      <c r="I170" s="761"/>
      <c r="J170" s="761"/>
      <c r="K170" s="761"/>
      <c r="L170" s="762"/>
    </row>
    <row r="171" spans="1:12" ht="15" customHeight="1">
      <c r="A171" s="13"/>
      <c r="B171" s="763" t="s">
        <v>112</v>
      </c>
      <c r="C171" s="763"/>
      <c r="D171" s="763"/>
      <c r="E171" s="763"/>
      <c r="F171" s="763"/>
      <c r="H171" s="764" t="s">
        <v>113</v>
      </c>
      <c r="I171" s="764"/>
      <c r="J171" s="764"/>
      <c r="K171" s="764"/>
      <c r="L171" s="765"/>
    </row>
    <row r="172" spans="1:12" ht="15.75" thickBot="1">
      <c r="A172" s="13"/>
      <c r="B172" s="763"/>
      <c r="C172" s="763"/>
      <c r="D172" s="763"/>
      <c r="E172" s="763"/>
      <c r="F172" s="763"/>
      <c r="H172" s="764"/>
      <c r="I172" s="764"/>
      <c r="J172" s="764"/>
      <c r="K172" s="764"/>
      <c r="L172" s="765"/>
    </row>
    <row r="173" spans="1:12">
      <c r="A173" s="13"/>
      <c r="B173" s="50"/>
      <c r="C173" s="51"/>
      <c r="D173" s="51"/>
      <c r="E173" s="51"/>
      <c r="F173" s="52"/>
      <c r="H173" s="50"/>
      <c r="I173" s="51"/>
      <c r="J173" s="51"/>
      <c r="K173" s="51"/>
      <c r="L173" s="52"/>
    </row>
    <row r="174" spans="1:12">
      <c r="A174" s="13"/>
      <c r="B174" s="53" t="e">
        <f>#REF!</f>
        <v>#REF!</v>
      </c>
      <c r="F174" s="14"/>
      <c r="H174" s="53" t="e">
        <f>#REF!</f>
        <v>#REF!</v>
      </c>
      <c r="L174" s="14"/>
    </row>
    <row r="175" spans="1:12">
      <c r="A175" s="13"/>
      <c r="B175" s="13"/>
      <c r="F175" s="14"/>
      <c r="H175" s="13"/>
      <c r="L175" s="14"/>
    </row>
    <row r="176" spans="1:12">
      <c r="A176" s="13"/>
      <c r="B176" s="53" t="e">
        <f>#REF!</f>
        <v>#REF!</v>
      </c>
      <c r="F176" s="14"/>
      <c r="H176" s="53" t="e">
        <f>#REF!</f>
        <v>#REF!</v>
      </c>
      <c r="L176" s="14"/>
    </row>
    <row r="177" spans="1:12" ht="15.75" thickBot="1">
      <c r="A177" s="13"/>
      <c r="B177" s="25"/>
      <c r="C177" s="23"/>
      <c r="D177" s="23"/>
      <c r="E177" s="23"/>
      <c r="F177" s="24"/>
      <c r="H177" s="25"/>
      <c r="I177" s="23"/>
      <c r="J177" s="23"/>
      <c r="K177" s="23"/>
      <c r="L177" s="24"/>
    </row>
    <row r="178" spans="1:12">
      <c r="A178" s="13"/>
      <c r="J178" t="s">
        <v>114</v>
      </c>
      <c r="L178" s="14"/>
    </row>
    <row r="179" spans="1:12">
      <c r="A179" s="13"/>
      <c r="B179" s="753" t="s">
        <v>115</v>
      </c>
      <c r="C179" s="753"/>
      <c r="D179" s="753"/>
      <c r="E179" s="753"/>
      <c r="F179" s="753"/>
      <c r="H179" s="753" t="s">
        <v>4</v>
      </c>
      <c r="I179" s="753"/>
      <c r="J179" s="753"/>
      <c r="K179" s="753"/>
      <c r="L179" s="754"/>
    </row>
    <row r="180" spans="1:12" ht="15.75" thickBot="1">
      <c r="A180" s="13"/>
      <c r="L180" s="14"/>
    </row>
    <row r="181" spans="1:12">
      <c r="A181" s="13"/>
      <c r="B181" s="50"/>
      <c r="C181" s="51"/>
      <c r="D181" s="51"/>
      <c r="E181" s="51"/>
      <c r="F181" s="52"/>
      <c r="H181" s="54"/>
      <c r="I181" s="55"/>
      <c r="J181" s="55"/>
      <c r="K181" s="55"/>
      <c r="L181" s="56"/>
    </row>
    <row r="182" spans="1:12">
      <c r="A182" s="13"/>
      <c r="B182" s="13"/>
      <c r="F182" s="14"/>
      <c r="H182" s="53" t="e">
        <f>#REF!</f>
        <v>#REF!</v>
      </c>
      <c r="I182" s="2"/>
      <c r="J182" s="2"/>
      <c r="K182" s="2"/>
      <c r="L182" s="57"/>
    </row>
    <row r="183" spans="1:12">
      <c r="A183" s="13"/>
      <c r="B183" s="53" t="e">
        <f>#REF!</f>
        <v>#REF!</v>
      </c>
      <c r="F183" s="14"/>
      <c r="H183" s="53"/>
      <c r="I183" s="2"/>
      <c r="J183" s="2"/>
      <c r="K183" s="2"/>
      <c r="L183" s="57"/>
    </row>
    <row r="184" spans="1:12">
      <c r="A184" s="13"/>
      <c r="B184" s="13"/>
      <c r="F184" s="14"/>
      <c r="H184" s="53" t="e">
        <f>#REF!</f>
        <v>#REF!</v>
      </c>
      <c r="I184" s="2"/>
      <c r="J184" s="2"/>
      <c r="K184" s="2"/>
      <c r="L184" s="57"/>
    </row>
    <row r="185" spans="1:12" ht="15.75" thickBot="1">
      <c r="A185" s="13"/>
      <c r="B185" s="25"/>
      <c r="C185" s="23"/>
      <c r="D185" s="23"/>
      <c r="E185" s="23"/>
      <c r="F185" s="24"/>
      <c r="H185" s="58"/>
      <c r="I185" s="59"/>
      <c r="J185" s="59"/>
      <c r="K185" s="59"/>
      <c r="L185" s="60"/>
    </row>
    <row r="186" spans="1:12" ht="27.95" customHeight="1">
      <c r="A186" s="61"/>
      <c r="B186" s="742" t="s">
        <v>116</v>
      </c>
      <c r="C186" s="742"/>
      <c r="D186" s="742"/>
      <c r="E186" s="742"/>
      <c r="F186" s="742"/>
      <c r="G186" s="742"/>
      <c r="H186" s="743">
        <f>'BOM 04 22Master'!B555</f>
        <v>0</v>
      </c>
      <c r="I186" s="744"/>
      <c r="J186" s="744"/>
      <c r="K186" s="744"/>
      <c r="L186" s="745"/>
    </row>
    <row r="187" spans="1:12" ht="27.95" customHeight="1">
      <c r="A187" s="61"/>
      <c r="B187" s="755" t="s">
        <v>117</v>
      </c>
      <c r="C187" s="755"/>
      <c r="D187" s="755"/>
      <c r="E187" s="755"/>
      <c r="F187" s="755"/>
      <c r="G187" s="755"/>
      <c r="H187" s="743">
        <f>'BOM 04 22Master'!A556</f>
        <v>0</v>
      </c>
      <c r="I187" s="744"/>
      <c r="J187" s="744"/>
      <c r="K187" s="744"/>
      <c r="L187" s="745"/>
    </row>
    <row r="188" spans="1:12" ht="27.95" customHeight="1">
      <c r="A188" s="61"/>
      <c r="B188" s="742" t="s">
        <v>118</v>
      </c>
      <c r="C188" s="742"/>
      <c r="D188" s="742"/>
      <c r="E188" s="742"/>
      <c r="F188" s="742"/>
      <c r="G188" s="742"/>
      <c r="H188" s="743">
        <f>'BOM 04 22Master'!F555</f>
        <v>0</v>
      </c>
      <c r="I188" s="744"/>
      <c r="J188" s="744"/>
      <c r="K188" s="744"/>
      <c r="L188" s="745"/>
    </row>
    <row r="189" spans="1:12" ht="27.95" customHeight="1">
      <c r="A189" s="61"/>
      <c r="B189" s="742" t="s">
        <v>119</v>
      </c>
      <c r="C189" s="742"/>
      <c r="D189" s="742"/>
      <c r="E189" s="742"/>
      <c r="F189" s="742"/>
      <c r="G189" s="742"/>
      <c r="H189" s="746">
        <f>'BOM 04 22Master'!N555</f>
        <v>0</v>
      </c>
      <c r="I189" s="747"/>
      <c r="J189" s="747"/>
      <c r="K189" s="747"/>
      <c r="L189" s="748"/>
    </row>
    <row r="190" spans="1:12" ht="27.95" customHeight="1">
      <c r="A190" s="61"/>
      <c r="B190" s="62" t="s">
        <v>120</v>
      </c>
      <c r="C190" s="63"/>
      <c r="D190" s="63"/>
      <c r="E190" s="63"/>
      <c r="F190" s="63"/>
      <c r="G190" s="63"/>
      <c r="H190" s="64"/>
      <c r="I190" s="65"/>
      <c r="J190" s="27">
        <f>'BOM 04 22Master'!T555</f>
        <v>0</v>
      </c>
      <c r="K190" s="66"/>
      <c r="L190" s="71"/>
    </row>
    <row r="191" spans="1:12" ht="27.95" customHeight="1">
      <c r="A191" s="61"/>
      <c r="B191" s="62" t="s">
        <v>121</v>
      </c>
      <c r="C191" s="63"/>
      <c r="D191" s="63"/>
      <c r="E191" s="63"/>
      <c r="F191" s="63"/>
      <c r="G191" s="67"/>
      <c r="H191" s="68"/>
      <c r="I191" s="69"/>
      <c r="J191" s="27">
        <f>'BOM 04 22Master'!S555</f>
        <v>0</v>
      </c>
      <c r="K191" s="69"/>
      <c r="L191" s="70"/>
    </row>
    <row r="192" spans="1:12" ht="27.95" customHeight="1">
      <c r="A192" s="61"/>
      <c r="B192" s="749" t="s">
        <v>122</v>
      </c>
      <c r="C192" s="749"/>
      <c r="D192" s="749"/>
      <c r="E192" s="749"/>
      <c r="F192" s="749"/>
      <c r="G192" s="749"/>
      <c r="H192" s="750">
        <v>11322</v>
      </c>
      <c r="I192" s="751"/>
      <c r="J192" s="751"/>
      <c r="K192" s="751"/>
      <c r="L192" s="752"/>
    </row>
    <row r="193" spans="1:12" ht="27.95" customHeight="1">
      <c r="A193" s="61"/>
      <c r="B193" s="742" t="s">
        <v>123</v>
      </c>
      <c r="C193" s="742"/>
      <c r="D193" s="742"/>
      <c r="E193" s="742"/>
      <c r="F193" s="742"/>
      <c r="G193" s="742"/>
      <c r="H193" s="766">
        <f>'BOM 04 22Master'!D549</f>
        <v>0</v>
      </c>
      <c r="I193" s="744"/>
      <c r="J193" s="744"/>
      <c r="K193" s="744"/>
      <c r="L193" s="745"/>
    </row>
    <row r="194" spans="1:12" ht="27.95" customHeight="1">
      <c r="A194" s="13"/>
      <c r="B194" s="742" t="s">
        <v>124</v>
      </c>
      <c r="C194" s="742"/>
      <c r="D194" s="742"/>
      <c r="E194" s="742"/>
      <c r="F194" s="742"/>
      <c r="G194" s="742"/>
      <c r="H194" s="744" t="s">
        <v>125</v>
      </c>
      <c r="I194" s="744"/>
      <c r="J194" s="744"/>
      <c r="K194" s="744"/>
      <c r="L194" s="745"/>
    </row>
    <row r="195" spans="1:12" ht="27.95" customHeight="1">
      <c r="A195" s="13"/>
      <c r="B195" s="62" t="s">
        <v>126</v>
      </c>
      <c r="C195" s="63"/>
      <c r="D195" s="63"/>
      <c r="E195" s="63"/>
      <c r="F195" s="63"/>
      <c r="G195" s="67"/>
      <c r="H195" s="64"/>
      <c r="I195" s="66"/>
      <c r="J195" s="66">
        <f>'BOM 04 22Master'!W555</f>
        <v>0</v>
      </c>
      <c r="K195" s="66"/>
      <c r="L195" s="71"/>
    </row>
    <row r="196" spans="1:12" ht="27.95" customHeight="1">
      <c r="A196" s="13"/>
      <c r="B196" s="62" t="s">
        <v>127</v>
      </c>
      <c r="C196" s="63"/>
      <c r="D196" s="63"/>
      <c r="E196" s="63"/>
      <c r="F196" s="63"/>
      <c r="G196" s="67"/>
      <c r="H196" s="64"/>
      <c r="I196" s="66"/>
      <c r="J196" s="66" t="s">
        <v>37</v>
      </c>
      <c r="K196" s="66"/>
      <c r="L196" s="71"/>
    </row>
    <row r="197" spans="1:12" ht="27.95" customHeight="1">
      <c r="A197" s="13"/>
      <c r="B197" s="62" t="s">
        <v>128</v>
      </c>
      <c r="C197" s="63"/>
      <c r="D197" s="63"/>
      <c r="E197" s="63"/>
      <c r="F197" s="63"/>
      <c r="G197" s="67"/>
      <c r="H197" s="64"/>
      <c r="I197" s="66"/>
      <c r="J197" s="72">
        <v>0</v>
      </c>
      <c r="K197" s="66"/>
      <c r="L197" s="71"/>
    </row>
    <row r="198" spans="1:12" ht="27.95" customHeight="1">
      <c r="A198" s="13"/>
      <c r="B198" s="62" t="s">
        <v>129</v>
      </c>
      <c r="C198" s="63"/>
      <c r="D198" s="63"/>
      <c r="E198" s="63"/>
      <c r="F198" s="63"/>
      <c r="G198" s="67"/>
      <c r="H198" s="64"/>
      <c r="I198" s="66"/>
      <c r="J198" s="66">
        <v>0</v>
      </c>
      <c r="K198" s="66"/>
      <c r="L198" s="71"/>
    </row>
    <row r="199" spans="1:12" ht="27.95" customHeight="1">
      <c r="A199" s="13"/>
      <c r="B199" s="62" t="s">
        <v>130</v>
      </c>
      <c r="C199" s="63"/>
      <c r="D199" s="63"/>
      <c r="E199" s="63"/>
      <c r="F199" s="63"/>
      <c r="G199" s="67"/>
      <c r="H199" s="64"/>
      <c r="I199" s="66"/>
      <c r="J199" s="72">
        <f>'BOM 04 22Master'!AM555</f>
        <v>0</v>
      </c>
      <c r="K199" s="66"/>
      <c r="L199" s="71" t="s">
        <v>35</v>
      </c>
    </row>
    <row r="200" spans="1:12" ht="27.95" customHeight="1">
      <c r="A200" s="13"/>
      <c r="B200" s="62" t="s">
        <v>131</v>
      </c>
      <c r="C200" s="63"/>
      <c r="D200" s="84" t="s">
        <v>32</v>
      </c>
      <c r="E200" s="85">
        <f>'BOM 04 22Master'!AO555</f>
        <v>0</v>
      </c>
      <c r="F200" s="84" t="s">
        <v>31</v>
      </c>
      <c r="G200" s="85">
        <f>'BOM 04 22Master'!AN555</f>
        <v>0</v>
      </c>
      <c r="H200" s="84" t="s">
        <v>33</v>
      </c>
      <c r="I200" s="85">
        <f>'BOM 04 22Master'!AP555</f>
        <v>0</v>
      </c>
      <c r="J200" s="84" t="s">
        <v>34</v>
      </c>
      <c r="K200" s="85">
        <f>'BOM 04 22Master'!AQ555</f>
        <v>0</v>
      </c>
      <c r="L200" s="86">
        <f>'BOM 04 22Master'!AR555</f>
        <v>0</v>
      </c>
    </row>
    <row r="201" spans="1:12" ht="27.95" customHeight="1">
      <c r="A201" s="13"/>
      <c r="B201" s="62" t="s">
        <v>132</v>
      </c>
      <c r="C201" s="63"/>
      <c r="D201" s="63"/>
      <c r="E201" s="63"/>
      <c r="F201" s="63"/>
      <c r="G201" s="67"/>
      <c r="H201" s="64"/>
      <c r="I201" s="66"/>
      <c r="J201" s="73">
        <f>J199-(E200+G200+I200+K200+L200)</f>
        <v>0</v>
      </c>
      <c r="K201" s="66"/>
      <c r="L201" s="71"/>
    </row>
    <row r="202" spans="1:12" ht="27.95" customHeight="1">
      <c r="A202" s="13"/>
      <c r="B202" s="74" t="s">
        <v>133</v>
      </c>
      <c r="C202" s="75"/>
      <c r="D202" s="75"/>
      <c r="E202" s="75"/>
      <c r="F202" s="75"/>
      <c r="G202" s="76"/>
      <c r="H202" s="77"/>
      <c r="I202" s="78"/>
      <c r="J202" s="78"/>
      <c r="K202" s="78"/>
      <c r="L202" s="79"/>
    </row>
    <row r="203" spans="1:12" ht="27.95" customHeight="1">
      <c r="A203" s="13"/>
      <c r="B203" s="80" t="s">
        <v>134</v>
      </c>
      <c r="C203" s="81"/>
      <c r="D203" s="81"/>
      <c r="E203" s="81"/>
      <c r="F203" s="81"/>
      <c r="G203" s="82"/>
      <c r="H203" s="48"/>
      <c r="I203" s="17"/>
      <c r="J203" s="17"/>
      <c r="K203" s="17"/>
      <c r="L203" s="83"/>
    </row>
    <row r="204" spans="1:12">
      <c r="A204" s="13"/>
      <c r="L204" s="14"/>
    </row>
    <row r="205" spans="1:12" ht="15.75" thickBot="1">
      <c r="A205" s="25"/>
      <c r="B205" s="23"/>
      <c r="C205" s="23"/>
      <c r="D205" s="23"/>
      <c r="E205" s="23"/>
      <c r="F205" s="23"/>
      <c r="G205" s="23"/>
      <c r="H205" s="23"/>
      <c r="I205" s="23"/>
      <c r="J205" s="23"/>
      <c r="K205" s="23"/>
      <c r="L205" s="24"/>
    </row>
    <row r="206" spans="1:12" ht="15.75" thickBot="1"/>
    <row r="207" spans="1:12" ht="32.25">
      <c r="A207" s="50"/>
      <c r="B207" s="756" t="s">
        <v>110</v>
      </c>
      <c r="C207" s="757"/>
      <c r="D207" s="757"/>
      <c r="E207" s="757"/>
      <c r="F207" s="757"/>
      <c r="G207" s="757"/>
      <c r="H207" s="757"/>
      <c r="I207" s="757"/>
      <c r="J207" s="757"/>
      <c r="K207" s="757"/>
      <c r="L207" s="758"/>
    </row>
    <row r="208" spans="1:12" ht="23.25">
      <c r="A208" s="13"/>
      <c r="B208" s="759" t="s">
        <v>111</v>
      </c>
      <c r="C208" s="759"/>
      <c r="D208" s="759"/>
      <c r="E208" s="759"/>
      <c r="F208" s="759"/>
      <c r="G208" s="759"/>
      <c r="H208" s="759"/>
      <c r="I208" s="759"/>
      <c r="J208" s="759"/>
      <c r="K208" s="759"/>
      <c r="L208" s="760"/>
    </row>
    <row r="209" spans="1:12" ht="16.5" thickBot="1">
      <c r="A209" s="25"/>
      <c r="B209" s="761" t="s">
        <v>384</v>
      </c>
      <c r="C209" s="761"/>
      <c r="D209" s="761"/>
      <c r="E209" s="761"/>
      <c r="F209" s="761"/>
      <c r="G209" s="761"/>
      <c r="H209" s="761"/>
      <c r="I209" s="761"/>
      <c r="J209" s="761"/>
      <c r="K209" s="761"/>
      <c r="L209" s="762"/>
    </row>
    <row r="210" spans="1:12" ht="15" customHeight="1">
      <c r="A210" s="13"/>
      <c r="B210" s="763" t="s">
        <v>112</v>
      </c>
      <c r="C210" s="763"/>
      <c r="D210" s="763"/>
      <c r="E210" s="763"/>
      <c r="F210" s="763"/>
      <c r="H210" s="764" t="s">
        <v>113</v>
      </c>
      <c r="I210" s="764"/>
      <c r="J210" s="764"/>
      <c r="K210" s="764"/>
      <c r="L210" s="765"/>
    </row>
    <row r="211" spans="1:12" ht="15.75" thickBot="1">
      <c r="A211" s="13"/>
      <c r="B211" s="763"/>
      <c r="C211" s="763"/>
      <c r="D211" s="763"/>
      <c r="E211" s="763"/>
      <c r="F211" s="763"/>
      <c r="H211" s="764"/>
      <c r="I211" s="764"/>
      <c r="J211" s="764"/>
      <c r="K211" s="764"/>
      <c r="L211" s="765"/>
    </row>
    <row r="212" spans="1:12">
      <c r="A212" s="13"/>
      <c r="B212" s="50"/>
      <c r="C212" s="51"/>
      <c r="D212" s="51"/>
      <c r="E212" s="51"/>
      <c r="F212" s="52"/>
      <c r="H212" s="50"/>
      <c r="I212" s="51"/>
      <c r="J212" s="51"/>
      <c r="K212" s="51"/>
      <c r="L212" s="52"/>
    </row>
    <row r="213" spans="1:12">
      <c r="A213" s="13"/>
      <c r="B213" s="53" t="e">
        <f>#REF!</f>
        <v>#REF!</v>
      </c>
      <c r="F213" s="14"/>
      <c r="H213" s="53" t="e">
        <f>#REF!</f>
        <v>#REF!</v>
      </c>
      <c r="L213" s="14"/>
    </row>
    <row r="214" spans="1:12">
      <c r="A214" s="13"/>
      <c r="B214" s="13"/>
      <c r="F214" s="14"/>
      <c r="H214" s="13"/>
      <c r="L214" s="14"/>
    </row>
    <row r="215" spans="1:12">
      <c r="A215" s="13"/>
      <c r="B215" s="53" t="e">
        <f>#REF!</f>
        <v>#REF!</v>
      </c>
      <c r="F215" s="14"/>
      <c r="H215" s="53" t="e">
        <f>#REF!</f>
        <v>#REF!</v>
      </c>
      <c r="L215" s="14"/>
    </row>
    <row r="216" spans="1:12" ht="15.75" thickBot="1">
      <c r="A216" s="13"/>
      <c r="B216" s="25"/>
      <c r="C216" s="23"/>
      <c r="D216" s="23"/>
      <c r="E216" s="23"/>
      <c r="F216" s="24"/>
      <c r="H216" s="25"/>
      <c r="I216" s="23"/>
      <c r="J216" s="23"/>
      <c r="K216" s="23"/>
      <c r="L216" s="24"/>
    </row>
    <row r="217" spans="1:12">
      <c r="A217" s="13"/>
      <c r="J217" t="s">
        <v>114</v>
      </c>
      <c r="L217" s="14"/>
    </row>
    <row r="218" spans="1:12">
      <c r="A218" s="13"/>
      <c r="B218" s="753" t="s">
        <v>115</v>
      </c>
      <c r="C218" s="753"/>
      <c r="D218" s="753"/>
      <c r="E218" s="753"/>
      <c r="F218" s="753"/>
      <c r="H218" s="753" t="s">
        <v>4</v>
      </c>
      <c r="I218" s="753"/>
      <c r="J218" s="753"/>
      <c r="K218" s="753"/>
      <c r="L218" s="754"/>
    </row>
    <row r="219" spans="1:12" ht="15.75" thickBot="1">
      <c r="A219" s="13"/>
      <c r="L219" s="14"/>
    </row>
    <row r="220" spans="1:12">
      <c r="A220" s="13"/>
      <c r="B220" s="50"/>
      <c r="C220" s="51"/>
      <c r="D220" s="51"/>
      <c r="E220" s="51"/>
      <c r="F220" s="52"/>
      <c r="H220" s="54"/>
      <c r="I220" s="55"/>
      <c r="J220" s="55"/>
      <c r="K220" s="55"/>
      <c r="L220" s="56"/>
    </row>
    <row r="221" spans="1:12">
      <c r="A221" s="13"/>
      <c r="B221" s="13"/>
      <c r="F221" s="14"/>
      <c r="H221" s="53" t="e">
        <f>#REF!</f>
        <v>#REF!</v>
      </c>
      <c r="I221" s="2"/>
      <c r="J221" s="2"/>
      <c r="K221" s="2"/>
      <c r="L221" s="57"/>
    </row>
    <row r="222" spans="1:12">
      <c r="A222" s="13"/>
      <c r="B222" s="53" t="e">
        <f>#REF!</f>
        <v>#REF!</v>
      </c>
      <c r="F222" s="14"/>
      <c r="H222" s="53"/>
      <c r="I222" s="2"/>
      <c r="J222" s="2"/>
      <c r="K222" s="2"/>
      <c r="L222" s="57"/>
    </row>
    <row r="223" spans="1:12">
      <c r="A223" s="13"/>
      <c r="B223" s="13"/>
      <c r="F223" s="14"/>
      <c r="H223" s="53" t="e">
        <f>#REF!</f>
        <v>#REF!</v>
      </c>
      <c r="I223" s="2"/>
      <c r="J223" s="2"/>
      <c r="K223" s="2"/>
      <c r="L223" s="57"/>
    </row>
    <row r="224" spans="1:12" ht="15.75" thickBot="1">
      <c r="A224" s="13"/>
      <c r="B224" s="25"/>
      <c r="C224" s="23"/>
      <c r="D224" s="23"/>
      <c r="E224" s="23"/>
      <c r="F224" s="24"/>
      <c r="H224" s="58"/>
      <c r="I224" s="59"/>
      <c r="J224" s="59"/>
      <c r="K224" s="59"/>
      <c r="L224" s="60"/>
    </row>
    <row r="225" spans="1:12" ht="27.95" customHeight="1">
      <c r="A225" s="61"/>
      <c r="B225" s="742" t="s">
        <v>116</v>
      </c>
      <c r="C225" s="742"/>
      <c r="D225" s="742"/>
      <c r="E225" s="742"/>
      <c r="F225" s="742"/>
      <c r="G225" s="742"/>
      <c r="H225" s="743">
        <f>'BOM 04 22Master'!B594</f>
        <v>0</v>
      </c>
      <c r="I225" s="744"/>
      <c r="J225" s="744"/>
      <c r="K225" s="744"/>
      <c r="L225" s="745"/>
    </row>
    <row r="226" spans="1:12" ht="27.95" customHeight="1">
      <c r="A226" s="61"/>
      <c r="B226" s="755" t="s">
        <v>117</v>
      </c>
      <c r="C226" s="755"/>
      <c r="D226" s="755"/>
      <c r="E226" s="755"/>
      <c r="F226" s="755"/>
      <c r="G226" s="755"/>
      <c r="H226" s="743">
        <f>'BOM 04 22Master'!A595</f>
        <v>0</v>
      </c>
      <c r="I226" s="744"/>
      <c r="J226" s="744"/>
      <c r="K226" s="744"/>
      <c r="L226" s="745"/>
    </row>
    <row r="227" spans="1:12" ht="27.95" customHeight="1">
      <c r="A227" s="61"/>
      <c r="B227" s="742" t="s">
        <v>118</v>
      </c>
      <c r="C227" s="742"/>
      <c r="D227" s="742"/>
      <c r="E227" s="742"/>
      <c r="F227" s="742"/>
      <c r="G227" s="742"/>
      <c r="H227" s="743">
        <f>'BOM 04 22Master'!F594</f>
        <v>0</v>
      </c>
      <c r="I227" s="744"/>
      <c r="J227" s="744"/>
      <c r="K227" s="744"/>
      <c r="L227" s="745"/>
    </row>
    <row r="228" spans="1:12" ht="27.95" customHeight="1">
      <c r="A228" s="61"/>
      <c r="B228" s="742" t="s">
        <v>119</v>
      </c>
      <c r="C228" s="742"/>
      <c r="D228" s="742"/>
      <c r="E228" s="742"/>
      <c r="F228" s="742"/>
      <c r="G228" s="742"/>
      <c r="H228" s="746">
        <f>'BOM 04 22Master'!N594</f>
        <v>0</v>
      </c>
      <c r="I228" s="747"/>
      <c r="J228" s="747"/>
      <c r="K228" s="747"/>
      <c r="L228" s="748"/>
    </row>
    <row r="229" spans="1:12" ht="27.95" customHeight="1">
      <c r="A229" s="61"/>
      <c r="B229" s="62" t="s">
        <v>120</v>
      </c>
      <c r="C229" s="63"/>
      <c r="D229" s="63"/>
      <c r="E229" s="63"/>
      <c r="F229" s="63"/>
      <c r="G229" s="63"/>
      <c r="H229" s="64"/>
      <c r="I229" s="65"/>
      <c r="J229" s="27">
        <f>'BOM 04 22Master'!T594</f>
        <v>0</v>
      </c>
      <c r="K229" s="66"/>
      <c r="L229" s="71"/>
    </row>
    <row r="230" spans="1:12" ht="27.95" customHeight="1">
      <c r="A230" s="61"/>
      <c r="B230" s="62" t="s">
        <v>121</v>
      </c>
      <c r="C230" s="63"/>
      <c r="D230" s="63"/>
      <c r="E230" s="63"/>
      <c r="F230" s="63"/>
      <c r="G230" s="67"/>
      <c r="H230" s="68"/>
      <c r="I230" s="69"/>
      <c r="J230" s="27">
        <f>'BOM 04 22Master'!S594</f>
        <v>0</v>
      </c>
      <c r="K230" s="69"/>
      <c r="L230" s="70"/>
    </row>
    <row r="231" spans="1:12" ht="27.95" customHeight="1">
      <c r="A231" s="61"/>
      <c r="B231" s="749" t="s">
        <v>122</v>
      </c>
      <c r="C231" s="749"/>
      <c r="D231" s="749"/>
      <c r="E231" s="749"/>
      <c r="F231" s="749"/>
      <c r="G231" s="749"/>
      <c r="H231" s="750">
        <v>11322</v>
      </c>
      <c r="I231" s="751"/>
      <c r="J231" s="751"/>
      <c r="K231" s="751"/>
      <c r="L231" s="752"/>
    </row>
    <row r="232" spans="1:12" ht="27.95" customHeight="1">
      <c r="A232" s="61"/>
      <c r="B232" s="742" t="s">
        <v>123</v>
      </c>
      <c r="C232" s="742"/>
      <c r="D232" s="742"/>
      <c r="E232" s="742"/>
      <c r="F232" s="742"/>
      <c r="G232" s="742"/>
      <c r="H232" s="766">
        <f>'BOM 04 22Master'!D588</f>
        <v>0</v>
      </c>
      <c r="I232" s="744"/>
      <c r="J232" s="744"/>
      <c r="K232" s="744"/>
      <c r="L232" s="745"/>
    </row>
    <row r="233" spans="1:12" ht="27.95" customHeight="1">
      <c r="A233" s="13"/>
      <c r="B233" s="742" t="s">
        <v>124</v>
      </c>
      <c r="C233" s="742"/>
      <c r="D233" s="742"/>
      <c r="E233" s="742"/>
      <c r="F233" s="742"/>
      <c r="G233" s="742"/>
      <c r="H233" s="744" t="s">
        <v>125</v>
      </c>
      <c r="I233" s="744"/>
      <c r="J233" s="744"/>
      <c r="K233" s="744"/>
      <c r="L233" s="745"/>
    </row>
    <row r="234" spans="1:12" ht="27.95" customHeight="1">
      <c r="A234" s="13"/>
      <c r="B234" s="62" t="s">
        <v>126</v>
      </c>
      <c r="C234" s="63"/>
      <c r="D234" s="63"/>
      <c r="E234" s="63"/>
      <c r="F234" s="63"/>
      <c r="G234" s="67"/>
      <c r="H234" s="64"/>
      <c r="I234" s="66"/>
      <c r="J234" s="66">
        <f>'BOM 04 22Master'!W594</f>
        <v>0</v>
      </c>
      <c r="K234" s="66"/>
      <c r="L234" s="71"/>
    </row>
    <row r="235" spans="1:12" ht="27.95" customHeight="1">
      <c r="A235" s="13"/>
      <c r="B235" s="62" t="s">
        <v>127</v>
      </c>
      <c r="C235" s="63"/>
      <c r="D235" s="63"/>
      <c r="E235" s="63"/>
      <c r="F235" s="63"/>
      <c r="G235" s="67"/>
      <c r="H235" s="64"/>
      <c r="I235" s="66"/>
      <c r="J235" s="66" t="s">
        <v>37</v>
      </c>
      <c r="K235" s="66"/>
      <c r="L235" s="71"/>
    </row>
    <row r="236" spans="1:12" ht="27.95" customHeight="1">
      <c r="A236" s="13"/>
      <c r="B236" s="62" t="s">
        <v>128</v>
      </c>
      <c r="C236" s="63"/>
      <c r="D236" s="63"/>
      <c r="E236" s="63"/>
      <c r="F236" s="63"/>
      <c r="G236" s="67"/>
      <c r="H236" s="64"/>
      <c r="I236" s="66"/>
      <c r="J236" s="72">
        <v>0</v>
      </c>
      <c r="K236" s="66"/>
      <c r="L236" s="71"/>
    </row>
    <row r="237" spans="1:12" ht="27.95" customHeight="1">
      <c r="A237" s="13"/>
      <c r="B237" s="62" t="s">
        <v>129</v>
      </c>
      <c r="C237" s="63"/>
      <c r="D237" s="63"/>
      <c r="E237" s="63"/>
      <c r="F237" s="63"/>
      <c r="G237" s="67"/>
      <c r="H237" s="64"/>
      <c r="I237" s="66"/>
      <c r="J237" s="66">
        <v>0</v>
      </c>
      <c r="K237" s="66"/>
      <c r="L237" s="71"/>
    </row>
    <row r="238" spans="1:12" ht="27.95" customHeight="1">
      <c r="A238" s="13"/>
      <c r="B238" s="62" t="s">
        <v>130</v>
      </c>
      <c r="C238" s="63"/>
      <c r="D238" s="63"/>
      <c r="E238" s="63"/>
      <c r="F238" s="63"/>
      <c r="G238" s="67"/>
      <c r="H238" s="64"/>
      <c r="I238" s="66"/>
      <c r="J238" s="72">
        <f>'BOM 04 22Master'!AM594</f>
        <v>0</v>
      </c>
      <c r="K238" s="66"/>
      <c r="L238" s="71" t="s">
        <v>35</v>
      </c>
    </row>
    <row r="239" spans="1:12" ht="27.95" customHeight="1">
      <c r="A239" s="13"/>
      <c r="B239" s="62" t="s">
        <v>131</v>
      </c>
      <c r="C239" s="63"/>
      <c r="D239" s="84" t="s">
        <v>32</v>
      </c>
      <c r="E239" s="85">
        <f>'BOM 04 22Master'!AO594</f>
        <v>0</v>
      </c>
      <c r="F239" s="84" t="s">
        <v>31</v>
      </c>
      <c r="G239" s="85">
        <f>'BOM 04 22Master'!AN594</f>
        <v>0</v>
      </c>
      <c r="H239" s="84" t="s">
        <v>33</v>
      </c>
      <c r="I239" s="85">
        <f>'BOM 04 22Master'!AP594</f>
        <v>0</v>
      </c>
      <c r="J239" s="84" t="s">
        <v>34</v>
      </c>
      <c r="K239" s="85">
        <f>'BOM 04 22Master'!AQ594</f>
        <v>0</v>
      </c>
      <c r="L239" s="86">
        <f>'BOM 04 22Master'!AR594</f>
        <v>0</v>
      </c>
    </row>
    <row r="240" spans="1:12" ht="27.95" customHeight="1">
      <c r="A240" s="13"/>
      <c r="B240" s="62" t="s">
        <v>132</v>
      </c>
      <c r="C240" s="63"/>
      <c r="D240" s="63"/>
      <c r="E240" s="63"/>
      <c r="F240" s="63"/>
      <c r="G240" s="67"/>
      <c r="H240" s="64"/>
      <c r="I240" s="66"/>
      <c r="J240" s="73">
        <f>J238-(E239+G239+I239+K239+L239)</f>
        <v>0</v>
      </c>
      <c r="K240" s="66"/>
      <c r="L240" s="71"/>
    </row>
    <row r="241" spans="1:12" ht="27.95" customHeight="1">
      <c r="A241" s="13"/>
      <c r="B241" s="74" t="s">
        <v>133</v>
      </c>
      <c r="C241" s="75"/>
      <c r="D241" s="75"/>
      <c r="E241" s="75"/>
      <c r="F241" s="75"/>
      <c r="G241" s="76"/>
      <c r="H241" s="77"/>
      <c r="I241" s="78"/>
      <c r="J241" s="78"/>
      <c r="K241" s="78"/>
      <c r="L241" s="79"/>
    </row>
    <row r="242" spans="1:12" ht="27.95" customHeight="1">
      <c r="A242" s="13"/>
      <c r="B242" s="80" t="s">
        <v>134</v>
      </c>
      <c r="C242" s="81"/>
      <c r="D242" s="81"/>
      <c r="E242" s="81"/>
      <c r="F242" s="81"/>
      <c r="G242" s="82"/>
      <c r="H242" s="48"/>
      <c r="I242" s="17"/>
      <c r="J242" s="17"/>
      <c r="K242" s="17"/>
      <c r="L242" s="83"/>
    </row>
    <row r="243" spans="1:12">
      <c r="A243" s="13"/>
      <c r="L243" s="14"/>
    </row>
    <row r="244" spans="1:12" ht="15.75" thickBot="1">
      <c r="A244" s="25"/>
      <c r="B244" s="23"/>
      <c r="C244" s="23"/>
      <c r="D244" s="23"/>
      <c r="E244" s="23"/>
      <c r="F244" s="23"/>
      <c r="G244" s="23"/>
      <c r="H244" s="23"/>
      <c r="I244" s="23"/>
      <c r="J244" s="23"/>
      <c r="K244" s="23"/>
      <c r="L244" s="24"/>
    </row>
    <row r="245" spans="1:12" ht="15.75" thickBot="1"/>
    <row r="246" spans="1:12" ht="32.25">
      <c r="A246" s="50"/>
      <c r="B246" s="756" t="s">
        <v>110</v>
      </c>
      <c r="C246" s="757"/>
      <c r="D246" s="757"/>
      <c r="E246" s="757"/>
      <c r="F246" s="757"/>
      <c r="G246" s="757"/>
      <c r="H246" s="757"/>
      <c r="I246" s="757"/>
      <c r="J246" s="757"/>
      <c r="K246" s="757"/>
      <c r="L246" s="758"/>
    </row>
    <row r="247" spans="1:12" ht="23.25">
      <c r="A247" s="13"/>
      <c r="B247" s="759" t="s">
        <v>111</v>
      </c>
      <c r="C247" s="759"/>
      <c r="D247" s="759"/>
      <c r="E247" s="759"/>
      <c r="F247" s="759"/>
      <c r="G247" s="759"/>
      <c r="H247" s="759"/>
      <c r="I247" s="759"/>
      <c r="J247" s="759"/>
      <c r="K247" s="759"/>
      <c r="L247" s="760"/>
    </row>
    <row r="248" spans="1:12" ht="16.5" thickBot="1">
      <c r="A248" s="25"/>
      <c r="B248" s="761" t="s">
        <v>384</v>
      </c>
      <c r="C248" s="761"/>
      <c r="D248" s="761"/>
      <c r="E248" s="761"/>
      <c r="F248" s="761"/>
      <c r="G248" s="761"/>
      <c r="H248" s="761"/>
      <c r="I248" s="761"/>
      <c r="J248" s="761"/>
      <c r="K248" s="761"/>
      <c r="L248" s="762"/>
    </row>
    <row r="249" spans="1:12" ht="15" customHeight="1">
      <c r="A249" s="13"/>
      <c r="B249" s="763" t="s">
        <v>112</v>
      </c>
      <c r="C249" s="763"/>
      <c r="D249" s="763"/>
      <c r="E249" s="763"/>
      <c r="F249" s="763"/>
      <c r="H249" s="764" t="s">
        <v>113</v>
      </c>
      <c r="I249" s="764"/>
      <c r="J249" s="764"/>
      <c r="K249" s="764"/>
      <c r="L249" s="765"/>
    </row>
    <row r="250" spans="1:12" ht="15.75" thickBot="1">
      <c r="A250" s="13"/>
      <c r="B250" s="763"/>
      <c r="C250" s="763"/>
      <c r="D250" s="763"/>
      <c r="E250" s="763"/>
      <c r="F250" s="763"/>
      <c r="H250" s="764"/>
      <c r="I250" s="764"/>
      <c r="J250" s="764"/>
      <c r="K250" s="764"/>
      <c r="L250" s="765"/>
    </row>
    <row r="251" spans="1:12">
      <c r="A251" s="13"/>
      <c r="B251" s="50"/>
      <c r="C251" s="51"/>
      <c r="D251" s="51"/>
      <c r="E251" s="51"/>
      <c r="F251" s="52"/>
      <c r="H251" s="50"/>
      <c r="I251" s="51"/>
      <c r="J251" s="51"/>
      <c r="K251" s="51"/>
      <c r="L251" s="52"/>
    </row>
    <row r="252" spans="1:12">
      <c r="A252" s="13"/>
      <c r="B252" s="53" t="e">
        <f>#REF!</f>
        <v>#REF!</v>
      </c>
      <c r="F252" s="14"/>
      <c r="H252" s="53" t="e">
        <f>#REF!</f>
        <v>#REF!</v>
      </c>
      <c r="L252" s="14"/>
    </row>
    <row r="253" spans="1:12">
      <c r="A253" s="13"/>
      <c r="B253" s="13"/>
      <c r="F253" s="14"/>
      <c r="H253" s="13"/>
      <c r="L253" s="14"/>
    </row>
    <row r="254" spans="1:12">
      <c r="A254" s="13"/>
      <c r="B254" s="53" t="e">
        <f>#REF!</f>
        <v>#REF!</v>
      </c>
      <c r="F254" s="14"/>
      <c r="H254" s="53" t="e">
        <f>#REF!</f>
        <v>#REF!</v>
      </c>
      <c r="L254" s="14"/>
    </row>
    <row r="255" spans="1:12" ht="15.75" thickBot="1">
      <c r="A255" s="13"/>
      <c r="B255" s="25"/>
      <c r="C255" s="23"/>
      <c r="D255" s="23"/>
      <c r="E255" s="23"/>
      <c r="F255" s="24"/>
      <c r="H255" s="25"/>
      <c r="I255" s="23"/>
      <c r="J255" s="23"/>
      <c r="K255" s="23"/>
      <c r="L255" s="24"/>
    </row>
    <row r="256" spans="1:12">
      <c r="A256" s="13"/>
      <c r="J256" t="s">
        <v>114</v>
      </c>
      <c r="L256" s="14"/>
    </row>
    <row r="257" spans="1:12">
      <c r="A257" s="13"/>
      <c r="B257" s="753" t="s">
        <v>115</v>
      </c>
      <c r="C257" s="753"/>
      <c r="D257" s="753"/>
      <c r="E257" s="753"/>
      <c r="F257" s="753"/>
      <c r="H257" s="753" t="s">
        <v>4</v>
      </c>
      <c r="I257" s="753"/>
      <c r="J257" s="753"/>
      <c r="K257" s="753"/>
      <c r="L257" s="754"/>
    </row>
    <row r="258" spans="1:12" ht="15.75" thickBot="1">
      <c r="A258" s="13"/>
      <c r="L258" s="14"/>
    </row>
    <row r="259" spans="1:12">
      <c r="A259" s="13"/>
      <c r="B259" s="50"/>
      <c r="C259" s="51"/>
      <c r="D259" s="51"/>
      <c r="E259" s="51"/>
      <c r="F259" s="52"/>
      <c r="H259" s="54"/>
      <c r="I259" s="55"/>
      <c r="J259" s="55"/>
      <c r="K259" s="55"/>
      <c r="L259" s="56"/>
    </row>
    <row r="260" spans="1:12">
      <c r="A260" s="13"/>
      <c r="B260" s="13"/>
      <c r="F260" s="14"/>
      <c r="H260" s="53" t="e">
        <f>#REF!</f>
        <v>#REF!</v>
      </c>
      <c r="I260" s="2"/>
      <c r="J260" s="2"/>
      <c r="K260" s="2"/>
      <c r="L260" s="57"/>
    </row>
    <row r="261" spans="1:12">
      <c r="A261" s="13"/>
      <c r="B261" s="53" t="e">
        <f>#REF!</f>
        <v>#REF!</v>
      </c>
      <c r="F261" s="14"/>
      <c r="H261" s="53"/>
      <c r="I261" s="2"/>
      <c r="J261" s="2"/>
      <c r="K261" s="2"/>
      <c r="L261" s="57"/>
    </row>
    <row r="262" spans="1:12">
      <c r="A262" s="13"/>
      <c r="B262" s="13"/>
      <c r="F262" s="14"/>
      <c r="H262" s="53" t="e">
        <f>#REF!</f>
        <v>#REF!</v>
      </c>
      <c r="I262" s="2"/>
      <c r="J262" s="2"/>
      <c r="K262" s="2"/>
      <c r="L262" s="57"/>
    </row>
    <row r="263" spans="1:12" ht="15.75" thickBot="1">
      <c r="A263" s="13"/>
      <c r="B263" s="25"/>
      <c r="C263" s="23"/>
      <c r="D263" s="23"/>
      <c r="E263" s="23"/>
      <c r="F263" s="24"/>
      <c r="H263" s="58"/>
      <c r="I263" s="59"/>
      <c r="J263" s="59"/>
      <c r="K263" s="59"/>
      <c r="L263" s="60"/>
    </row>
    <row r="264" spans="1:12" ht="27.95" customHeight="1">
      <c r="A264" s="61"/>
      <c r="B264" s="742" t="s">
        <v>116</v>
      </c>
      <c r="C264" s="742"/>
      <c r="D264" s="742"/>
      <c r="E264" s="742"/>
      <c r="F264" s="742"/>
      <c r="G264" s="742"/>
      <c r="H264" s="743">
        <f>'BOM 04 22Master'!B633</f>
        <v>0</v>
      </c>
      <c r="I264" s="744"/>
      <c r="J264" s="744"/>
      <c r="K264" s="744"/>
      <c r="L264" s="745"/>
    </row>
    <row r="265" spans="1:12" ht="27.95" customHeight="1">
      <c r="A265" s="61"/>
      <c r="B265" s="755" t="s">
        <v>117</v>
      </c>
      <c r="C265" s="755"/>
      <c r="D265" s="755"/>
      <c r="E265" s="755"/>
      <c r="F265" s="755"/>
      <c r="G265" s="755"/>
      <c r="H265" s="743">
        <f>'BOM 04 22Master'!A634</f>
        <v>0</v>
      </c>
      <c r="I265" s="744"/>
      <c r="J265" s="744"/>
      <c r="K265" s="744"/>
      <c r="L265" s="745"/>
    </row>
    <row r="266" spans="1:12" ht="27.95" customHeight="1">
      <c r="A266" s="61"/>
      <c r="B266" s="742" t="s">
        <v>118</v>
      </c>
      <c r="C266" s="742"/>
      <c r="D266" s="742"/>
      <c r="E266" s="742"/>
      <c r="F266" s="742"/>
      <c r="G266" s="742"/>
      <c r="H266" s="743">
        <f>'BOM 04 22Master'!F633</f>
        <v>0</v>
      </c>
      <c r="I266" s="744"/>
      <c r="J266" s="744"/>
      <c r="K266" s="744"/>
      <c r="L266" s="745"/>
    </row>
    <row r="267" spans="1:12" ht="27.95" customHeight="1">
      <c r="A267" s="61"/>
      <c r="B267" s="742" t="s">
        <v>119</v>
      </c>
      <c r="C267" s="742"/>
      <c r="D267" s="742"/>
      <c r="E267" s="742"/>
      <c r="F267" s="742"/>
      <c r="G267" s="742"/>
      <c r="H267" s="746">
        <f>'BOM 04 22Master'!N633</f>
        <v>0</v>
      </c>
      <c r="I267" s="747"/>
      <c r="J267" s="747"/>
      <c r="K267" s="747"/>
      <c r="L267" s="748"/>
    </row>
    <row r="268" spans="1:12" ht="27.95" customHeight="1">
      <c r="A268" s="61"/>
      <c r="B268" s="62" t="s">
        <v>120</v>
      </c>
      <c r="C268" s="63"/>
      <c r="D268" s="63"/>
      <c r="E268" s="63"/>
      <c r="F268" s="63"/>
      <c r="G268" s="63"/>
      <c r="H268" s="64"/>
      <c r="I268" s="65"/>
      <c r="J268" s="27">
        <f>'BOM 04 22Master'!T633</f>
        <v>0</v>
      </c>
      <c r="K268" s="66"/>
      <c r="L268" s="71"/>
    </row>
    <row r="269" spans="1:12" ht="27.95" customHeight="1">
      <c r="A269" s="61"/>
      <c r="B269" s="62" t="s">
        <v>121</v>
      </c>
      <c r="C269" s="63"/>
      <c r="D269" s="63"/>
      <c r="E269" s="63"/>
      <c r="F269" s="63"/>
      <c r="G269" s="67"/>
      <c r="H269" s="68"/>
      <c r="I269" s="69"/>
      <c r="J269" s="27">
        <f>'BOM 04 22Master'!S633</f>
        <v>0</v>
      </c>
      <c r="K269" s="69"/>
      <c r="L269" s="70"/>
    </row>
    <row r="270" spans="1:12" ht="27.95" customHeight="1">
      <c r="A270" s="61"/>
      <c r="B270" s="749" t="s">
        <v>122</v>
      </c>
      <c r="C270" s="749"/>
      <c r="D270" s="749"/>
      <c r="E270" s="749"/>
      <c r="F270" s="749"/>
      <c r="G270" s="749"/>
      <c r="H270" s="750">
        <v>11322</v>
      </c>
      <c r="I270" s="751"/>
      <c r="J270" s="751"/>
      <c r="K270" s="751"/>
      <c r="L270" s="752"/>
    </row>
    <row r="271" spans="1:12" ht="27.95" customHeight="1">
      <c r="A271" s="61"/>
      <c r="B271" s="742" t="s">
        <v>123</v>
      </c>
      <c r="C271" s="742"/>
      <c r="D271" s="742"/>
      <c r="E271" s="742"/>
      <c r="F271" s="742"/>
      <c r="G271" s="742"/>
      <c r="H271" s="766">
        <f>'BOM 04 22Master'!D627</f>
        <v>0</v>
      </c>
      <c r="I271" s="744"/>
      <c r="J271" s="744"/>
      <c r="K271" s="744"/>
      <c r="L271" s="745"/>
    </row>
    <row r="272" spans="1:12" ht="27.95" customHeight="1">
      <c r="A272" s="13"/>
      <c r="B272" s="742" t="s">
        <v>124</v>
      </c>
      <c r="C272" s="742"/>
      <c r="D272" s="742"/>
      <c r="E272" s="742"/>
      <c r="F272" s="742"/>
      <c r="G272" s="742"/>
      <c r="H272" s="744" t="s">
        <v>125</v>
      </c>
      <c r="I272" s="744"/>
      <c r="J272" s="744"/>
      <c r="K272" s="744"/>
      <c r="L272" s="745"/>
    </row>
    <row r="273" spans="1:12" ht="27.95" customHeight="1">
      <c r="A273" s="13"/>
      <c r="B273" s="62" t="s">
        <v>126</v>
      </c>
      <c r="C273" s="63"/>
      <c r="D273" s="63"/>
      <c r="E273" s="63"/>
      <c r="F273" s="63"/>
      <c r="G273" s="67"/>
      <c r="H273" s="64"/>
      <c r="I273" s="66"/>
      <c r="J273" s="66">
        <f>'BOM 04 22Master'!W633</f>
        <v>0</v>
      </c>
      <c r="K273" s="66"/>
      <c r="L273" s="71"/>
    </row>
    <row r="274" spans="1:12" ht="27.95" customHeight="1">
      <c r="A274" s="13"/>
      <c r="B274" s="62" t="s">
        <v>127</v>
      </c>
      <c r="C274" s="63"/>
      <c r="D274" s="63"/>
      <c r="E274" s="63"/>
      <c r="F274" s="63"/>
      <c r="G274" s="67"/>
      <c r="H274" s="64"/>
      <c r="I274" s="66"/>
      <c r="J274" s="66" t="s">
        <v>37</v>
      </c>
      <c r="K274" s="66"/>
      <c r="L274" s="71"/>
    </row>
    <row r="275" spans="1:12" ht="27.95" customHeight="1">
      <c r="A275" s="13"/>
      <c r="B275" s="62" t="s">
        <v>128</v>
      </c>
      <c r="C275" s="63"/>
      <c r="D275" s="63"/>
      <c r="E275" s="63"/>
      <c r="F275" s="63"/>
      <c r="G275" s="67"/>
      <c r="H275" s="64"/>
      <c r="I275" s="66"/>
      <c r="J275" s="72">
        <v>0</v>
      </c>
      <c r="K275" s="66"/>
      <c r="L275" s="71"/>
    </row>
    <row r="276" spans="1:12" ht="27.95" customHeight="1">
      <c r="A276" s="13"/>
      <c r="B276" s="62" t="s">
        <v>129</v>
      </c>
      <c r="C276" s="63"/>
      <c r="D276" s="63"/>
      <c r="E276" s="63"/>
      <c r="F276" s="63"/>
      <c r="G276" s="67"/>
      <c r="H276" s="64"/>
      <c r="I276" s="66"/>
      <c r="J276" s="66">
        <v>0</v>
      </c>
      <c r="K276" s="66"/>
      <c r="L276" s="71"/>
    </row>
    <row r="277" spans="1:12" ht="27.95" customHeight="1">
      <c r="A277" s="13"/>
      <c r="B277" s="62" t="s">
        <v>130</v>
      </c>
      <c r="C277" s="63"/>
      <c r="D277" s="63"/>
      <c r="E277" s="63"/>
      <c r="F277" s="63"/>
      <c r="G277" s="67"/>
      <c r="H277" s="64"/>
      <c r="I277" s="66"/>
      <c r="J277" s="72">
        <f>'BOM 04 22Master'!AM633</f>
        <v>0</v>
      </c>
      <c r="K277" s="66"/>
      <c r="L277" s="71" t="s">
        <v>35</v>
      </c>
    </row>
    <row r="278" spans="1:12" ht="27.95" customHeight="1">
      <c r="A278" s="13"/>
      <c r="B278" s="62" t="s">
        <v>131</v>
      </c>
      <c r="C278" s="63"/>
      <c r="D278" s="84" t="s">
        <v>32</v>
      </c>
      <c r="E278" s="85">
        <f>'BOM 04 22Master'!AO633</f>
        <v>0</v>
      </c>
      <c r="F278" s="84" t="s">
        <v>31</v>
      </c>
      <c r="G278" s="85">
        <f>'BOM 04 22Master'!AN633</f>
        <v>0</v>
      </c>
      <c r="H278" s="84" t="s">
        <v>33</v>
      </c>
      <c r="I278" s="85">
        <f>'BOM 04 22Master'!AP633</f>
        <v>0</v>
      </c>
      <c r="J278" s="84" t="s">
        <v>34</v>
      </c>
      <c r="K278" s="85">
        <f>'BOM 04 22Master'!AQ633</f>
        <v>0</v>
      </c>
      <c r="L278" s="86">
        <f>'BOM 04 22Master'!AR633</f>
        <v>0</v>
      </c>
    </row>
    <row r="279" spans="1:12" ht="27.95" customHeight="1">
      <c r="A279" s="13"/>
      <c r="B279" s="62" t="s">
        <v>132</v>
      </c>
      <c r="C279" s="63"/>
      <c r="D279" s="63"/>
      <c r="E279" s="63"/>
      <c r="F279" s="63"/>
      <c r="G279" s="67"/>
      <c r="H279" s="64"/>
      <c r="I279" s="66"/>
      <c r="J279" s="73">
        <f>J277-(E278+G278+I278+K278+L278)</f>
        <v>0</v>
      </c>
      <c r="K279" s="66"/>
      <c r="L279" s="71"/>
    </row>
    <row r="280" spans="1:12" ht="27.95" customHeight="1">
      <c r="A280" s="13"/>
      <c r="B280" s="74" t="s">
        <v>133</v>
      </c>
      <c r="C280" s="75"/>
      <c r="D280" s="75"/>
      <c r="E280" s="75"/>
      <c r="F280" s="75"/>
      <c r="G280" s="76"/>
      <c r="H280" s="77"/>
      <c r="I280" s="78"/>
      <c r="J280" s="78"/>
      <c r="K280" s="78"/>
      <c r="L280" s="79"/>
    </row>
    <row r="281" spans="1:12" ht="27.95" customHeight="1">
      <c r="A281" s="13"/>
      <c r="B281" s="80" t="s">
        <v>134</v>
      </c>
      <c r="C281" s="81"/>
      <c r="D281" s="81"/>
      <c r="E281" s="81"/>
      <c r="F281" s="81"/>
      <c r="G281" s="82"/>
      <c r="H281" s="48"/>
      <c r="I281" s="17"/>
      <c r="J281" s="17"/>
      <c r="K281" s="17"/>
      <c r="L281" s="83"/>
    </row>
    <row r="282" spans="1:12">
      <c r="A282" s="13"/>
      <c r="L282" s="14"/>
    </row>
    <row r="283" spans="1:12" ht="15.75" thickBot="1">
      <c r="A283" s="25"/>
      <c r="B283" s="23"/>
      <c r="C283" s="23"/>
      <c r="D283" s="23"/>
      <c r="E283" s="23"/>
      <c r="F283" s="23"/>
      <c r="G283" s="23"/>
      <c r="H283" s="23"/>
      <c r="I283" s="23"/>
      <c r="J283" s="23"/>
      <c r="K283" s="23"/>
      <c r="L283" s="24"/>
    </row>
    <row r="284" spans="1:12" ht="15.75" thickBot="1"/>
    <row r="285" spans="1:12" ht="32.25">
      <c r="A285" s="50"/>
      <c r="B285" s="756" t="s">
        <v>110</v>
      </c>
      <c r="C285" s="757"/>
      <c r="D285" s="757"/>
      <c r="E285" s="757"/>
      <c r="F285" s="757"/>
      <c r="G285" s="757"/>
      <c r="H285" s="757"/>
      <c r="I285" s="757"/>
      <c r="J285" s="757"/>
      <c r="K285" s="757"/>
      <c r="L285" s="758"/>
    </row>
    <row r="286" spans="1:12" ht="23.25">
      <c r="A286" s="13"/>
      <c r="B286" s="759" t="s">
        <v>111</v>
      </c>
      <c r="C286" s="759"/>
      <c r="D286" s="759"/>
      <c r="E286" s="759"/>
      <c r="F286" s="759"/>
      <c r="G286" s="759"/>
      <c r="H286" s="759"/>
      <c r="I286" s="759"/>
      <c r="J286" s="759"/>
      <c r="K286" s="759"/>
      <c r="L286" s="760"/>
    </row>
    <row r="287" spans="1:12" ht="16.5" thickBot="1">
      <c r="A287" s="25"/>
      <c r="B287" s="761" t="s">
        <v>385</v>
      </c>
      <c r="C287" s="761"/>
      <c r="D287" s="761"/>
      <c r="E287" s="761"/>
      <c r="F287" s="761"/>
      <c r="G287" s="761"/>
      <c r="H287" s="761"/>
      <c r="I287" s="761"/>
      <c r="J287" s="761"/>
      <c r="K287" s="761"/>
      <c r="L287" s="762"/>
    </row>
    <row r="288" spans="1:12" ht="15" customHeight="1">
      <c r="A288" s="13"/>
      <c r="B288" s="763" t="s">
        <v>112</v>
      </c>
      <c r="C288" s="763"/>
      <c r="D288" s="763"/>
      <c r="E288" s="763"/>
      <c r="F288" s="763"/>
      <c r="H288" s="764" t="s">
        <v>113</v>
      </c>
      <c r="I288" s="764"/>
      <c r="J288" s="764"/>
      <c r="K288" s="764"/>
      <c r="L288" s="765"/>
    </row>
    <row r="289" spans="1:12" ht="15.75" thickBot="1">
      <c r="A289" s="13"/>
      <c r="B289" s="763"/>
      <c r="C289" s="763"/>
      <c r="D289" s="763"/>
      <c r="E289" s="763"/>
      <c r="F289" s="763"/>
      <c r="H289" s="764"/>
      <c r="I289" s="764"/>
      <c r="J289" s="764"/>
      <c r="K289" s="764"/>
      <c r="L289" s="765"/>
    </row>
    <row r="290" spans="1:12">
      <c r="A290" s="13"/>
      <c r="B290" s="50"/>
      <c r="C290" s="51"/>
      <c r="D290" s="51"/>
      <c r="E290" s="51"/>
      <c r="F290" s="52"/>
      <c r="H290" s="50"/>
      <c r="I290" s="51"/>
      <c r="J290" s="51"/>
      <c r="K290" s="51"/>
      <c r="L290" s="52"/>
    </row>
    <row r="291" spans="1:12">
      <c r="A291" s="13"/>
      <c r="B291" s="53" t="e">
        <f>#REF!</f>
        <v>#REF!</v>
      </c>
      <c r="F291" s="14"/>
      <c r="H291" s="53" t="e">
        <f>#REF!</f>
        <v>#REF!</v>
      </c>
      <c r="L291" s="14"/>
    </row>
    <row r="292" spans="1:12">
      <c r="A292" s="13"/>
      <c r="B292" s="13"/>
      <c r="F292" s="14"/>
      <c r="H292" s="13"/>
      <c r="L292" s="14"/>
    </row>
    <row r="293" spans="1:12">
      <c r="A293" s="13"/>
      <c r="B293" s="53" t="e">
        <f>#REF!</f>
        <v>#REF!</v>
      </c>
      <c r="F293" s="14"/>
      <c r="H293" s="53" t="e">
        <f>#REF!</f>
        <v>#REF!</v>
      </c>
      <c r="L293" s="14"/>
    </row>
    <row r="294" spans="1:12" ht="15" customHeight="1" thickBot="1">
      <c r="A294" s="13"/>
      <c r="B294" s="25"/>
      <c r="C294" s="23"/>
      <c r="D294" s="23"/>
      <c r="E294" s="23"/>
      <c r="F294" s="24"/>
      <c r="H294" s="25"/>
      <c r="I294" s="23"/>
      <c r="J294" s="23"/>
      <c r="K294" s="23"/>
      <c r="L294" s="24"/>
    </row>
    <row r="295" spans="1:12">
      <c r="A295" s="13"/>
      <c r="J295" t="s">
        <v>114</v>
      </c>
      <c r="L295" s="14"/>
    </row>
    <row r="296" spans="1:12">
      <c r="A296" s="13"/>
      <c r="B296" s="753" t="s">
        <v>115</v>
      </c>
      <c r="C296" s="753"/>
      <c r="D296" s="753"/>
      <c r="E296" s="753"/>
      <c r="F296" s="753"/>
      <c r="H296" s="753" t="s">
        <v>4</v>
      </c>
      <c r="I296" s="753"/>
      <c r="J296" s="753"/>
      <c r="K296" s="753"/>
      <c r="L296" s="754"/>
    </row>
    <row r="297" spans="1:12" ht="15.75" thickBot="1">
      <c r="A297" s="13"/>
      <c r="L297" s="14"/>
    </row>
    <row r="298" spans="1:12">
      <c r="A298" s="13"/>
      <c r="B298" s="50"/>
      <c r="C298" s="51"/>
      <c r="D298" s="51"/>
      <c r="E298" s="51"/>
      <c r="F298" s="52"/>
      <c r="H298" s="54"/>
      <c r="I298" s="55"/>
      <c r="J298" s="55"/>
      <c r="K298" s="55"/>
      <c r="L298" s="56"/>
    </row>
    <row r="299" spans="1:12">
      <c r="A299" s="13"/>
      <c r="B299" s="13"/>
      <c r="F299" s="14"/>
      <c r="H299" s="53" t="e">
        <f>#REF!</f>
        <v>#REF!</v>
      </c>
      <c r="I299" s="2"/>
      <c r="J299" s="2"/>
      <c r="K299" s="2"/>
      <c r="L299" s="57"/>
    </row>
    <row r="300" spans="1:12">
      <c r="A300" s="13"/>
      <c r="B300" s="53" t="e">
        <f>#REF!</f>
        <v>#REF!</v>
      </c>
      <c r="F300" s="14"/>
      <c r="H300" s="53"/>
      <c r="I300" s="2"/>
      <c r="J300" s="2"/>
      <c r="K300" s="2"/>
      <c r="L300" s="57"/>
    </row>
    <row r="301" spans="1:12">
      <c r="A301" s="13"/>
      <c r="B301" s="13"/>
      <c r="F301" s="14"/>
      <c r="H301" s="53" t="e">
        <f>#REF!</f>
        <v>#REF!</v>
      </c>
      <c r="I301" s="2"/>
      <c r="J301" s="2"/>
      <c r="K301" s="2"/>
      <c r="L301" s="57"/>
    </row>
    <row r="302" spans="1:12" ht="15.75" thickBot="1">
      <c r="A302" s="13"/>
      <c r="B302" s="25"/>
      <c r="C302" s="23"/>
      <c r="D302" s="23"/>
      <c r="E302" s="23"/>
      <c r="F302" s="24"/>
      <c r="H302" s="58"/>
      <c r="I302" s="59"/>
      <c r="J302" s="59"/>
      <c r="K302" s="59"/>
      <c r="L302" s="60"/>
    </row>
    <row r="303" spans="1:12" ht="27.95" customHeight="1">
      <c r="A303" s="61"/>
      <c r="B303" s="742" t="s">
        <v>116</v>
      </c>
      <c r="C303" s="742"/>
      <c r="D303" s="742"/>
      <c r="E303" s="742"/>
      <c r="F303" s="742"/>
      <c r="G303" s="742"/>
      <c r="H303" s="743">
        <f>'BOM 04 22Master'!B672</f>
        <v>0</v>
      </c>
      <c r="I303" s="744"/>
      <c r="J303" s="744"/>
      <c r="K303" s="744"/>
      <c r="L303" s="745"/>
    </row>
    <row r="304" spans="1:12" ht="27.95" customHeight="1">
      <c r="A304" s="61"/>
      <c r="B304" s="755" t="s">
        <v>117</v>
      </c>
      <c r="C304" s="755"/>
      <c r="D304" s="755"/>
      <c r="E304" s="755"/>
      <c r="F304" s="755"/>
      <c r="G304" s="755"/>
      <c r="H304" s="743">
        <f>'BOM 04 22Master'!A673</f>
        <v>0</v>
      </c>
      <c r="I304" s="744"/>
      <c r="J304" s="744"/>
      <c r="K304" s="744"/>
      <c r="L304" s="745"/>
    </row>
    <row r="305" spans="1:12" ht="27.95" customHeight="1">
      <c r="A305" s="61"/>
      <c r="B305" s="742" t="s">
        <v>118</v>
      </c>
      <c r="C305" s="742"/>
      <c r="D305" s="742"/>
      <c r="E305" s="742"/>
      <c r="F305" s="742"/>
      <c r="G305" s="742"/>
      <c r="H305" s="743">
        <f>'BOM 04 22Master'!F672</f>
        <v>0</v>
      </c>
      <c r="I305" s="744"/>
      <c r="J305" s="744"/>
      <c r="K305" s="744"/>
      <c r="L305" s="745"/>
    </row>
    <row r="306" spans="1:12" ht="27.95" customHeight="1">
      <c r="A306" s="61"/>
      <c r="B306" s="742" t="s">
        <v>119</v>
      </c>
      <c r="C306" s="742"/>
      <c r="D306" s="742"/>
      <c r="E306" s="742"/>
      <c r="F306" s="742"/>
      <c r="G306" s="742"/>
      <c r="H306" s="746">
        <f>'BOM 04 22Master'!N672</f>
        <v>0</v>
      </c>
      <c r="I306" s="747"/>
      <c r="J306" s="747"/>
      <c r="K306" s="747"/>
      <c r="L306" s="748"/>
    </row>
    <row r="307" spans="1:12" ht="27.95" customHeight="1">
      <c r="A307" s="61"/>
      <c r="B307" s="62" t="s">
        <v>120</v>
      </c>
      <c r="C307" s="63"/>
      <c r="D307" s="63"/>
      <c r="E307" s="63"/>
      <c r="F307" s="63"/>
      <c r="G307" s="63"/>
      <c r="H307" s="64"/>
      <c r="I307" s="65"/>
      <c r="J307" s="27">
        <f>'BOM 04 22Master'!T672</f>
        <v>0</v>
      </c>
      <c r="K307" s="66"/>
      <c r="L307" s="71"/>
    </row>
    <row r="308" spans="1:12" ht="27.95" customHeight="1">
      <c r="A308" s="61"/>
      <c r="B308" s="62" t="s">
        <v>121</v>
      </c>
      <c r="C308" s="63"/>
      <c r="D308" s="63"/>
      <c r="E308" s="63"/>
      <c r="F308" s="63"/>
      <c r="G308" s="67"/>
      <c r="H308" s="68"/>
      <c r="I308" s="69"/>
      <c r="J308" s="27">
        <f>'BOM 04 22Master'!S672</f>
        <v>0</v>
      </c>
      <c r="K308" s="69"/>
      <c r="L308" s="70"/>
    </row>
    <row r="309" spans="1:12" ht="27.95" customHeight="1">
      <c r="A309" s="61"/>
      <c r="B309" s="749" t="s">
        <v>122</v>
      </c>
      <c r="C309" s="749"/>
      <c r="D309" s="749"/>
      <c r="E309" s="749"/>
      <c r="F309" s="749"/>
      <c r="G309" s="749"/>
      <c r="H309" s="750">
        <v>11322</v>
      </c>
      <c r="I309" s="751"/>
      <c r="J309" s="751"/>
      <c r="K309" s="751"/>
      <c r="L309" s="752"/>
    </row>
    <row r="310" spans="1:12" ht="27.95" customHeight="1">
      <c r="A310" s="61"/>
      <c r="B310" s="742" t="s">
        <v>123</v>
      </c>
      <c r="C310" s="742"/>
      <c r="D310" s="742"/>
      <c r="E310" s="742"/>
      <c r="F310" s="742"/>
      <c r="G310" s="742"/>
      <c r="H310" s="766">
        <f>'BOM 04 22Master'!D666</f>
        <v>0</v>
      </c>
      <c r="I310" s="744"/>
      <c r="J310" s="744"/>
      <c r="K310" s="744"/>
      <c r="L310" s="745"/>
    </row>
    <row r="311" spans="1:12" ht="27.95" customHeight="1">
      <c r="A311" s="13"/>
      <c r="B311" s="742" t="s">
        <v>124</v>
      </c>
      <c r="C311" s="742"/>
      <c r="D311" s="742"/>
      <c r="E311" s="742"/>
      <c r="F311" s="742"/>
      <c r="G311" s="742"/>
      <c r="H311" s="744" t="s">
        <v>125</v>
      </c>
      <c r="I311" s="744"/>
      <c r="J311" s="744"/>
      <c r="K311" s="744"/>
      <c r="L311" s="745"/>
    </row>
    <row r="312" spans="1:12" ht="27.95" customHeight="1">
      <c r="A312" s="13"/>
      <c r="B312" s="62" t="s">
        <v>126</v>
      </c>
      <c r="C312" s="63"/>
      <c r="D312" s="63"/>
      <c r="E312" s="63"/>
      <c r="F312" s="63"/>
      <c r="G312" s="67"/>
      <c r="H312" s="64"/>
      <c r="I312" s="66"/>
      <c r="J312" s="66">
        <f>'BOM 04 22Master'!W672</f>
        <v>0</v>
      </c>
      <c r="K312" s="66"/>
      <c r="L312" s="71"/>
    </row>
    <row r="313" spans="1:12" ht="27.95" customHeight="1">
      <c r="A313" s="13"/>
      <c r="B313" s="62" t="s">
        <v>127</v>
      </c>
      <c r="C313" s="63"/>
      <c r="D313" s="63"/>
      <c r="E313" s="63"/>
      <c r="F313" s="63"/>
      <c r="G313" s="67"/>
      <c r="H313" s="64"/>
      <c r="I313" s="66"/>
      <c r="J313" s="66" t="s">
        <v>37</v>
      </c>
      <c r="K313" s="66"/>
      <c r="L313" s="71"/>
    </row>
    <row r="314" spans="1:12" ht="27.95" customHeight="1">
      <c r="A314" s="13"/>
      <c r="B314" s="62" t="s">
        <v>128</v>
      </c>
      <c r="C314" s="63"/>
      <c r="D314" s="63"/>
      <c r="E314" s="63"/>
      <c r="F314" s="63"/>
      <c r="G314" s="67"/>
      <c r="H314" s="64"/>
      <c r="I314" s="66"/>
      <c r="J314" s="72">
        <v>0</v>
      </c>
      <c r="K314" s="66"/>
      <c r="L314" s="71"/>
    </row>
    <row r="315" spans="1:12" ht="27.95" customHeight="1">
      <c r="A315" s="13"/>
      <c r="B315" s="62" t="s">
        <v>129</v>
      </c>
      <c r="C315" s="63"/>
      <c r="D315" s="63"/>
      <c r="E315" s="63"/>
      <c r="F315" s="63"/>
      <c r="G315" s="67"/>
      <c r="H315" s="64"/>
      <c r="I315" s="66"/>
      <c r="J315" s="66">
        <v>0</v>
      </c>
      <c r="K315" s="66"/>
      <c r="L315" s="71"/>
    </row>
    <row r="316" spans="1:12" ht="27.95" customHeight="1">
      <c r="A316" s="13"/>
      <c r="B316" s="62" t="s">
        <v>130</v>
      </c>
      <c r="C316" s="63"/>
      <c r="D316" s="63"/>
      <c r="E316" s="63"/>
      <c r="F316" s="63"/>
      <c r="G316" s="67"/>
      <c r="H316" s="64"/>
      <c r="I316" s="66"/>
      <c r="J316" s="72">
        <f>'BOM 04 22Master'!AM672</f>
        <v>0</v>
      </c>
      <c r="K316" s="66"/>
      <c r="L316" s="71" t="s">
        <v>35</v>
      </c>
    </row>
    <row r="317" spans="1:12" ht="27.95" customHeight="1">
      <c r="A317" s="13"/>
      <c r="B317" s="62" t="s">
        <v>131</v>
      </c>
      <c r="C317" s="63"/>
      <c r="D317" s="84" t="s">
        <v>32</v>
      </c>
      <c r="E317" s="85">
        <f>'BOM 04 22Master'!AO672</f>
        <v>0</v>
      </c>
      <c r="F317" s="84" t="s">
        <v>31</v>
      </c>
      <c r="G317" s="85">
        <f>'BOM 04 22Master'!AN672</f>
        <v>0</v>
      </c>
      <c r="H317" s="84" t="s">
        <v>33</v>
      </c>
      <c r="I317" s="85">
        <f>'BOM 04 22Master'!AP672</f>
        <v>0</v>
      </c>
      <c r="J317" s="84" t="s">
        <v>34</v>
      </c>
      <c r="K317" s="85">
        <f>'BOM 04 22Master'!AQ672</f>
        <v>0</v>
      </c>
      <c r="L317" s="86">
        <f>'BOM 04 22Master'!AR672</f>
        <v>0</v>
      </c>
    </row>
    <row r="318" spans="1:12" ht="27.95" customHeight="1">
      <c r="A318" s="13"/>
      <c r="B318" s="62" t="s">
        <v>132</v>
      </c>
      <c r="C318" s="63"/>
      <c r="D318" s="63"/>
      <c r="E318" s="63"/>
      <c r="F318" s="63"/>
      <c r="G318" s="67"/>
      <c r="H318" s="64"/>
      <c r="I318" s="66"/>
      <c r="J318" s="73">
        <f>J316-(E317+G317+I317+K317+L317)</f>
        <v>0</v>
      </c>
      <c r="K318" s="66"/>
      <c r="L318" s="71"/>
    </row>
    <row r="319" spans="1:12" ht="27.95" customHeight="1">
      <c r="A319" s="13"/>
      <c r="B319" s="74" t="s">
        <v>133</v>
      </c>
      <c r="C319" s="75"/>
      <c r="D319" s="75"/>
      <c r="E319" s="75"/>
      <c r="F319" s="75"/>
      <c r="G319" s="76"/>
      <c r="H319" s="77"/>
      <c r="I319" s="78"/>
      <c r="J319" s="78"/>
      <c r="K319" s="78"/>
      <c r="L319" s="79"/>
    </row>
    <row r="320" spans="1:12" ht="27.95" customHeight="1">
      <c r="A320" s="13"/>
      <c r="B320" s="80" t="s">
        <v>134</v>
      </c>
      <c r="C320" s="81"/>
      <c r="D320" s="81"/>
      <c r="E320" s="81"/>
      <c r="F320" s="81"/>
      <c r="G320" s="82"/>
      <c r="H320" s="48"/>
      <c r="I320" s="17"/>
      <c r="J320" s="17"/>
      <c r="K320" s="17"/>
      <c r="L320" s="83"/>
    </row>
    <row r="321" spans="1:12">
      <c r="A321" s="13"/>
      <c r="L321" s="14"/>
    </row>
    <row r="322" spans="1:12" ht="15.75" thickBot="1">
      <c r="A322" s="25"/>
      <c r="B322" s="23"/>
      <c r="C322" s="23"/>
      <c r="D322" s="23"/>
      <c r="E322" s="23"/>
      <c r="F322" s="23"/>
      <c r="G322" s="23"/>
      <c r="H322" s="23"/>
      <c r="I322" s="23"/>
      <c r="J322" s="23"/>
      <c r="K322" s="23"/>
      <c r="L322" s="24"/>
    </row>
  </sheetData>
  <mergeCells count="170">
    <mergeCell ref="B1:L1"/>
    <mergeCell ref="B2:L2"/>
    <mergeCell ref="B20:G20"/>
    <mergeCell ref="H20:L20"/>
    <mergeCell ref="B21:G21"/>
    <mergeCell ref="H21:L21"/>
    <mergeCell ref="B3:L3"/>
    <mergeCell ref="B4:F5"/>
    <mergeCell ref="H4:L5"/>
    <mergeCell ref="B12:F12"/>
    <mergeCell ref="H12:L12"/>
    <mergeCell ref="B19:G19"/>
    <mergeCell ref="H19:L19"/>
    <mergeCell ref="B26:G26"/>
    <mergeCell ref="H26:L26"/>
    <mergeCell ref="B27:G27"/>
    <mergeCell ref="H27:L27"/>
    <mergeCell ref="B28:G28"/>
    <mergeCell ref="H28:L28"/>
    <mergeCell ref="B22:G22"/>
    <mergeCell ref="H22:L22"/>
    <mergeCell ref="B23:G23"/>
    <mergeCell ref="H23:L23"/>
    <mergeCell ref="B55:L55"/>
    <mergeCell ref="B56:F57"/>
    <mergeCell ref="H56:L57"/>
    <mergeCell ref="B64:F64"/>
    <mergeCell ref="H64:L64"/>
    <mergeCell ref="B71:G71"/>
    <mergeCell ref="H71:L71"/>
    <mergeCell ref="B53:L53"/>
    <mergeCell ref="B54:L54"/>
    <mergeCell ref="B77:G77"/>
    <mergeCell ref="H77:L77"/>
    <mergeCell ref="B78:G78"/>
    <mergeCell ref="H78:L78"/>
    <mergeCell ref="B79:G79"/>
    <mergeCell ref="H79:L79"/>
    <mergeCell ref="B72:G72"/>
    <mergeCell ref="H72:L72"/>
    <mergeCell ref="B73:G73"/>
    <mergeCell ref="H73:L73"/>
    <mergeCell ref="B74:G74"/>
    <mergeCell ref="H74:L74"/>
    <mergeCell ref="B109:G109"/>
    <mergeCell ref="H109:L109"/>
    <mergeCell ref="B110:G110"/>
    <mergeCell ref="H110:L110"/>
    <mergeCell ref="B111:G111"/>
    <mergeCell ref="H111:L111"/>
    <mergeCell ref="B91:L91"/>
    <mergeCell ref="B92:L92"/>
    <mergeCell ref="B93:L93"/>
    <mergeCell ref="B94:F95"/>
    <mergeCell ref="H94:L95"/>
    <mergeCell ref="B102:F102"/>
    <mergeCell ref="H102:L102"/>
    <mergeCell ref="B117:G117"/>
    <mergeCell ref="H117:L117"/>
    <mergeCell ref="B130:L130"/>
    <mergeCell ref="B131:L131"/>
    <mergeCell ref="B132:L132"/>
    <mergeCell ref="B133:F134"/>
    <mergeCell ref="H133:L134"/>
    <mergeCell ref="B112:G112"/>
    <mergeCell ref="H112:L112"/>
    <mergeCell ref="B115:G115"/>
    <mergeCell ref="H115:L115"/>
    <mergeCell ref="B116:G116"/>
    <mergeCell ref="H116:L116"/>
    <mergeCell ref="B150:G150"/>
    <mergeCell ref="H150:L150"/>
    <mergeCell ref="B151:G151"/>
    <mergeCell ref="H151:L151"/>
    <mergeCell ref="B154:G154"/>
    <mergeCell ref="H154:L154"/>
    <mergeCell ref="B141:F141"/>
    <mergeCell ref="H141:L141"/>
    <mergeCell ref="B148:G148"/>
    <mergeCell ref="H148:L148"/>
    <mergeCell ref="B149:G149"/>
    <mergeCell ref="H149:L149"/>
    <mergeCell ref="B170:L170"/>
    <mergeCell ref="B171:F172"/>
    <mergeCell ref="H171:L172"/>
    <mergeCell ref="B179:F179"/>
    <mergeCell ref="H179:L179"/>
    <mergeCell ref="B186:G186"/>
    <mergeCell ref="H186:L186"/>
    <mergeCell ref="B155:G155"/>
    <mergeCell ref="H155:L155"/>
    <mergeCell ref="B156:G156"/>
    <mergeCell ref="H156:L156"/>
    <mergeCell ref="B168:L168"/>
    <mergeCell ref="B169:L169"/>
    <mergeCell ref="B192:G192"/>
    <mergeCell ref="H192:L192"/>
    <mergeCell ref="B193:G193"/>
    <mergeCell ref="H193:L193"/>
    <mergeCell ref="B194:G194"/>
    <mergeCell ref="H194:L194"/>
    <mergeCell ref="B187:G187"/>
    <mergeCell ref="H187:L187"/>
    <mergeCell ref="B188:G188"/>
    <mergeCell ref="H188:L188"/>
    <mergeCell ref="B189:G189"/>
    <mergeCell ref="H189:L189"/>
    <mergeCell ref="B225:G225"/>
    <mergeCell ref="H225:L225"/>
    <mergeCell ref="B226:G226"/>
    <mergeCell ref="H226:L226"/>
    <mergeCell ref="B227:G227"/>
    <mergeCell ref="H227:L227"/>
    <mergeCell ref="B207:L207"/>
    <mergeCell ref="B208:L208"/>
    <mergeCell ref="B209:L209"/>
    <mergeCell ref="B210:F211"/>
    <mergeCell ref="H210:L211"/>
    <mergeCell ref="B218:F218"/>
    <mergeCell ref="H218:L218"/>
    <mergeCell ref="B233:G233"/>
    <mergeCell ref="H233:L233"/>
    <mergeCell ref="B246:L246"/>
    <mergeCell ref="B247:L247"/>
    <mergeCell ref="B248:L248"/>
    <mergeCell ref="B249:F250"/>
    <mergeCell ref="H249:L250"/>
    <mergeCell ref="B228:G228"/>
    <mergeCell ref="H228:L228"/>
    <mergeCell ref="B231:G231"/>
    <mergeCell ref="H231:L231"/>
    <mergeCell ref="B232:G232"/>
    <mergeCell ref="H232:L232"/>
    <mergeCell ref="B311:G311"/>
    <mergeCell ref="H311:L311"/>
    <mergeCell ref="B309:G309"/>
    <mergeCell ref="H309:L309"/>
    <mergeCell ref="H296:L296"/>
    <mergeCell ref="B303:G303"/>
    <mergeCell ref="H303:L303"/>
    <mergeCell ref="B304:G304"/>
    <mergeCell ref="H304:L304"/>
    <mergeCell ref="B305:G305"/>
    <mergeCell ref="H305:L305"/>
    <mergeCell ref="B306:G306"/>
    <mergeCell ref="H306:L306"/>
    <mergeCell ref="B285:L285"/>
    <mergeCell ref="B286:L286"/>
    <mergeCell ref="B287:L287"/>
    <mergeCell ref="B288:F289"/>
    <mergeCell ref="H288:L289"/>
    <mergeCell ref="B296:F296"/>
    <mergeCell ref="B310:G310"/>
    <mergeCell ref="H310:L310"/>
    <mergeCell ref="B271:G271"/>
    <mergeCell ref="H271:L271"/>
    <mergeCell ref="B272:G272"/>
    <mergeCell ref="H272:L272"/>
    <mergeCell ref="B266:G266"/>
    <mergeCell ref="H266:L266"/>
    <mergeCell ref="B267:G267"/>
    <mergeCell ref="H267:L267"/>
    <mergeCell ref="B270:G270"/>
    <mergeCell ref="H270:L270"/>
    <mergeCell ref="B257:F257"/>
    <mergeCell ref="H257:L257"/>
    <mergeCell ref="B264:G264"/>
    <mergeCell ref="H264:L264"/>
    <mergeCell ref="B265:G265"/>
    <mergeCell ref="H265:L265"/>
  </mergeCells>
  <pageMargins left="0.88" right="0.53" top="0.74803149606299213" bottom="0.74803149606299213" header="0.31496062992125984" footer="0.31496062992125984"/>
  <pageSetup scale="65"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48"/>
  <sheetViews>
    <sheetView topLeftCell="G7" workbookViewId="0">
      <selection activeCell="T8" sqref="T8"/>
    </sheetView>
  </sheetViews>
  <sheetFormatPr defaultRowHeight="15"/>
  <cols>
    <col min="9" max="9" width="15.5703125" customWidth="1"/>
    <col min="10" max="10" width="3.140625" customWidth="1"/>
    <col min="19" max="19" width="15.5703125" customWidth="1"/>
  </cols>
  <sheetData>
    <row r="1" spans="1:19" ht="26.25">
      <c r="A1" s="801" t="s">
        <v>50</v>
      </c>
      <c r="B1" s="802"/>
      <c r="C1" s="802"/>
      <c r="D1" s="802"/>
      <c r="E1" s="802"/>
      <c r="F1" s="802"/>
      <c r="G1" s="802"/>
      <c r="H1" s="802"/>
      <c r="I1" s="803"/>
      <c r="K1" s="801" t="s">
        <v>50</v>
      </c>
      <c r="L1" s="802"/>
      <c r="M1" s="802"/>
      <c r="N1" s="802"/>
      <c r="O1" s="802"/>
      <c r="P1" s="802"/>
      <c r="Q1" s="802"/>
      <c r="R1" s="802"/>
      <c r="S1" s="803"/>
    </row>
    <row r="2" spans="1:19">
      <c r="A2" s="794" t="s">
        <v>561</v>
      </c>
      <c r="B2" s="795"/>
      <c r="C2" s="795"/>
      <c r="D2" s="795"/>
      <c r="E2" s="795"/>
      <c r="F2" s="795"/>
      <c r="G2" s="795"/>
      <c r="H2" s="795"/>
      <c r="I2" s="796"/>
      <c r="K2" s="794" t="s">
        <v>561</v>
      </c>
      <c r="L2" s="795"/>
      <c r="M2" s="795"/>
      <c r="N2" s="795"/>
      <c r="O2" s="795"/>
      <c r="P2" s="795"/>
      <c r="Q2" s="795"/>
      <c r="R2" s="795"/>
      <c r="S2" s="796"/>
    </row>
    <row r="3" spans="1:19">
      <c r="A3" s="13"/>
      <c r="I3" s="14"/>
      <c r="K3" s="13"/>
      <c r="S3" s="14"/>
    </row>
    <row r="4" spans="1:19">
      <c r="A4" s="15" t="s">
        <v>52</v>
      </c>
      <c r="B4" s="3"/>
      <c r="C4" s="3"/>
      <c r="D4" s="6" t="str">
        <f>'BOM 04 22Master'!F5</f>
        <v>Burgeon IT Services Pvt.Ltd.</v>
      </c>
      <c r="I4" s="14"/>
      <c r="K4" s="15" t="s">
        <v>52</v>
      </c>
      <c r="L4" s="3"/>
      <c r="M4" s="3"/>
      <c r="N4" s="6" t="str">
        <f>D4</f>
        <v>Burgeon IT Services Pvt.Ltd.</v>
      </c>
      <c r="S4" s="14"/>
    </row>
    <row r="5" spans="1:19">
      <c r="A5" s="15"/>
      <c r="B5" s="3" t="str">
        <f>'BOM 04 22Master'!F6</f>
        <v>Siri Mansion LIGB 436 Dr.A S Rao Nagar,Hyderabad</v>
      </c>
      <c r="C5" s="3"/>
      <c r="D5" s="3"/>
      <c r="I5" s="14"/>
      <c r="K5" s="15"/>
      <c r="L5" s="3" t="str">
        <f>B5</f>
        <v>Siri Mansion LIGB 436 Dr.A S Rao Nagar,Hyderabad</v>
      </c>
      <c r="M5" s="3"/>
      <c r="N5" s="3"/>
      <c r="S5" s="14"/>
    </row>
    <row r="6" spans="1:19">
      <c r="A6" s="15"/>
      <c r="B6" s="3">
        <f>'BOM 04 22Master'!F7</f>
        <v>0</v>
      </c>
      <c r="C6" s="3"/>
      <c r="D6" s="3"/>
      <c r="E6" s="3"/>
      <c r="I6" s="14"/>
      <c r="K6" s="15"/>
      <c r="L6" s="3">
        <f>B6</f>
        <v>0</v>
      </c>
      <c r="M6" s="3"/>
      <c r="N6" s="3"/>
      <c r="O6" s="3"/>
      <c r="S6" s="14"/>
    </row>
    <row r="7" spans="1:19" ht="15" customHeight="1">
      <c r="A7" s="797" t="s">
        <v>53</v>
      </c>
      <c r="B7" s="798"/>
      <c r="C7" s="798"/>
      <c r="D7" s="798"/>
      <c r="E7" s="3"/>
      <c r="I7" s="14"/>
      <c r="K7" s="797" t="s">
        <v>53</v>
      </c>
      <c r="L7" s="798"/>
      <c r="M7" s="798"/>
      <c r="N7" s="798"/>
      <c r="O7" s="3"/>
      <c r="S7" s="14"/>
    </row>
    <row r="8" spans="1:19">
      <c r="A8" s="797"/>
      <c r="B8" s="798"/>
      <c r="C8" s="798"/>
      <c r="D8" s="798"/>
      <c r="E8" s="16" t="str">
        <f>'BOM 04 22Master'!B17</f>
        <v>Naresh Kumar Kandula</v>
      </c>
      <c r="F8" s="17"/>
      <c r="G8" s="17"/>
      <c r="H8" s="17" t="str">
        <f>'BOM 04 22Master'!E17</f>
        <v>Lankadasari Saritha</v>
      </c>
      <c r="I8" s="14"/>
      <c r="K8" s="797"/>
      <c r="L8" s="798"/>
      <c r="M8" s="798"/>
      <c r="N8" s="798"/>
      <c r="O8" s="16" t="str">
        <f>E8</f>
        <v>Naresh Kumar Kandula</v>
      </c>
      <c r="P8" s="17"/>
      <c r="Q8" s="17"/>
      <c r="R8" s="17" t="str">
        <f>H8</f>
        <v>Lankadasari Saritha</v>
      </c>
      <c r="S8" s="14"/>
    </row>
    <row r="9" spans="1:19">
      <c r="A9" s="15"/>
      <c r="B9" s="3"/>
      <c r="C9" s="3"/>
      <c r="D9" s="3"/>
      <c r="E9" s="3"/>
      <c r="I9" s="14"/>
      <c r="K9" s="15"/>
      <c r="L9" s="3"/>
      <c r="M9" s="3"/>
      <c r="N9" s="3"/>
      <c r="O9" s="3"/>
      <c r="S9" s="14"/>
    </row>
    <row r="10" spans="1:19">
      <c r="A10" s="792" t="s">
        <v>54</v>
      </c>
      <c r="B10" s="793"/>
      <c r="C10" s="793"/>
      <c r="D10" s="793"/>
      <c r="E10" s="16" t="str">
        <f>'BOM 04 22Master'!F8</f>
        <v>IT SUPPORTIVE SERVICES&amp;MUMBAI</v>
      </c>
      <c r="F10" s="17"/>
      <c r="G10" s="17"/>
      <c r="H10" s="17"/>
      <c r="I10" s="14"/>
      <c r="K10" s="792" t="s">
        <v>54</v>
      </c>
      <c r="L10" s="793"/>
      <c r="M10" s="793"/>
      <c r="N10" s="793"/>
      <c r="O10" s="16" t="str">
        <f>E10</f>
        <v>IT SUPPORTIVE SERVICES&amp;MUMBAI</v>
      </c>
      <c r="P10" s="17"/>
      <c r="Q10" s="17"/>
      <c r="R10" s="17"/>
      <c r="S10" s="14"/>
    </row>
    <row r="11" spans="1:19">
      <c r="A11" s="15"/>
      <c r="B11" s="3"/>
      <c r="C11" s="3"/>
      <c r="D11" s="3"/>
      <c r="E11" s="3"/>
      <c r="I11" s="14"/>
      <c r="K11" s="15"/>
      <c r="L11" s="3"/>
      <c r="M11" s="3"/>
      <c r="N11" s="3"/>
      <c r="O11" s="3"/>
      <c r="S11" s="14"/>
    </row>
    <row r="12" spans="1:19">
      <c r="A12" s="792" t="s">
        <v>55</v>
      </c>
      <c r="B12" s="793"/>
      <c r="C12" s="793"/>
      <c r="D12" s="793"/>
      <c r="E12" s="18">
        <f>'BOM 04 22Master'!D10</f>
        <v>44652</v>
      </c>
      <c r="F12" s="17"/>
      <c r="G12" s="17"/>
      <c r="H12" s="17"/>
      <c r="I12" s="14"/>
      <c r="K12" s="792" t="s">
        <v>55</v>
      </c>
      <c r="L12" s="793"/>
      <c r="M12" s="793"/>
      <c r="N12" s="793"/>
      <c r="O12" s="18">
        <f>E12</f>
        <v>44652</v>
      </c>
      <c r="P12" s="17"/>
      <c r="Q12" s="17"/>
      <c r="R12" s="17"/>
      <c r="S12" s="14"/>
    </row>
    <row r="13" spans="1:19">
      <c r="A13" s="15"/>
      <c r="B13" s="3"/>
      <c r="C13" s="3"/>
      <c r="D13" s="3"/>
      <c r="E13" s="3"/>
      <c r="I13" s="14"/>
      <c r="K13" s="15"/>
      <c r="L13" s="3"/>
      <c r="M13" s="3"/>
      <c r="N13" s="3"/>
      <c r="O13" s="3"/>
      <c r="S13" s="14"/>
    </row>
    <row r="14" spans="1:19">
      <c r="A14" s="19">
        <v>1</v>
      </c>
      <c r="B14" s="793" t="s">
        <v>56</v>
      </c>
      <c r="C14" s="793"/>
      <c r="D14" s="793"/>
      <c r="E14" s="20">
        <f>'BOM 04 22Master'!W17</f>
        <v>30</v>
      </c>
      <c r="F14" s="17"/>
      <c r="G14" s="17"/>
      <c r="H14" s="17"/>
      <c r="I14" s="14"/>
      <c r="K14" s="19">
        <v>1</v>
      </c>
      <c r="L14" s="793" t="s">
        <v>56</v>
      </c>
      <c r="M14" s="793"/>
      <c r="N14" s="793"/>
      <c r="O14" s="20">
        <f>E14</f>
        <v>30</v>
      </c>
      <c r="P14" s="17"/>
      <c r="Q14" s="17"/>
      <c r="R14" s="17"/>
      <c r="S14" s="14"/>
    </row>
    <row r="15" spans="1:19">
      <c r="A15" s="19"/>
      <c r="B15" s="3"/>
      <c r="C15" s="3"/>
      <c r="D15" s="3"/>
      <c r="E15" s="3"/>
      <c r="I15" s="14"/>
      <c r="K15" s="19"/>
      <c r="L15" s="3"/>
      <c r="M15" s="3"/>
      <c r="N15" s="3"/>
      <c r="O15" s="3"/>
      <c r="S15" s="14"/>
    </row>
    <row r="16" spans="1:19" ht="15" customHeight="1">
      <c r="A16" s="19">
        <v>2</v>
      </c>
      <c r="B16" s="798" t="s">
        <v>57</v>
      </c>
      <c r="C16" s="798"/>
      <c r="D16" s="798"/>
      <c r="E16" s="3"/>
      <c r="I16" s="14"/>
      <c r="K16" s="19">
        <v>2</v>
      </c>
      <c r="L16" s="798" t="s">
        <v>57</v>
      </c>
      <c r="M16" s="798"/>
      <c r="N16" s="798"/>
      <c r="O16" s="3"/>
      <c r="S16" s="14"/>
    </row>
    <row r="17" spans="1:19">
      <c r="A17" s="19"/>
      <c r="B17" s="798"/>
      <c r="C17" s="798"/>
      <c r="D17" s="798"/>
      <c r="E17" s="21" t="s">
        <v>37</v>
      </c>
      <c r="F17" s="17"/>
      <c r="G17" s="17"/>
      <c r="H17" s="17"/>
      <c r="I17" s="14"/>
      <c r="K17" s="19"/>
      <c r="L17" s="798"/>
      <c r="M17" s="798"/>
      <c r="N17" s="798"/>
      <c r="O17" s="21" t="s">
        <v>37</v>
      </c>
      <c r="P17" s="17"/>
      <c r="Q17" s="17"/>
      <c r="R17" s="17"/>
      <c r="S17" s="14"/>
    </row>
    <row r="18" spans="1:19">
      <c r="A18" s="19"/>
      <c r="B18" s="3"/>
      <c r="C18" s="3"/>
      <c r="D18" s="3"/>
      <c r="E18" s="3"/>
      <c r="I18" s="14"/>
      <c r="K18" s="19"/>
      <c r="L18" s="3"/>
      <c r="M18" s="3"/>
      <c r="N18" s="3"/>
      <c r="O18" s="3"/>
      <c r="S18" s="14"/>
    </row>
    <row r="19" spans="1:19">
      <c r="A19" s="19">
        <v>3</v>
      </c>
      <c r="B19" s="793" t="s">
        <v>58</v>
      </c>
      <c r="C19" s="793"/>
      <c r="D19" s="793"/>
      <c r="E19" s="21" t="s">
        <v>37</v>
      </c>
      <c r="F19" s="17"/>
      <c r="G19" s="17"/>
      <c r="H19" s="17"/>
      <c r="I19" s="14"/>
      <c r="K19" s="19">
        <v>3</v>
      </c>
      <c r="L19" s="793" t="s">
        <v>58</v>
      </c>
      <c r="M19" s="793"/>
      <c r="N19" s="793"/>
      <c r="O19" s="16" t="str">
        <f>E19</f>
        <v>N/A</v>
      </c>
      <c r="P19" s="17"/>
      <c r="Q19" s="17"/>
      <c r="R19" s="17"/>
      <c r="S19" s="14"/>
    </row>
    <row r="20" spans="1:19">
      <c r="A20" s="19"/>
      <c r="B20" s="3"/>
      <c r="C20" s="3"/>
      <c r="D20" s="3"/>
      <c r="E20" s="3"/>
      <c r="I20" s="14"/>
      <c r="K20" s="19"/>
      <c r="L20" s="3"/>
      <c r="M20" s="3"/>
      <c r="N20" s="3"/>
      <c r="O20" s="3"/>
      <c r="S20" s="14"/>
    </row>
    <row r="21" spans="1:19">
      <c r="A21" s="19">
        <v>4</v>
      </c>
      <c r="B21" s="793" t="s">
        <v>59</v>
      </c>
      <c r="C21" s="793"/>
      <c r="D21" s="793"/>
      <c r="E21" s="21" t="s">
        <v>60</v>
      </c>
      <c r="F21" s="17"/>
      <c r="G21" s="17"/>
      <c r="H21" s="17"/>
      <c r="I21" s="14"/>
      <c r="K21" s="19">
        <v>4</v>
      </c>
      <c r="L21" s="793" t="s">
        <v>59</v>
      </c>
      <c r="M21" s="793"/>
      <c r="N21" s="793"/>
      <c r="O21" s="21" t="s">
        <v>60</v>
      </c>
      <c r="P21" s="17"/>
      <c r="Q21" s="17"/>
      <c r="R21" s="17"/>
      <c r="S21" s="14"/>
    </row>
    <row r="22" spans="1:19">
      <c r="A22" s="19"/>
      <c r="B22" s="3"/>
      <c r="C22" s="3"/>
      <c r="D22" s="3"/>
      <c r="E22" s="3"/>
      <c r="I22" s="14"/>
      <c r="K22" s="19"/>
      <c r="L22" s="3"/>
      <c r="M22" s="3"/>
      <c r="N22" s="3"/>
      <c r="O22" s="3"/>
      <c r="S22" s="14"/>
    </row>
    <row r="23" spans="1:19">
      <c r="A23" s="19">
        <v>5</v>
      </c>
      <c r="B23" s="793" t="s">
        <v>61</v>
      </c>
      <c r="C23" s="793"/>
      <c r="D23" s="793"/>
      <c r="E23" s="289">
        <f>'BOM 04 22Master'!AM17</f>
        <v>123275.98033999999</v>
      </c>
      <c r="I23" s="14"/>
      <c r="K23" s="19">
        <v>5</v>
      </c>
      <c r="L23" s="793" t="s">
        <v>61</v>
      </c>
      <c r="M23" s="793"/>
      <c r="N23" s="793"/>
      <c r="O23" s="289">
        <f>E23</f>
        <v>123275.98033999999</v>
      </c>
      <c r="S23" s="14"/>
    </row>
    <row r="24" spans="1:19">
      <c r="A24" s="19"/>
      <c r="B24" s="3"/>
      <c r="C24" s="3"/>
      <c r="D24" s="290" t="s">
        <v>62</v>
      </c>
      <c r="E24" s="290" t="s">
        <v>31</v>
      </c>
      <c r="F24" s="290" t="s">
        <v>33</v>
      </c>
      <c r="G24" s="290" t="s">
        <v>34</v>
      </c>
      <c r="H24" s="290" t="s">
        <v>380</v>
      </c>
      <c r="I24" s="288" t="s">
        <v>381</v>
      </c>
      <c r="K24" s="19"/>
      <c r="L24" s="3"/>
      <c r="M24" s="3"/>
      <c r="N24" s="290" t="s">
        <v>62</v>
      </c>
      <c r="O24" s="290" t="s">
        <v>31</v>
      </c>
      <c r="P24" s="290" t="s">
        <v>33</v>
      </c>
      <c r="Q24" s="290" t="s">
        <v>34</v>
      </c>
      <c r="R24" s="290" t="s">
        <v>380</v>
      </c>
      <c r="S24" s="288" t="s">
        <v>381</v>
      </c>
    </row>
    <row r="25" spans="1:19">
      <c r="A25" s="19">
        <v>6</v>
      </c>
      <c r="B25" s="26" t="s">
        <v>63</v>
      </c>
      <c r="C25" s="26"/>
      <c r="D25" s="291">
        <f>'BOM 04 22Master'!AO17</f>
        <v>1800</v>
      </c>
      <c r="E25" s="291">
        <f>'BOM 04 22Master'!AN17</f>
        <v>0</v>
      </c>
      <c r="F25" s="292">
        <f>'BOM 04 22Master'!AP17</f>
        <v>200</v>
      </c>
      <c r="G25" s="291">
        <f>'BOM 04 22Master'!AQ17</f>
        <v>0</v>
      </c>
      <c r="H25" s="292">
        <f>'BOM 04 22Master'!AR17</f>
        <v>441</v>
      </c>
      <c r="I25" s="292">
        <f>D25+E25+F25+G25+H25</f>
        <v>2441</v>
      </c>
      <c r="K25" s="19">
        <v>6</v>
      </c>
      <c r="L25" s="26" t="s">
        <v>63</v>
      </c>
      <c r="M25" s="26"/>
      <c r="N25" s="291">
        <f t="shared" ref="N25:S25" si="0">D25</f>
        <v>1800</v>
      </c>
      <c r="O25" s="291">
        <f t="shared" si="0"/>
        <v>0</v>
      </c>
      <c r="P25" s="292">
        <f t="shared" si="0"/>
        <v>200</v>
      </c>
      <c r="Q25" s="291">
        <f t="shared" si="0"/>
        <v>0</v>
      </c>
      <c r="R25" s="292">
        <f t="shared" si="0"/>
        <v>441</v>
      </c>
      <c r="S25" s="292">
        <f t="shared" si="0"/>
        <v>2441</v>
      </c>
    </row>
    <row r="26" spans="1:19">
      <c r="A26" s="19"/>
      <c r="B26" s="3"/>
      <c r="C26" s="3"/>
      <c r="D26" s="3"/>
      <c r="E26" s="3"/>
      <c r="I26" s="14"/>
      <c r="K26" s="19"/>
      <c r="L26" s="3"/>
      <c r="M26" s="3"/>
      <c r="N26" s="3"/>
      <c r="O26" s="3"/>
      <c r="S26" s="14"/>
    </row>
    <row r="27" spans="1:19">
      <c r="A27" s="19">
        <v>7</v>
      </c>
      <c r="B27" s="793" t="s">
        <v>64</v>
      </c>
      <c r="C27" s="793"/>
      <c r="D27" s="793"/>
      <c r="E27" s="22">
        <f>E23-I25</f>
        <v>120834.98033999999</v>
      </c>
      <c r="F27" s="17"/>
      <c r="G27" s="17"/>
      <c r="H27" s="17"/>
      <c r="I27" s="14"/>
      <c r="K27" s="19">
        <v>7</v>
      </c>
      <c r="L27" s="793" t="s">
        <v>64</v>
      </c>
      <c r="M27" s="793"/>
      <c r="N27" s="793"/>
      <c r="O27" s="22">
        <f>E27</f>
        <v>120834.98033999999</v>
      </c>
      <c r="P27" s="17"/>
      <c r="Q27" s="17"/>
      <c r="R27" s="17"/>
      <c r="S27" s="14"/>
    </row>
    <row r="28" spans="1:19">
      <c r="A28" s="13"/>
      <c r="I28" s="14"/>
      <c r="K28" s="13"/>
      <c r="S28" s="14"/>
    </row>
    <row r="29" spans="1:19">
      <c r="A29" s="13"/>
      <c r="I29" s="14"/>
      <c r="K29" s="13"/>
      <c r="S29" s="14"/>
    </row>
    <row r="30" spans="1:19" ht="15.75" thickBot="1">
      <c r="A30" s="13"/>
      <c r="F30" s="23"/>
      <c r="G30" s="23"/>
      <c r="H30" s="23"/>
      <c r="I30" s="24"/>
      <c r="K30" s="13"/>
      <c r="P30" s="23"/>
      <c r="Q30" s="23"/>
      <c r="R30" s="23"/>
      <c r="S30" s="24"/>
    </row>
    <row r="31" spans="1:19" ht="15.75" thickBot="1">
      <c r="A31" s="25"/>
      <c r="B31" s="23"/>
      <c r="C31" s="23"/>
      <c r="D31" s="23"/>
      <c r="E31" s="23"/>
      <c r="F31" s="799" t="s">
        <v>65</v>
      </c>
      <c r="G31" s="799"/>
      <c r="H31" s="799"/>
      <c r="I31" s="800"/>
      <c r="K31" s="25"/>
      <c r="L31" s="23"/>
      <c r="M31" s="23"/>
      <c r="N31" s="23"/>
      <c r="O31" s="23"/>
      <c r="P31" s="799" t="s">
        <v>65</v>
      </c>
      <c r="Q31" s="799"/>
      <c r="R31" s="799"/>
      <c r="S31" s="800"/>
    </row>
    <row r="44" s="360" customFormat="1"/>
    <row r="45" s="360" customFormat="1"/>
    <row r="46" s="360" customFormat="1"/>
    <row r="48" s="360" customFormat="1"/>
    <row r="57" spans="1:19" s="360" customFormat="1"/>
    <row r="58" spans="1:19" s="360" customFormat="1"/>
    <row r="59" spans="1:19" s="360" customFormat="1"/>
    <row r="60" spans="1:19" s="360" customFormat="1" ht="15.75" thickBot="1"/>
    <row r="61" spans="1:19" ht="26.25">
      <c r="A61" s="801" t="s">
        <v>50</v>
      </c>
      <c r="B61" s="802"/>
      <c r="C61" s="802"/>
      <c r="D61" s="802"/>
      <c r="E61" s="802"/>
      <c r="F61" s="802"/>
      <c r="G61" s="802"/>
      <c r="H61" s="802"/>
      <c r="I61" s="803"/>
      <c r="K61" s="801" t="s">
        <v>50</v>
      </c>
      <c r="L61" s="802"/>
      <c r="M61" s="802"/>
      <c r="N61" s="802"/>
      <c r="O61" s="802"/>
      <c r="P61" s="802"/>
      <c r="Q61" s="802"/>
      <c r="R61" s="802"/>
      <c r="S61" s="803"/>
    </row>
    <row r="62" spans="1:19">
      <c r="A62" s="794" t="s">
        <v>51</v>
      </c>
      <c r="B62" s="795"/>
      <c r="C62" s="795"/>
      <c r="D62" s="795"/>
      <c r="E62" s="795"/>
      <c r="F62" s="795"/>
      <c r="G62" s="795"/>
      <c r="H62" s="795"/>
      <c r="I62" s="796"/>
      <c r="K62" s="794" t="s">
        <v>51</v>
      </c>
      <c r="L62" s="795"/>
      <c r="M62" s="795"/>
      <c r="N62" s="795"/>
      <c r="O62" s="795"/>
      <c r="P62" s="795"/>
      <c r="Q62" s="795"/>
      <c r="R62" s="795"/>
      <c r="S62" s="796"/>
    </row>
    <row r="63" spans="1:19">
      <c r="A63" s="13"/>
      <c r="I63" s="14"/>
      <c r="K63" s="13"/>
      <c r="S63" s="14"/>
    </row>
    <row r="64" spans="1:19">
      <c r="A64" s="15" t="s">
        <v>52</v>
      </c>
      <c r="B64" s="3"/>
      <c r="C64" s="3"/>
      <c r="D64" s="6" t="str">
        <f>'BOM 04 22Master'!F5</f>
        <v>Burgeon IT Services Pvt.Ltd.</v>
      </c>
      <c r="I64" s="14"/>
      <c r="K64" s="15" t="s">
        <v>52</v>
      </c>
      <c r="L64" s="3"/>
      <c r="M64" s="3"/>
      <c r="N64" s="6" t="str">
        <f>D64</f>
        <v>Burgeon IT Services Pvt.Ltd.</v>
      </c>
      <c r="S64" s="14"/>
    </row>
    <row r="65" spans="1:19">
      <c r="A65" s="15"/>
      <c r="B65" s="3" t="str">
        <f>'BOM 04 22Master'!F6</f>
        <v>Siri Mansion LIGB 436 Dr.A S Rao Nagar,Hyderabad</v>
      </c>
      <c r="C65" s="3"/>
      <c r="D65" s="3"/>
      <c r="I65" s="14"/>
      <c r="K65" s="15"/>
      <c r="L65" s="3" t="str">
        <f>B65</f>
        <v>Siri Mansion LIGB 436 Dr.A S Rao Nagar,Hyderabad</v>
      </c>
      <c r="M65" s="3"/>
      <c r="N65" s="3"/>
      <c r="S65" s="14"/>
    </row>
    <row r="66" spans="1:19">
      <c r="A66" s="15"/>
      <c r="B66" s="3">
        <f>'BOM 04 22Master'!F7</f>
        <v>0</v>
      </c>
      <c r="C66" s="3"/>
      <c r="D66" s="3"/>
      <c r="E66" s="3"/>
      <c r="I66" s="14"/>
      <c r="K66" s="15"/>
      <c r="L66" s="3">
        <f>B66</f>
        <v>0</v>
      </c>
      <c r="M66" s="3"/>
      <c r="N66" s="3"/>
      <c r="O66" s="3"/>
      <c r="S66" s="14"/>
    </row>
    <row r="67" spans="1:19" ht="15" customHeight="1">
      <c r="A67" s="797" t="s">
        <v>53</v>
      </c>
      <c r="B67" s="798"/>
      <c r="C67" s="798"/>
      <c r="D67" s="798"/>
      <c r="E67" s="3"/>
      <c r="I67" s="14"/>
      <c r="K67" s="797" t="s">
        <v>53</v>
      </c>
      <c r="L67" s="798"/>
      <c r="M67" s="798"/>
      <c r="N67" s="798"/>
      <c r="O67" s="3"/>
      <c r="S67" s="14"/>
    </row>
    <row r="68" spans="1:19">
      <c r="A68" s="797"/>
      <c r="B68" s="798"/>
      <c r="C68" s="798"/>
      <c r="D68" s="798"/>
      <c r="E68" s="16" t="e">
        <f>'BOM 04 22Master'!#REF!</f>
        <v>#REF!</v>
      </c>
      <c r="F68" s="17"/>
      <c r="G68" s="17"/>
      <c r="H68" s="17"/>
      <c r="I68" s="14"/>
      <c r="K68" s="797"/>
      <c r="L68" s="798"/>
      <c r="M68" s="798"/>
      <c r="N68" s="798"/>
      <c r="O68" s="16" t="e">
        <f>E68</f>
        <v>#REF!</v>
      </c>
      <c r="P68" s="17"/>
      <c r="Q68" s="17"/>
      <c r="R68" s="17"/>
      <c r="S68" s="14"/>
    </row>
    <row r="69" spans="1:19">
      <c r="A69" s="15"/>
      <c r="B69" s="3"/>
      <c r="C69" s="3"/>
      <c r="D69" s="3"/>
      <c r="E69" s="3"/>
      <c r="I69" s="14"/>
      <c r="K69" s="15"/>
      <c r="L69" s="3"/>
      <c r="M69" s="3"/>
      <c r="N69" s="3"/>
      <c r="O69" s="3"/>
      <c r="S69" s="14"/>
    </row>
    <row r="70" spans="1:19">
      <c r="A70" s="792" t="s">
        <v>54</v>
      </c>
      <c r="B70" s="793"/>
      <c r="C70" s="793"/>
      <c r="D70" s="793"/>
      <c r="E70" s="16" t="str">
        <f>'BOM 04 22Master'!F8</f>
        <v>IT SUPPORTIVE SERVICES&amp;MUMBAI</v>
      </c>
      <c r="F70" s="17"/>
      <c r="G70" s="17"/>
      <c r="H70" s="17"/>
      <c r="I70" s="14"/>
      <c r="K70" s="792" t="s">
        <v>54</v>
      </c>
      <c r="L70" s="793"/>
      <c r="M70" s="793"/>
      <c r="N70" s="793"/>
      <c r="O70" s="16" t="str">
        <f>E70</f>
        <v>IT SUPPORTIVE SERVICES&amp;MUMBAI</v>
      </c>
      <c r="P70" s="17"/>
      <c r="Q70" s="17"/>
      <c r="R70" s="17"/>
      <c r="S70" s="14"/>
    </row>
    <row r="71" spans="1:19">
      <c r="A71" s="15"/>
      <c r="B71" s="3"/>
      <c r="C71" s="3"/>
      <c r="D71" s="3"/>
      <c r="E71" s="3"/>
      <c r="I71" s="14"/>
      <c r="K71" s="15"/>
      <c r="L71" s="3"/>
      <c r="M71" s="3"/>
      <c r="N71" s="3"/>
      <c r="O71" s="3"/>
      <c r="S71" s="14"/>
    </row>
    <row r="72" spans="1:19">
      <c r="A72" s="792" t="s">
        <v>55</v>
      </c>
      <c r="B72" s="793"/>
      <c r="C72" s="793"/>
      <c r="D72" s="793"/>
      <c r="E72" s="18">
        <f>'BOM 04 22Master'!D10</f>
        <v>44652</v>
      </c>
      <c r="F72" s="17"/>
      <c r="G72" s="17"/>
      <c r="H72" s="17"/>
      <c r="I72" s="14"/>
      <c r="K72" s="792" t="s">
        <v>55</v>
      </c>
      <c r="L72" s="793"/>
      <c r="M72" s="793"/>
      <c r="N72" s="793"/>
      <c r="O72" s="18">
        <f>E72</f>
        <v>44652</v>
      </c>
      <c r="P72" s="17"/>
      <c r="Q72" s="17"/>
      <c r="R72" s="17"/>
      <c r="S72" s="14"/>
    </row>
    <row r="73" spans="1:19">
      <c r="A73" s="15"/>
      <c r="B73" s="3"/>
      <c r="C73" s="3"/>
      <c r="D73" s="3"/>
      <c r="E73" s="3"/>
      <c r="I73" s="14"/>
      <c r="K73" s="15"/>
      <c r="L73" s="3"/>
      <c r="M73" s="3"/>
      <c r="N73" s="3"/>
      <c r="O73" s="3"/>
      <c r="S73" s="14"/>
    </row>
    <row r="74" spans="1:19">
      <c r="A74" s="19">
        <v>1</v>
      </c>
      <c r="B74" s="793" t="s">
        <v>56</v>
      </c>
      <c r="C74" s="793"/>
      <c r="D74" s="793"/>
      <c r="E74" s="20" t="e">
        <f>'BOM 04 22Master'!#REF!</f>
        <v>#REF!</v>
      </c>
      <c r="F74" s="17"/>
      <c r="G74" s="17"/>
      <c r="H74" s="17"/>
      <c r="I74" s="14"/>
      <c r="K74" s="19">
        <v>1</v>
      </c>
      <c r="L74" s="793" t="s">
        <v>56</v>
      </c>
      <c r="M74" s="793"/>
      <c r="N74" s="793"/>
      <c r="O74" s="20" t="e">
        <f>E74</f>
        <v>#REF!</v>
      </c>
      <c r="P74" s="17"/>
      <c r="Q74" s="17"/>
      <c r="R74" s="17"/>
      <c r="S74" s="14"/>
    </row>
    <row r="75" spans="1:19">
      <c r="A75" s="19"/>
      <c r="B75" s="3"/>
      <c r="C75" s="3"/>
      <c r="D75" s="3"/>
      <c r="E75" s="3"/>
      <c r="I75" s="14"/>
      <c r="K75" s="19"/>
      <c r="L75" s="3"/>
      <c r="M75" s="3"/>
      <c r="N75" s="3"/>
      <c r="O75" s="3"/>
      <c r="S75" s="14"/>
    </row>
    <row r="76" spans="1:19" ht="15" customHeight="1">
      <c r="A76" s="19">
        <v>2</v>
      </c>
      <c r="B76" s="798" t="s">
        <v>57</v>
      </c>
      <c r="C76" s="798"/>
      <c r="D76" s="798"/>
      <c r="E76" s="3"/>
      <c r="I76" s="14"/>
      <c r="K76" s="19">
        <v>2</v>
      </c>
      <c r="L76" s="798" t="s">
        <v>57</v>
      </c>
      <c r="M76" s="798"/>
      <c r="N76" s="798"/>
      <c r="O76" s="3"/>
      <c r="S76" s="14"/>
    </row>
    <row r="77" spans="1:19">
      <c r="A77" s="19"/>
      <c r="B77" s="798"/>
      <c r="C77" s="798"/>
      <c r="D77" s="798"/>
      <c r="E77" s="21" t="s">
        <v>37</v>
      </c>
      <c r="F77" s="17"/>
      <c r="G77" s="17"/>
      <c r="H77" s="17"/>
      <c r="I77" s="14"/>
      <c r="K77" s="19"/>
      <c r="L77" s="798"/>
      <c r="M77" s="798"/>
      <c r="N77" s="798"/>
      <c r="O77" s="21" t="s">
        <v>37</v>
      </c>
      <c r="P77" s="17"/>
      <c r="Q77" s="17"/>
      <c r="R77" s="17"/>
      <c r="S77" s="14"/>
    </row>
    <row r="78" spans="1:19">
      <c r="A78" s="19"/>
      <c r="B78" s="3"/>
      <c r="C78" s="3"/>
      <c r="D78" s="3"/>
      <c r="E78" s="3"/>
      <c r="I78" s="14"/>
      <c r="K78" s="19"/>
      <c r="L78" s="3"/>
      <c r="M78" s="3"/>
      <c r="N78" s="3"/>
      <c r="O78" s="3"/>
      <c r="S78" s="14"/>
    </row>
    <row r="79" spans="1:19">
      <c r="A79" s="19">
        <v>3</v>
      </c>
      <c r="B79" s="793" t="s">
        <v>58</v>
      </c>
      <c r="C79" s="793"/>
      <c r="D79" s="793"/>
      <c r="E79" s="21" t="s">
        <v>37</v>
      </c>
      <c r="F79" s="17"/>
      <c r="G79" s="17"/>
      <c r="H79" s="17"/>
      <c r="I79" s="14"/>
      <c r="K79" s="19">
        <v>3</v>
      </c>
      <c r="L79" s="793" t="s">
        <v>58</v>
      </c>
      <c r="M79" s="793"/>
      <c r="N79" s="793"/>
      <c r="O79" s="16" t="str">
        <f>E79</f>
        <v>N/A</v>
      </c>
      <c r="P79" s="17"/>
      <c r="Q79" s="17"/>
      <c r="R79" s="17"/>
      <c r="S79" s="14"/>
    </row>
    <row r="80" spans="1:19">
      <c r="A80" s="19"/>
      <c r="B80" s="3"/>
      <c r="C80" s="3"/>
      <c r="D80" s="3"/>
      <c r="E80" s="3"/>
      <c r="I80" s="14"/>
      <c r="K80" s="19"/>
      <c r="L80" s="3"/>
      <c r="M80" s="3"/>
      <c r="N80" s="3"/>
      <c r="O80" s="3"/>
      <c r="S80" s="14"/>
    </row>
    <row r="81" spans="1:19">
      <c r="A81" s="19">
        <v>4</v>
      </c>
      <c r="B81" s="793" t="s">
        <v>59</v>
      </c>
      <c r="C81" s="793"/>
      <c r="D81" s="793"/>
      <c r="E81" s="21" t="s">
        <v>60</v>
      </c>
      <c r="F81" s="17"/>
      <c r="G81" s="17"/>
      <c r="H81" s="17"/>
      <c r="I81" s="14"/>
      <c r="K81" s="19">
        <v>4</v>
      </c>
      <c r="L81" s="793" t="s">
        <v>59</v>
      </c>
      <c r="M81" s="793"/>
      <c r="N81" s="793"/>
      <c r="O81" s="21" t="s">
        <v>60</v>
      </c>
      <c r="P81" s="17"/>
      <c r="Q81" s="17"/>
      <c r="R81" s="17"/>
      <c r="S81" s="14"/>
    </row>
    <row r="82" spans="1:19">
      <c r="A82" s="19"/>
      <c r="B82" s="3"/>
      <c r="C82" s="3"/>
      <c r="D82" s="3"/>
      <c r="E82" s="3"/>
      <c r="I82" s="14"/>
      <c r="K82" s="19"/>
      <c r="L82" s="3"/>
      <c r="M82" s="3"/>
      <c r="N82" s="3"/>
      <c r="O82" s="3"/>
      <c r="S82" s="14"/>
    </row>
    <row r="83" spans="1:19">
      <c r="A83" s="19">
        <v>5</v>
      </c>
      <c r="B83" s="793" t="s">
        <v>61</v>
      </c>
      <c r="C83" s="793"/>
      <c r="D83" s="793"/>
      <c r="E83" s="289" t="e">
        <f>'BOM 04 22Master'!#REF!</f>
        <v>#REF!</v>
      </c>
      <c r="I83" s="14"/>
      <c r="K83" s="19">
        <v>5</v>
      </c>
      <c r="L83" s="793" t="s">
        <v>61</v>
      </c>
      <c r="M83" s="793"/>
      <c r="N83" s="793"/>
      <c r="O83" s="289" t="e">
        <f>E83</f>
        <v>#REF!</v>
      </c>
      <c r="S83" s="14"/>
    </row>
    <row r="84" spans="1:19">
      <c r="A84" s="19"/>
      <c r="B84" s="3"/>
      <c r="C84" s="3"/>
      <c r="D84" s="290" t="s">
        <v>62</v>
      </c>
      <c r="E84" s="290" t="s">
        <v>31</v>
      </c>
      <c r="F84" s="290" t="s">
        <v>33</v>
      </c>
      <c r="G84" s="290" t="s">
        <v>34</v>
      </c>
      <c r="H84" s="290" t="s">
        <v>380</v>
      </c>
      <c r="I84" s="288" t="s">
        <v>381</v>
      </c>
      <c r="K84" s="19"/>
      <c r="L84" s="3"/>
      <c r="M84" s="3"/>
      <c r="N84" s="290" t="s">
        <v>62</v>
      </c>
      <c r="O84" s="290" t="s">
        <v>31</v>
      </c>
      <c r="P84" s="290" t="s">
        <v>33</v>
      </c>
      <c r="Q84" s="290" t="s">
        <v>34</v>
      </c>
      <c r="R84" s="290" t="s">
        <v>380</v>
      </c>
      <c r="S84" s="288" t="s">
        <v>381</v>
      </c>
    </row>
    <row r="85" spans="1:19">
      <c r="A85" s="19">
        <v>6</v>
      </c>
      <c r="B85" s="26" t="s">
        <v>63</v>
      </c>
      <c r="C85" s="26"/>
      <c r="D85" s="291" t="e">
        <f>'BOM 04 22Master'!#REF!</f>
        <v>#REF!</v>
      </c>
      <c r="E85" s="291" t="e">
        <f>'BOM 04 22Master'!#REF!</f>
        <v>#REF!</v>
      </c>
      <c r="F85" s="292" t="e">
        <f>'BOM 04 22Master'!#REF!</f>
        <v>#REF!</v>
      </c>
      <c r="G85" s="291" t="e">
        <f>'BOM 04 22Master'!#REF!</f>
        <v>#REF!</v>
      </c>
      <c r="H85" s="292" t="e">
        <f>'BOM 04 22Master'!#REF!</f>
        <v>#REF!</v>
      </c>
      <c r="I85" s="292" t="e">
        <f>D85+E85+F85+G85+H85</f>
        <v>#REF!</v>
      </c>
      <c r="K85" s="19">
        <v>6</v>
      </c>
      <c r="L85" s="26" t="s">
        <v>63</v>
      </c>
      <c r="M85" s="26"/>
      <c r="N85" s="291" t="e">
        <f t="shared" ref="N85:S85" si="1">D85</f>
        <v>#REF!</v>
      </c>
      <c r="O85" s="291" t="e">
        <f t="shared" si="1"/>
        <v>#REF!</v>
      </c>
      <c r="P85" s="292" t="e">
        <f t="shared" si="1"/>
        <v>#REF!</v>
      </c>
      <c r="Q85" s="291" t="e">
        <f t="shared" si="1"/>
        <v>#REF!</v>
      </c>
      <c r="R85" s="292" t="e">
        <f t="shared" si="1"/>
        <v>#REF!</v>
      </c>
      <c r="S85" s="292" t="e">
        <f t="shared" si="1"/>
        <v>#REF!</v>
      </c>
    </row>
    <row r="86" spans="1:19">
      <c r="A86" s="19"/>
      <c r="B86" s="3"/>
      <c r="C86" s="3"/>
      <c r="D86" s="3"/>
      <c r="E86" s="3"/>
      <c r="I86" s="14"/>
      <c r="K86" s="19"/>
      <c r="L86" s="3"/>
      <c r="M86" s="3"/>
      <c r="N86" s="3"/>
      <c r="O86" s="3"/>
      <c r="S86" s="14"/>
    </row>
    <row r="87" spans="1:19">
      <c r="A87" s="19">
        <v>7</v>
      </c>
      <c r="B87" s="793" t="s">
        <v>64</v>
      </c>
      <c r="C87" s="793"/>
      <c r="D87" s="793"/>
      <c r="E87" s="22" t="e">
        <f>E83-I85</f>
        <v>#REF!</v>
      </c>
      <c r="F87" s="17"/>
      <c r="G87" s="17"/>
      <c r="H87" s="17"/>
      <c r="I87" s="14"/>
      <c r="K87" s="19">
        <v>7</v>
      </c>
      <c r="L87" s="793" t="s">
        <v>64</v>
      </c>
      <c r="M87" s="793"/>
      <c r="N87" s="793"/>
      <c r="O87" s="22" t="e">
        <f>E87</f>
        <v>#REF!</v>
      </c>
      <c r="P87" s="17"/>
      <c r="Q87" s="17"/>
      <c r="R87" s="17"/>
      <c r="S87" s="14"/>
    </row>
    <row r="88" spans="1:19">
      <c r="A88" s="13"/>
      <c r="I88" s="14"/>
      <c r="K88" s="13"/>
      <c r="S88" s="14"/>
    </row>
    <row r="89" spans="1:19">
      <c r="A89" s="13"/>
      <c r="I89" s="14"/>
      <c r="K89" s="13"/>
      <c r="S89" s="14"/>
    </row>
    <row r="90" spans="1:19" ht="15.75" thickBot="1">
      <c r="A90" s="13"/>
      <c r="F90" s="23"/>
      <c r="G90" s="23"/>
      <c r="H90" s="23"/>
      <c r="I90" s="24"/>
      <c r="K90" s="13"/>
      <c r="P90" s="23"/>
      <c r="Q90" s="23"/>
      <c r="R90" s="23"/>
      <c r="S90" s="24"/>
    </row>
    <row r="91" spans="1:19" ht="15.75" thickBot="1">
      <c r="A91" s="25"/>
      <c r="B91" s="23"/>
      <c r="C91" s="23"/>
      <c r="D91" s="23"/>
      <c r="E91" s="23"/>
      <c r="F91" s="799" t="s">
        <v>65</v>
      </c>
      <c r="G91" s="799"/>
      <c r="H91" s="799"/>
      <c r="I91" s="800"/>
      <c r="K91" s="25"/>
      <c r="L91" s="23"/>
      <c r="M91" s="23"/>
      <c r="N91" s="23"/>
      <c r="O91" s="23"/>
      <c r="P91" s="799" t="s">
        <v>65</v>
      </c>
      <c r="Q91" s="799"/>
      <c r="R91" s="799"/>
      <c r="S91" s="800"/>
    </row>
    <row r="104" spans="1:19" ht="15.75" thickBot="1"/>
    <row r="105" spans="1:19" ht="26.25">
      <c r="A105" s="801" t="s">
        <v>50</v>
      </c>
      <c r="B105" s="802"/>
      <c r="C105" s="802"/>
      <c r="D105" s="802"/>
      <c r="E105" s="802"/>
      <c r="F105" s="802"/>
      <c r="G105" s="802"/>
      <c r="H105" s="802"/>
      <c r="I105" s="803"/>
      <c r="K105" s="801" t="s">
        <v>50</v>
      </c>
      <c r="L105" s="802"/>
      <c r="M105" s="802"/>
      <c r="N105" s="802"/>
      <c r="O105" s="802"/>
      <c r="P105" s="802"/>
      <c r="Q105" s="802"/>
      <c r="R105" s="802"/>
      <c r="S105" s="803"/>
    </row>
    <row r="106" spans="1:19">
      <c r="A106" s="794" t="s">
        <v>51</v>
      </c>
      <c r="B106" s="795"/>
      <c r="C106" s="795"/>
      <c r="D106" s="795"/>
      <c r="E106" s="795"/>
      <c r="F106" s="795"/>
      <c r="G106" s="795"/>
      <c r="H106" s="795"/>
      <c r="I106" s="796"/>
      <c r="K106" s="794" t="s">
        <v>51</v>
      </c>
      <c r="L106" s="795"/>
      <c r="M106" s="795"/>
      <c r="N106" s="795"/>
      <c r="O106" s="795"/>
      <c r="P106" s="795"/>
      <c r="Q106" s="795"/>
      <c r="R106" s="795"/>
      <c r="S106" s="796"/>
    </row>
    <row r="107" spans="1:19">
      <c r="A107" s="13"/>
      <c r="I107" s="14"/>
      <c r="K107" s="13"/>
      <c r="S107" s="14"/>
    </row>
    <row r="108" spans="1:19">
      <c r="A108" s="15" t="s">
        <v>52</v>
      </c>
      <c r="B108" s="3"/>
      <c r="C108" s="3"/>
      <c r="D108" s="6">
        <f>'BOM 04 22Master'!F365</f>
        <v>0</v>
      </c>
      <c r="I108" s="14"/>
      <c r="K108" s="15" t="s">
        <v>52</v>
      </c>
      <c r="L108" s="3"/>
      <c r="M108" s="3"/>
      <c r="N108" s="6">
        <f>D108</f>
        <v>0</v>
      </c>
      <c r="S108" s="14"/>
    </row>
    <row r="109" spans="1:19">
      <c r="A109" s="15"/>
      <c r="B109" s="3">
        <f>'BOM 04 22Master'!F366</f>
        <v>0</v>
      </c>
      <c r="C109" s="3"/>
      <c r="D109" s="3"/>
      <c r="I109" s="14"/>
      <c r="K109" s="15"/>
      <c r="L109" s="3">
        <f>B109</f>
        <v>0</v>
      </c>
      <c r="M109" s="3"/>
      <c r="N109" s="3"/>
      <c r="S109" s="14"/>
    </row>
    <row r="110" spans="1:19">
      <c r="A110" s="15"/>
      <c r="B110" s="3">
        <f>'BOM 04 22Master'!F367</f>
        <v>0</v>
      </c>
      <c r="C110" s="3"/>
      <c r="D110" s="3"/>
      <c r="E110" s="3"/>
      <c r="I110" s="14"/>
      <c r="K110" s="15"/>
      <c r="L110" s="3">
        <f>B110</f>
        <v>0</v>
      </c>
      <c r="M110" s="3"/>
      <c r="N110" s="3"/>
      <c r="O110" s="3"/>
      <c r="S110" s="14"/>
    </row>
    <row r="111" spans="1:19" ht="15" customHeight="1">
      <c r="A111" s="797" t="s">
        <v>53</v>
      </c>
      <c r="B111" s="798"/>
      <c r="C111" s="798"/>
      <c r="D111" s="798"/>
      <c r="E111" s="3"/>
      <c r="I111" s="14"/>
      <c r="K111" s="797" t="s">
        <v>53</v>
      </c>
      <c r="L111" s="798"/>
      <c r="M111" s="798"/>
      <c r="N111" s="798"/>
      <c r="O111" s="3"/>
      <c r="S111" s="14"/>
    </row>
    <row r="112" spans="1:19">
      <c r="A112" s="797"/>
      <c r="B112" s="798"/>
      <c r="C112" s="798"/>
      <c r="D112" s="798"/>
      <c r="E112" s="16">
        <f>'BOM 04 22Master'!U378</f>
        <v>0</v>
      </c>
      <c r="F112" s="17"/>
      <c r="G112" s="17"/>
      <c r="H112" s="17"/>
      <c r="I112" s="14"/>
      <c r="K112" s="797"/>
      <c r="L112" s="798"/>
      <c r="M112" s="798"/>
      <c r="N112" s="798"/>
      <c r="O112" s="16">
        <f>E112</f>
        <v>0</v>
      </c>
      <c r="P112" s="17"/>
      <c r="Q112" s="17"/>
      <c r="R112" s="17"/>
      <c r="S112" s="14"/>
    </row>
    <row r="113" spans="1:19">
      <c r="A113" s="15"/>
      <c r="B113" s="3"/>
      <c r="C113" s="3"/>
      <c r="D113" s="3"/>
      <c r="E113" s="3"/>
      <c r="I113" s="14"/>
      <c r="K113" s="15"/>
      <c r="L113" s="3"/>
      <c r="M113" s="3"/>
      <c r="N113" s="3"/>
      <c r="O113" s="3"/>
      <c r="S113" s="14"/>
    </row>
    <row r="114" spans="1:19">
      <c r="A114" s="792" t="s">
        <v>54</v>
      </c>
      <c r="B114" s="793"/>
      <c r="C114" s="793"/>
      <c r="D114" s="793"/>
      <c r="E114" s="16">
        <f>'BOM 04 22Master'!F368</f>
        <v>0</v>
      </c>
      <c r="F114" s="17"/>
      <c r="G114" s="17"/>
      <c r="H114" s="17"/>
      <c r="I114" s="14"/>
      <c r="K114" s="792" t="s">
        <v>54</v>
      </c>
      <c r="L114" s="793"/>
      <c r="M114" s="793"/>
      <c r="N114" s="793"/>
      <c r="O114" s="16">
        <f>E114</f>
        <v>0</v>
      </c>
      <c r="P114" s="17"/>
      <c r="Q114" s="17"/>
      <c r="R114" s="17"/>
      <c r="S114" s="14"/>
    </row>
    <row r="115" spans="1:19">
      <c r="A115" s="15"/>
      <c r="B115" s="3"/>
      <c r="C115" s="3"/>
      <c r="D115" s="3"/>
      <c r="E115" s="3"/>
      <c r="I115" s="14"/>
      <c r="K115" s="15"/>
      <c r="L115" s="3"/>
      <c r="M115" s="3"/>
      <c r="N115" s="3"/>
      <c r="O115" s="3"/>
      <c r="S115" s="14"/>
    </row>
    <row r="116" spans="1:19">
      <c r="A116" s="792" t="s">
        <v>55</v>
      </c>
      <c r="B116" s="793"/>
      <c r="C116" s="793"/>
      <c r="D116" s="793"/>
      <c r="E116" s="18">
        <f>'BOM 04 22Master'!D370</f>
        <v>0</v>
      </c>
      <c r="F116" s="17"/>
      <c r="G116" s="17"/>
      <c r="H116" s="17"/>
      <c r="I116" s="14"/>
      <c r="K116" s="792" t="s">
        <v>55</v>
      </c>
      <c r="L116" s="793"/>
      <c r="M116" s="793"/>
      <c r="N116" s="793"/>
      <c r="O116" s="18">
        <f>E116</f>
        <v>0</v>
      </c>
      <c r="P116" s="17"/>
      <c r="Q116" s="17"/>
      <c r="R116" s="17"/>
      <c r="S116" s="14"/>
    </row>
    <row r="117" spans="1:19">
      <c r="A117" s="15"/>
      <c r="B117" s="3"/>
      <c r="C117" s="3"/>
      <c r="D117" s="3"/>
      <c r="E117" s="3"/>
      <c r="I117" s="14"/>
      <c r="K117" s="15"/>
      <c r="L117" s="3"/>
      <c r="M117" s="3"/>
      <c r="N117" s="3"/>
      <c r="O117" s="3"/>
      <c r="S117" s="14"/>
    </row>
    <row r="118" spans="1:19">
      <c r="A118" s="19">
        <v>1</v>
      </c>
      <c r="B118" s="793" t="s">
        <v>56</v>
      </c>
      <c r="C118" s="793"/>
      <c r="D118" s="793"/>
      <c r="E118" s="20">
        <f>'BOM 04 22Master'!W378</f>
        <v>0</v>
      </c>
      <c r="F118" s="17"/>
      <c r="G118" s="17"/>
      <c r="H118" s="17"/>
      <c r="I118" s="14"/>
      <c r="K118" s="19">
        <v>1</v>
      </c>
      <c r="L118" s="793" t="s">
        <v>56</v>
      </c>
      <c r="M118" s="793"/>
      <c r="N118" s="793"/>
      <c r="O118" s="20">
        <f>E118</f>
        <v>0</v>
      </c>
      <c r="P118" s="17"/>
      <c r="Q118" s="17"/>
      <c r="R118" s="17"/>
      <c r="S118" s="14"/>
    </row>
    <row r="119" spans="1:19">
      <c r="A119" s="19"/>
      <c r="B119" s="3"/>
      <c r="C119" s="3"/>
      <c r="D119" s="3"/>
      <c r="E119" s="3"/>
      <c r="I119" s="14"/>
      <c r="K119" s="19"/>
      <c r="L119" s="3"/>
      <c r="M119" s="3"/>
      <c r="N119" s="3"/>
      <c r="O119" s="3"/>
      <c r="S119" s="14"/>
    </row>
    <row r="120" spans="1:19" ht="15" customHeight="1">
      <c r="A120" s="19">
        <v>2</v>
      </c>
      <c r="B120" s="798" t="s">
        <v>57</v>
      </c>
      <c r="C120" s="798"/>
      <c r="D120" s="798"/>
      <c r="E120" s="3"/>
      <c r="I120" s="14"/>
      <c r="K120" s="19">
        <v>2</v>
      </c>
      <c r="L120" s="798" t="s">
        <v>57</v>
      </c>
      <c r="M120" s="798"/>
      <c r="N120" s="798"/>
      <c r="O120" s="3"/>
      <c r="S120" s="14"/>
    </row>
    <row r="121" spans="1:19">
      <c r="A121" s="19"/>
      <c r="B121" s="798"/>
      <c r="C121" s="798"/>
      <c r="D121" s="798"/>
      <c r="E121" s="21" t="s">
        <v>37</v>
      </c>
      <c r="F121" s="17"/>
      <c r="G121" s="17"/>
      <c r="H121" s="17"/>
      <c r="I121" s="14"/>
      <c r="K121" s="19"/>
      <c r="L121" s="798"/>
      <c r="M121" s="798"/>
      <c r="N121" s="798"/>
      <c r="O121" s="21" t="s">
        <v>37</v>
      </c>
      <c r="P121" s="17"/>
      <c r="Q121" s="17"/>
      <c r="R121" s="17"/>
      <c r="S121" s="14"/>
    </row>
    <row r="122" spans="1:19">
      <c r="A122" s="19"/>
      <c r="B122" s="3"/>
      <c r="C122" s="3"/>
      <c r="D122" s="3"/>
      <c r="E122" s="3"/>
      <c r="I122" s="14"/>
      <c r="K122" s="19"/>
      <c r="L122" s="3"/>
      <c r="M122" s="3"/>
      <c r="N122" s="3"/>
      <c r="O122" s="3"/>
      <c r="S122" s="14"/>
    </row>
    <row r="123" spans="1:19">
      <c r="A123" s="19">
        <v>3</v>
      </c>
      <c r="B123" s="793" t="s">
        <v>58</v>
      </c>
      <c r="C123" s="793"/>
      <c r="D123" s="793"/>
      <c r="E123" s="21" t="s">
        <v>37</v>
      </c>
      <c r="F123" s="17"/>
      <c r="G123" s="17"/>
      <c r="H123" s="17"/>
      <c r="I123" s="14"/>
      <c r="K123" s="19">
        <v>3</v>
      </c>
      <c r="L123" s="793" t="s">
        <v>58</v>
      </c>
      <c r="M123" s="793"/>
      <c r="N123" s="793"/>
      <c r="O123" s="16" t="str">
        <f>E123</f>
        <v>N/A</v>
      </c>
      <c r="P123" s="17"/>
      <c r="Q123" s="17"/>
      <c r="R123" s="17"/>
      <c r="S123" s="14"/>
    </row>
    <row r="124" spans="1:19">
      <c r="A124" s="19"/>
      <c r="B124" s="3"/>
      <c r="C124" s="3"/>
      <c r="D124" s="3"/>
      <c r="E124" s="3"/>
      <c r="I124" s="14"/>
      <c r="K124" s="19"/>
      <c r="L124" s="3"/>
      <c r="M124" s="3"/>
      <c r="N124" s="3"/>
      <c r="O124" s="3"/>
      <c r="S124" s="14"/>
    </row>
    <row r="125" spans="1:19">
      <c r="A125" s="19">
        <v>4</v>
      </c>
      <c r="B125" s="793" t="s">
        <v>59</v>
      </c>
      <c r="C125" s="793"/>
      <c r="D125" s="793"/>
      <c r="E125" s="21" t="s">
        <v>60</v>
      </c>
      <c r="F125" s="17"/>
      <c r="G125" s="17"/>
      <c r="H125" s="17"/>
      <c r="I125" s="14"/>
      <c r="K125" s="19">
        <v>4</v>
      </c>
      <c r="L125" s="793" t="s">
        <v>59</v>
      </c>
      <c r="M125" s="793"/>
      <c r="N125" s="793"/>
      <c r="O125" s="21" t="s">
        <v>60</v>
      </c>
      <c r="P125" s="17"/>
      <c r="Q125" s="17"/>
      <c r="R125" s="17"/>
      <c r="S125" s="14"/>
    </row>
    <row r="126" spans="1:19">
      <c r="A126" s="19"/>
      <c r="B126" s="3"/>
      <c r="C126" s="3"/>
      <c r="D126" s="3"/>
      <c r="E126" s="3"/>
      <c r="I126" s="14"/>
      <c r="K126" s="19"/>
      <c r="L126" s="3"/>
      <c r="M126" s="3"/>
      <c r="N126" s="3"/>
      <c r="O126" s="3"/>
      <c r="S126" s="14"/>
    </row>
    <row r="127" spans="1:19">
      <c r="A127" s="19">
        <v>5</v>
      </c>
      <c r="B127" s="793" t="s">
        <v>61</v>
      </c>
      <c r="C127" s="793"/>
      <c r="D127" s="793"/>
      <c r="E127" s="289">
        <f>'BOM 04 22Master'!AM378</f>
        <v>0</v>
      </c>
      <c r="I127" s="14"/>
      <c r="K127" s="19">
        <v>5</v>
      </c>
      <c r="L127" s="793" t="s">
        <v>61</v>
      </c>
      <c r="M127" s="793"/>
      <c r="N127" s="793"/>
      <c r="O127" s="289">
        <f>E127</f>
        <v>0</v>
      </c>
      <c r="S127" s="14"/>
    </row>
    <row r="128" spans="1:19">
      <c r="A128" s="19"/>
      <c r="B128" s="3"/>
      <c r="C128" s="3"/>
      <c r="D128" s="290" t="s">
        <v>62</v>
      </c>
      <c r="E128" s="290" t="s">
        <v>31</v>
      </c>
      <c r="F128" s="290" t="s">
        <v>33</v>
      </c>
      <c r="G128" s="290" t="s">
        <v>34</v>
      </c>
      <c r="H128" s="290" t="s">
        <v>380</v>
      </c>
      <c r="I128" s="288" t="s">
        <v>381</v>
      </c>
      <c r="K128" s="19"/>
      <c r="L128" s="3"/>
      <c r="M128" s="3"/>
      <c r="N128" s="290" t="s">
        <v>62</v>
      </c>
      <c r="O128" s="290" t="s">
        <v>31</v>
      </c>
      <c r="P128" s="290" t="s">
        <v>33</v>
      </c>
      <c r="Q128" s="290" t="s">
        <v>34</v>
      </c>
      <c r="R128" s="290" t="s">
        <v>380</v>
      </c>
      <c r="S128" s="288" t="s">
        <v>381</v>
      </c>
    </row>
    <row r="129" spans="1:19">
      <c r="A129" s="19">
        <v>6</v>
      </c>
      <c r="B129" s="26" t="s">
        <v>63</v>
      </c>
      <c r="C129" s="26"/>
      <c r="D129" s="291">
        <f>'BOM 04 22Master'!AO378</f>
        <v>0</v>
      </c>
      <c r="E129" s="291">
        <f>'BOM 04 22Master'!AN378</f>
        <v>0</v>
      </c>
      <c r="F129" s="292">
        <f>'BOM 04 22Master'!AP378</f>
        <v>0</v>
      </c>
      <c r="G129" s="291">
        <f>'BOM 04 22Master'!AQ378</f>
        <v>0</v>
      </c>
      <c r="H129" s="292">
        <f>'BOM 04 22Master'!AR378</f>
        <v>0</v>
      </c>
      <c r="I129" s="292">
        <f>'BOM 04 22Master'!AS378</f>
        <v>0</v>
      </c>
      <c r="K129" s="19">
        <v>6</v>
      </c>
      <c r="L129" s="26" t="s">
        <v>63</v>
      </c>
      <c r="M129" s="26"/>
      <c r="N129" s="291">
        <f t="shared" ref="N129:S129" si="2">D129</f>
        <v>0</v>
      </c>
      <c r="O129" s="291">
        <f t="shared" si="2"/>
        <v>0</v>
      </c>
      <c r="P129" s="292">
        <f t="shared" si="2"/>
        <v>0</v>
      </c>
      <c r="Q129" s="291">
        <f t="shared" si="2"/>
        <v>0</v>
      </c>
      <c r="R129" s="292">
        <f t="shared" si="2"/>
        <v>0</v>
      </c>
      <c r="S129" s="292">
        <f t="shared" si="2"/>
        <v>0</v>
      </c>
    </row>
    <row r="130" spans="1:19">
      <c r="A130" s="19"/>
      <c r="B130" s="3"/>
      <c r="C130" s="3"/>
      <c r="D130" s="3"/>
      <c r="E130" s="3"/>
      <c r="I130" s="14"/>
      <c r="K130" s="19"/>
      <c r="L130" s="3"/>
      <c r="M130" s="3"/>
      <c r="N130" s="3"/>
      <c r="O130" s="3"/>
      <c r="S130" s="14"/>
    </row>
    <row r="131" spans="1:19">
      <c r="A131" s="19">
        <v>7</v>
      </c>
      <c r="B131" s="793" t="s">
        <v>64</v>
      </c>
      <c r="C131" s="793"/>
      <c r="D131" s="793"/>
      <c r="E131" s="22">
        <f>E127-I129</f>
        <v>0</v>
      </c>
      <c r="F131" s="17"/>
      <c r="G131" s="17"/>
      <c r="H131" s="17"/>
      <c r="I131" s="14"/>
      <c r="K131" s="19">
        <v>7</v>
      </c>
      <c r="L131" s="793" t="s">
        <v>64</v>
      </c>
      <c r="M131" s="793"/>
      <c r="N131" s="793"/>
      <c r="O131" s="22">
        <f>E131</f>
        <v>0</v>
      </c>
      <c r="P131" s="17"/>
      <c r="Q131" s="17"/>
      <c r="R131" s="17"/>
      <c r="S131" s="14"/>
    </row>
    <row r="132" spans="1:19">
      <c r="A132" s="13"/>
      <c r="I132" s="14"/>
      <c r="K132" s="13"/>
      <c r="S132" s="14"/>
    </row>
    <row r="133" spans="1:19">
      <c r="A133" s="13"/>
      <c r="I133" s="14"/>
      <c r="K133" s="13"/>
      <c r="S133" s="14"/>
    </row>
    <row r="134" spans="1:19" ht="15.75" thickBot="1">
      <c r="A134" s="13"/>
      <c r="F134" s="23"/>
      <c r="G134" s="23"/>
      <c r="H134" s="23"/>
      <c r="I134" s="24"/>
      <c r="K134" s="13"/>
      <c r="P134" s="23"/>
      <c r="Q134" s="23"/>
      <c r="R134" s="23"/>
      <c r="S134" s="24"/>
    </row>
    <row r="135" spans="1:19" ht="15.75" thickBot="1">
      <c r="A135" s="25"/>
      <c r="B135" s="23"/>
      <c r="C135" s="23"/>
      <c r="D135" s="23"/>
      <c r="E135" s="23"/>
      <c r="F135" s="799" t="s">
        <v>65</v>
      </c>
      <c r="G135" s="799"/>
      <c r="H135" s="799"/>
      <c r="I135" s="800"/>
      <c r="K135" s="25"/>
      <c r="L135" s="23"/>
      <c r="M135" s="23"/>
      <c r="N135" s="23"/>
      <c r="O135" s="23"/>
      <c r="P135" s="799" t="s">
        <v>65</v>
      </c>
      <c r="Q135" s="799"/>
      <c r="R135" s="799"/>
      <c r="S135" s="800"/>
    </row>
    <row r="148" spans="1:19" ht="15.75" thickBot="1"/>
    <row r="149" spans="1:19" ht="26.25">
      <c r="A149" s="801" t="s">
        <v>50</v>
      </c>
      <c r="B149" s="802"/>
      <c r="C149" s="802"/>
      <c r="D149" s="802"/>
      <c r="E149" s="802"/>
      <c r="F149" s="802"/>
      <c r="G149" s="802"/>
      <c r="H149" s="802"/>
      <c r="I149" s="803"/>
      <c r="K149" s="801" t="s">
        <v>50</v>
      </c>
      <c r="L149" s="802"/>
      <c r="M149" s="802"/>
      <c r="N149" s="802"/>
      <c r="O149" s="802"/>
      <c r="P149" s="802"/>
      <c r="Q149" s="802"/>
      <c r="R149" s="802"/>
      <c r="S149" s="803"/>
    </row>
    <row r="150" spans="1:19">
      <c r="A150" s="794" t="s">
        <v>51</v>
      </c>
      <c r="B150" s="795"/>
      <c r="C150" s="795"/>
      <c r="D150" s="795"/>
      <c r="E150" s="795"/>
      <c r="F150" s="795"/>
      <c r="G150" s="795"/>
      <c r="H150" s="795"/>
      <c r="I150" s="796"/>
      <c r="K150" s="794" t="s">
        <v>51</v>
      </c>
      <c r="L150" s="795"/>
      <c r="M150" s="795"/>
      <c r="N150" s="795"/>
      <c r="O150" s="795"/>
      <c r="P150" s="795"/>
      <c r="Q150" s="795"/>
      <c r="R150" s="795"/>
      <c r="S150" s="796"/>
    </row>
    <row r="151" spans="1:19">
      <c r="A151" s="13"/>
      <c r="I151" s="14"/>
      <c r="K151" s="13"/>
      <c r="S151" s="14"/>
    </row>
    <row r="152" spans="1:19">
      <c r="A152" s="15" t="s">
        <v>52</v>
      </c>
      <c r="B152" s="3"/>
      <c r="C152" s="3"/>
      <c r="D152" s="6">
        <f>'BOM 04 22Master'!F409</f>
        <v>0</v>
      </c>
      <c r="I152" s="14"/>
      <c r="K152" s="15" t="s">
        <v>52</v>
      </c>
      <c r="L152" s="3"/>
      <c r="M152" s="3"/>
      <c r="N152" s="6">
        <f>D152</f>
        <v>0</v>
      </c>
      <c r="S152" s="14"/>
    </row>
    <row r="153" spans="1:19">
      <c r="A153" s="15"/>
      <c r="B153" s="3">
        <f>'BOM 04 22Master'!F410</f>
        <v>0</v>
      </c>
      <c r="C153" s="3"/>
      <c r="D153" s="3"/>
      <c r="I153" s="14"/>
      <c r="K153" s="15"/>
      <c r="L153" s="3">
        <f>B153</f>
        <v>0</v>
      </c>
      <c r="M153" s="3"/>
      <c r="N153" s="3"/>
      <c r="S153" s="14"/>
    </row>
    <row r="154" spans="1:19">
      <c r="A154" s="15"/>
      <c r="B154" s="3">
        <f>'BOM 04 22Master'!F411</f>
        <v>0</v>
      </c>
      <c r="C154" s="3"/>
      <c r="D154" s="3"/>
      <c r="E154" s="3"/>
      <c r="I154" s="14"/>
      <c r="K154" s="15"/>
      <c r="L154" s="3">
        <f>B154</f>
        <v>0</v>
      </c>
      <c r="M154" s="3"/>
      <c r="N154" s="3"/>
      <c r="O154" s="3"/>
      <c r="S154" s="14"/>
    </row>
    <row r="155" spans="1:19" ht="15" customHeight="1">
      <c r="A155" s="797" t="s">
        <v>53</v>
      </c>
      <c r="B155" s="798"/>
      <c r="C155" s="798"/>
      <c r="D155" s="798"/>
      <c r="E155" s="3"/>
      <c r="I155" s="14"/>
      <c r="K155" s="797" t="s">
        <v>53</v>
      </c>
      <c r="L155" s="798"/>
      <c r="M155" s="798"/>
      <c r="N155" s="798"/>
      <c r="O155" s="3"/>
      <c r="S155" s="14"/>
    </row>
    <row r="156" spans="1:19">
      <c r="A156" s="797"/>
      <c r="B156" s="798"/>
      <c r="C156" s="798"/>
      <c r="D156" s="798"/>
      <c r="E156" s="16">
        <f>'BOM 04 22Master'!U422</f>
        <v>0</v>
      </c>
      <c r="F156" s="17"/>
      <c r="G156" s="17"/>
      <c r="H156" s="17"/>
      <c r="I156" s="14"/>
      <c r="K156" s="797"/>
      <c r="L156" s="798"/>
      <c r="M156" s="798"/>
      <c r="N156" s="798"/>
      <c r="O156" s="16">
        <f>E156</f>
        <v>0</v>
      </c>
      <c r="P156" s="17"/>
      <c r="Q156" s="17"/>
      <c r="R156" s="17"/>
      <c r="S156" s="14"/>
    </row>
    <row r="157" spans="1:19">
      <c r="A157" s="15"/>
      <c r="B157" s="3"/>
      <c r="C157" s="3"/>
      <c r="D157" s="3"/>
      <c r="E157" s="3"/>
      <c r="I157" s="14"/>
      <c r="K157" s="15"/>
      <c r="L157" s="3"/>
      <c r="M157" s="3"/>
      <c r="N157" s="3"/>
      <c r="O157" s="3"/>
      <c r="S157" s="14"/>
    </row>
    <row r="158" spans="1:19">
      <c r="A158" s="792" t="s">
        <v>54</v>
      </c>
      <c r="B158" s="793"/>
      <c r="C158" s="793"/>
      <c r="D158" s="793"/>
      <c r="E158" s="16">
        <f>'BOM 04 22Master'!F412</f>
        <v>0</v>
      </c>
      <c r="F158" s="17"/>
      <c r="G158" s="17"/>
      <c r="H158" s="17"/>
      <c r="I158" s="14"/>
      <c r="K158" s="792" t="s">
        <v>54</v>
      </c>
      <c r="L158" s="793"/>
      <c r="M158" s="793"/>
      <c r="N158" s="793"/>
      <c r="O158" s="16">
        <f>E158</f>
        <v>0</v>
      </c>
      <c r="P158" s="17"/>
      <c r="Q158" s="17"/>
      <c r="R158" s="17"/>
      <c r="S158" s="14"/>
    </row>
    <row r="159" spans="1:19">
      <c r="A159" s="15"/>
      <c r="B159" s="3"/>
      <c r="C159" s="3"/>
      <c r="D159" s="3"/>
      <c r="E159" s="3"/>
      <c r="I159" s="14"/>
      <c r="K159" s="15"/>
      <c r="L159" s="3"/>
      <c r="M159" s="3"/>
      <c r="N159" s="3"/>
      <c r="O159" s="3"/>
      <c r="S159" s="14"/>
    </row>
    <row r="160" spans="1:19">
      <c r="A160" s="792" t="s">
        <v>55</v>
      </c>
      <c r="B160" s="793"/>
      <c r="C160" s="793"/>
      <c r="D160" s="793"/>
      <c r="E160" s="18">
        <f>'BOM 04 22Master'!D414</f>
        <v>0</v>
      </c>
      <c r="F160" s="17"/>
      <c r="G160" s="17"/>
      <c r="H160" s="17"/>
      <c r="I160" s="14"/>
      <c r="K160" s="792" t="s">
        <v>55</v>
      </c>
      <c r="L160" s="793"/>
      <c r="M160" s="793"/>
      <c r="N160" s="793"/>
      <c r="O160" s="18">
        <f>E160</f>
        <v>0</v>
      </c>
      <c r="P160" s="17"/>
      <c r="Q160" s="17"/>
      <c r="R160" s="17"/>
      <c r="S160" s="14"/>
    </row>
    <row r="161" spans="1:19">
      <c r="A161" s="15"/>
      <c r="B161" s="3"/>
      <c r="C161" s="3"/>
      <c r="D161" s="3"/>
      <c r="E161" s="3"/>
      <c r="I161" s="14"/>
      <c r="K161" s="15"/>
      <c r="L161" s="3"/>
      <c r="M161" s="3"/>
      <c r="N161" s="3"/>
      <c r="O161" s="3"/>
      <c r="S161" s="14"/>
    </row>
    <row r="162" spans="1:19">
      <c r="A162" s="19">
        <v>1</v>
      </c>
      <c r="B162" s="793" t="s">
        <v>56</v>
      </c>
      <c r="C162" s="793"/>
      <c r="D162" s="793"/>
      <c r="E162" s="20">
        <f>'BOM 04 22Master'!W422</f>
        <v>0</v>
      </c>
      <c r="F162" s="17"/>
      <c r="G162" s="17"/>
      <c r="H162" s="17"/>
      <c r="I162" s="14"/>
      <c r="K162" s="19">
        <v>1</v>
      </c>
      <c r="L162" s="793" t="s">
        <v>56</v>
      </c>
      <c r="M162" s="793"/>
      <c r="N162" s="793"/>
      <c r="O162" s="20">
        <f>E162</f>
        <v>0</v>
      </c>
      <c r="P162" s="17"/>
      <c r="Q162" s="17"/>
      <c r="R162" s="17"/>
      <c r="S162" s="14"/>
    </row>
    <row r="163" spans="1:19">
      <c r="A163" s="19"/>
      <c r="B163" s="3"/>
      <c r="C163" s="3"/>
      <c r="D163" s="3"/>
      <c r="E163" s="3"/>
      <c r="I163" s="14"/>
      <c r="K163" s="19"/>
      <c r="L163" s="3"/>
      <c r="M163" s="3"/>
      <c r="N163" s="3"/>
      <c r="O163" s="3"/>
      <c r="S163" s="14"/>
    </row>
    <row r="164" spans="1:19" ht="15" customHeight="1">
      <c r="A164" s="19">
        <v>2</v>
      </c>
      <c r="B164" s="798" t="s">
        <v>57</v>
      </c>
      <c r="C164" s="798"/>
      <c r="D164" s="798"/>
      <c r="E164" s="3"/>
      <c r="I164" s="14"/>
      <c r="K164" s="19">
        <v>2</v>
      </c>
      <c r="L164" s="798" t="s">
        <v>57</v>
      </c>
      <c r="M164" s="798"/>
      <c r="N164" s="798"/>
      <c r="O164" s="3"/>
      <c r="S164" s="14"/>
    </row>
    <row r="165" spans="1:19">
      <c r="A165" s="19"/>
      <c r="B165" s="798"/>
      <c r="C165" s="798"/>
      <c r="D165" s="798"/>
      <c r="E165" s="21" t="s">
        <v>37</v>
      </c>
      <c r="F165" s="17"/>
      <c r="G165" s="17"/>
      <c r="H165" s="17"/>
      <c r="I165" s="14"/>
      <c r="K165" s="19"/>
      <c r="L165" s="798"/>
      <c r="M165" s="798"/>
      <c r="N165" s="798"/>
      <c r="O165" s="21" t="s">
        <v>37</v>
      </c>
      <c r="P165" s="17"/>
      <c r="Q165" s="17"/>
      <c r="R165" s="17"/>
      <c r="S165" s="14"/>
    </row>
    <row r="166" spans="1:19">
      <c r="A166" s="19"/>
      <c r="B166" s="3"/>
      <c r="C166" s="3"/>
      <c r="D166" s="3"/>
      <c r="E166" s="3"/>
      <c r="I166" s="14"/>
      <c r="K166" s="19"/>
      <c r="L166" s="3"/>
      <c r="M166" s="3"/>
      <c r="N166" s="3"/>
      <c r="O166" s="3"/>
      <c r="S166" s="14"/>
    </row>
    <row r="167" spans="1:19">
      <c r="A167" s="19">
        <v>3</v>
      </c>
      <c r="B167" s="793" t="s">
        <v>58</v>
      </c>
      <c r="C167" s="793"/>
      <c r="D167" s="793"/>
      <c r="E167" s="21" t="s">
        <v>37</v>
      </c>
      <c r="F167" s="17"/>
      <c r="G167" s="17"/>
      <c r="H167" s="17"/>
      <c r="I167" s="14"/>
      <c r="K167" s="19">
        <v>3</v>
      </c>
      <c r="L167" s="793" t="s">
        <v>58</v>
      </c>
      <c r="M167" s="793"/>
      <c r="N167" s="793"/>
      <c r="O167" s="16" t="str">
        <f>E167</f>
        <v>N/A</v>
      </c>
      <c r="P167" s="17"/>
      <c r="Q167" s="17"/>
      <c r="R167" s="17"/>
      <c r="S167" s="14"/>
    </row>
    <row r="168" spans="1:19">
      <c r="A168" s="19"/>
      <c r="B168" s="3"/>
      <c r="C168" s="3"/>
      <c r="D168" s="3"/>
      <c r="E168" s="3"/>
      <c r="I168" s="14"/>
      <c r="K168" s="19"/>
      <c r="L168" s="3"/>
      <c r="M168" s="3"/>
      <c r="N168" s="3"/>
      <c r="O168" s="3"/>
      <c r="S168" s="14"/>
    </row>
    <row r="169" spans="1:19">
      <c r="A169" s="19">
        <v>4</v>
      </c>
      <c r="B169" s="793" t="s">
        <v>59</v>
      </c>
      <c r="C169" s="793"/>
      <c r="D169" s="793"/>
      <c r="E169" s="21" t="s">
        <v>60</v>
      </c>
      <c r="F169" s="17"/>
      <c r="G169" s="17"/>
      <c r="H169" s="17"/>
      <c r="I169" s="14"/>
      <c r="K169" s="19">
        <v>4</v>
      </c>
      <c r="L169" s="793" t="s">
        <v>59</v>
      </c>
      <c r="M169" s="793"/>
      <c r="N169" s="793"/>
      <c r="O169" s="21" t="s">
        <v>60</v>
      </c>
      <c r="P169" s="17"/>
      <c r="Q169" s="17"/>
      <c r="R169" s="17"/>
      <c r="S169" s="14"/>
    </row>
    <row r="170" spans="1:19">
      <c r="A170" s="19"/>
      <c r="B170" s="3"/>
      <c r="C170" s="3"/>
      <c r="D170" s="3"/>
      <c r="E170" s="3"/>
      <c r="I170" s="14"/>
      <c r="K170" s="19"/>
      <c r="L170" s="3"/>
      <c r="M170" s="3"/>
      <c r="N170" s="3"/>
      <c r="O170" s="3"/>
      <c r="S170" s="14"/>
    </row>
    <row r="171" spans="1:19">
      <c r="A171" s="19">
        <v>5</v>
      </c>
      <c r="B171" s="793" t="s">
        <v>61</v>
      </c>
      <c r="C171" s="793"/>
      <c r="D171" s="793"/>
      <c r="E171" s="289">
        <f>'BOM 04 22Master'!AM422</f>
        <v>0</v>
      </c>
      <c r="I171" s="14"/>
      <c r="K171" s="19">
        <v>5</v>
      </c>
      <c r="L171" s="793" t="s">
        <v>61</v>
      </c>
      <c r="M171" s="793"/>
      <c r="N171" s="793"/>
      <c r="O171" s="289">
        <f>E171</f>
        <v>0</v>
      </c>
      <c r="S171" s="14"/>
    </row>
    <row r="172" spans="1:19">
      <c r="A172" s="19"/>
      <c r="B172" s="3"/>
      <c r="C172" s="3"/>
      <c r="D172" s="290" t="s">
        <v>62</v>
      </c>
      <c r="E172" s="290" t="s">
        <v>31</v>
      </c>
      <c r="F172" s="290" t="s">
        <v>33</v>
      </c>
      <c r="G172" s="290" t="s">
        <v>34</v>
      </c>
      <c r="H172" s="290" t="s">
        <v>380</v>
      </c>
      <c r="I172" s="288" t="s">
        <v>381</v>
      </c>
      <c r="K172" s="19"/>
      <c r="L172" s="3"/>
      <c r="M172" s="3"/>
      <c r="N172" s="290" t="s">
        <v>62</v>
      </c>
      <c r="O172" s="290" t="s">
        <v>31</v>
      </c>
      <c r="P172" s="290" t="s">
        <v>33</v>
      </c>
      <c r="Q172" s="290" t="s">
        <v>34</v>
      </c>
      <c r="R172" s="290" t="s">
        <v>380</v>
      </c>
      <c r="S172" s="288" t="s">
        <v>381</v>
      </c>
    </row>
    <row r="173" spans="1:19">
      <c r="A173" s="19">
        <v>6</v>
      </c>
      <c r="B173" s="26" t="s">
        <v>63</v>
      </c>
      <c r="C173" s="26"/>
      <c r="D173" s="291">
        <f>'BOM 04 22Master'!AO422</f>
        <v>0</v>
      </c>
      <c r="E173" s="291">
        <f>'BOM 04 22Master'!AN422</f>
        <v>0</v>
      </c>
      <c r="F173" s="292">
        <f>'BOM 04 22Master'!AP422</f>
        <v>0</v>
      </c>
      <c r="G173" s="291">
        <f>'BOM 04 22Master'!AQ422</f>
        <v>0</v>
      </c>
      <c r="H173" s="292">
        <f>'BOM 04 22Master'!AR422</f>
        <v>0</v>
      </c>
      <c r="I173" s="292">
        <f>'BOM 04 22Master'!AS422</f>
        <v>0</v>
      </c>
      <c r="K173" s="19">
        <v>6</v>
      </c>
      <c r="L173" s="26" t="s">
        <v>63</v>
      </c>
      <c r="M173" s="26"/>
      <c r="N173" s="291">
        <f t="shared" ref="N173:S173" si="3">D173</f>
        <v>0</v>
      </c>
      <c r="O173" s="291">
        <f t="shared" si="3"/>
        <v>0</v>
      </c>
      <c r="P173" s="292">
        <f t="shared" si="3"/>
        <v>0</v>
      </c>
      <c r="Q173" s="291">
        <f t="shared" si="3"/>
        <v>0</v>
      </c>
      <c r="R173" s="292">
        <f t="shared" si="3"/>
        <v>0</v>
      </c>
      <c r="S173" s="292">
        <f t="shared" si="3"/>
        <v>0</v>
      </c>
    </row>
    <row r="174" spans="1:19">
      <c r="A174" s="19"/>
      <c r="B174" s="3"/>
      <c r="C174" s="3"/>
      <c r="D174" s="3"/>
      <c r="E174" s="3"/>
      <c r="I174" s="14"/>
      <c r="K174" s="19"/>
      <c r="L174" s="3"/>
      <c r="M174" s="3"/>
      <c r="N174" s="3"/>
      <c r="O174" s="3"/>
      <c r="S174" s="14"/>
    </row>
    <row r="175" spans="1:19">
      <c r="A175" s="19">
        <v>7</v>
      </c>
      <c r="B175" s="793" t="s">
        <v>64</v>
      </c>
      <c r="C175" s="793"/>
      <c r="D175" s="793"/>
      <c r="E175" s="22">
        <f>E171-I173</f>
        <v>0</v>
      </c>
      <c r="F175" s="17"/>
      <c r="G175" s="17"/>
      <c r="H175" s="17"/>
      <c r="I175" s="14"/>
      <c r="K175" s="19">
        <v>7</v>
      </c>
      <c r="L175" s="793" t="s">
        <v>64</v>
      </c>
      <c r="M175" s="793"/>
      <c r="N175" s="793"/>
      <c r="O175" s="22">
        <f>E175</f>
        <v>0</v>
      </c>
      <c r="P175" s="17"/>
      <c r="Q175" s="17"/>
      <c r="R175" s="17"/>
      <c r="S175" s="14"/>
    </row>
    <row r="176" spans="1:19">
      <c r="A176" s="13"/>
      <c r="I176" s="14"/>
      <c r="K176" s="13"/>
      <c r="S176" s="14"/>
    </row>
    <row r="177" spans="1:19">
      <c r="A177" s="13"/>
      <c r="I177" s="14"/>
      <c r="K177" s="13"/>
      <c r="S177" s="14"/>
    </row>
    <row r="178" spans="1:19" ht="15.75" thickBot="1">
      <c r="A178" s="13"/>
      <c r="F178" s="23"/>
      <c r="G178" s="23"/>
      <c r="H178" s="23"/>
      <c r="I178" s="24"/>
      <c r="K178" s="13"/>
      <c r="P178" s="23"/>
      <c r="Q178" s="23"/>
      <c r="R178" s="23"/>
      <c r="S178" s="24"/>
    </row>
    <row r="179" spans="1:19" ht="15.75" thickBot="1">
      <c r="A179" s="25"/>
      <c r="B179" s="23"/>
      <c r="C179" s="23"/>
      <c r="D179" s="23"/>
      <c r="E179" s="23"/>
      <c r="F179" s="799" t="s">
        <v>65</v>
      </c>
      <c r="G179" s="799"/>
      <c r="H179" s="799"/>
      <c r="I179" s="800"/>
      <c r="K179" s="25"/>
      <c r="L179" s="23"/>
      <c r="M179" s="23"/>
      <c r="N179" s="23"/>
      <c r="O179" s="23"/>
      <c r="P179" s="799" t="s">
        <v>65</v>
      </c>
      <c r="Q179" s="799"/>
      <c r="R179" s="799"/>
      <c r="S179" s="800"/>
    </row>
    <row r="192" spans="1:19" ht="15.75" thickBot="1"/>
    <row r="193" spans="1:19" ht="26.25">
      <c r="A193" s="801" t="s">
        <v>50</v>
      </c>
      <c r="B193" s="802"/>
      <c r="C193" s="802"/>
      <c r="D193" s="802"/>
      <c r="E193" s="802"/>
      <c r="F193" s="802"/>
      <c r="G193" s="802"/>
      <c r="H193" s="802"/>
      <c r="I193" s="803"/>
      <c r="K193" s="801" t="s">
        <v>50</v>
      </c>
      <c r="L193" s="802"/>
      <c r="M193" s="802"/>
      <c r="N193" s="802"/>
      <c r="O193" s="802"/>
      <c r="P193" s="802"/>
      <c r="Q193" s="802"/>
      <c r="R193" s="802"/>
      <c r="S193" s="803"/>
    </row>
    <row r="194" spans="1:19">
      <c r="A194" s="794" t="s">
        <v>51</v>
      </c>
      <c r="B194" s="795"/>
      <c r="C194" s="795"/>
      <c r="D194" s="795"/>
      <c r="E194" s="795"/>
      <c r="F194" s="795"/>
      <c r="G194" s="795"/>
      <c r="H194" s="795"/>
      <c r="I194" s="796"/>
      <c r="K194" s="794" t="s">
        <v>51</v>
      </c>
      <c r="L194" s="795"/>
      <c r="M194" s="795"/>
      <c r="N194" s="795"/>
      <c r="O194" s="795"/>
      <c r="P194" s="795"/>
      <c r="Q194" s="795"/>
      <c r="R194" s="795"/>
      <c r="S194" s="796"/>
    </row>
    <row r="195" spans="1:19">
      <c r="A195" s="13"/>
      <c r="I195" s="14"/>
      <c r="K195" s="13"/>
      <c r="S195" s="14"/>
    </row>
    <row r="196" spans="1:19">
      <c r="A196" s="15" t="s">
        <v>52</v>
      </c>
      <c r="B196" s="3"/>
      <c r="C196" s="3"/>
      <c r="D196" s="6">
        <f>'BOM 04 22Master'!F453</f>
        <v>0</v>
      </c>
      <c r="I196" s="14"/>
      <c r="K196" s="15" t="s">
        <v>52</v>
      </c>
      <c r="L196" s="3"/>
      <c r="M196" s="3"/>
      <c r="N196" s="6">
        <f>D196</f>
        <v>0</v>
      </c>
      <c r="S196" s="14"/>
    </row>
    <row r="197" spans="1:19">
      <c r="A197" s="15"/>
      <c r="B197" s="3">
        <f>'BOM 04 22Master'!F454</f>
        <v>0</v>
      </c>
      <c r="C197" s="3"/>
      <c r="D197" s="3"/>
      <c r="I197" s="14"/>
      <c r="K197" s="15"/>
      <c r="L197" s="3">
        <f>B197</f>
        <v>0</v>
      </c>
      <c r="M197" s="3"/>
      <c r="N197" s="3"/>
      <c r="S197" s="14"/>
    </row>
    <row r="198" spans="1:19">
      <c r="A198" s="15"/>
      <c r="B198" s="3">
        <f>'BOM 04 22Master'!F455</f>
        <v>0</v>
      </c>
      <c r="C198" s="3"/>
      <c r="D198" s="3"/>
      <c r="E198" s="3"/>
      <c r="I198" s="14"/>
      <c r="K198" s="15"/>
      <c r="L198" s="3">
        <f>B198</f>
        <v>0</v>
      </c>
      <c r="M198" s="3"/>
      <c r="N198" s="3"/>
      <c r="O198" s="3"/>
      <c r="S198" s="14"/>
    </row>
    <row r="199" spans="1:19" ht="15" customHeight="1">
      <c r="A199" s="797" t="s">
        <v>53</v>
      </c>
      <c r="B199" s="798"/>
      <c r="C199" s="798"/>
      <c r="D199" s="798"/>
      <c r="E199" s="3"/>
      <c r="I199" s="14"/>
      <c r="K199" s="797" t="s">
        <v>53</v>
      </c>
      <c r="L199" s="798"/>
      <c r="M199" s="798"/>
      <c r="N199" s="798"/>
      <c r="O199" s="3"/>
      <c r="S199" s="14"/>
    </row>
    <row r="200" spans="1:19">
      <c r="A200" s="797"/>
      <c r="B200" s="798"/>
      <c r="C200" s="798"/>
      <c r="D200" s="798"/>
      <c r="E200" s="16">
        <f>'BOM 04 22Master'!U466</f>
        <v>0</v>
      </c>
      <c r="F200" s="17"/>
      <c r="G200" s="17"/>
      <c r="H200" s="17"/>
      <c r="I200" s="14"/>
      <c r="K200" s="797"/>
      <c r="L200" s="798"/>
      <c r="M200" s="798"/>
      <c r="N200" s="798"/>
      <c r="O200" s="16">
        <f>E200</f>
        <v>0</v>
      </c>
      <c r="P200" s="17"/>
      <c r="Q200" s="17"/>
      <c r="R200" s="17"/>
      <c r="S200" s="14"/>
    </row>
    <row r="201" spans="1:19">
      <c r="A201" s="15"/>
      <c r="B201" s="3"/>
      <c r="C201" s="3"/>
      <c r="D201" s="3"/>
      <c r="E201" s="3"/>
      <c r="I201" s="14"/>
      <c r="K201" s="15"/>
      <c r="L201" s="3"/>
      <c r="M201" s="3"/>
      <c r="N201" s="3"/>
      <c r="O201" s="3"/>
      <c r="S201" s="14"/>
    </row>
    <row r="202" spans="1:19">
      <c r="A202" s="792" t="s">
        <v>54</v>
      </c>
      <c r="B202" s="793"/>
      <c r="C202" s="793"/>
      <c r="D202" s="793"/>
      <c r="E202" s="16">
        <f>'BOM 04 22Master'!F456</f>
        <v>0</v>
      </c>
      <c r="F202" s="17"/>
      <c r="G202" s="17"/>
      <c r="H202" s="17"/>
      <c r="I202" s="14"/>
      <c r="K202" s="792" t="s">
        <v>54</v>
      </c>
      <c r="L202" s="793"/>
      <c r="M202" s="793"/>
      <c r="N202" s="793"/>
      <c r="O202" s="16">
        <f>E202</f>
        <v>0</v>
      </c>
      <c r="P202" s="17"/>
      <c r="Q202" s="17"/>
      <c r="R202" s="17"/>
      <c r="S202" s="14"/>
    </row>
    <row r="203" spans="1:19">
      <c r="A203" s="15"/>
      <c r="B203" s="3"/>
      <c r="C203" s="3"/>
      <c r="D203" s="3"/>
      <c r="E203" s="3"/>
      <c r="I203" s="14"/>
      <c r="K203" s="15"/>
      <c r="L203" s="3"/>
      <c r="M203" s="3"/>
      <c r="N203" s="3"/>
      <c r="O203" s="3"/>
      <c r="S203" s="14"/>
    </row>
    <row r="204" spans="1:19">
      <c r="A204" s="792" t="s">
        <v>55</v>
      </c>
      <c r="B204" s="793"/>
      <c r="C204" s="793"/>
      <c r="D204" s="793"/>
      <c r="E204" s="18">
        <f>'BOM 04 22Master'!D458</f>
        <v>0</v>
      </c>
      <c r="F204" s="17"/>
      <c r="G204" s="17"/>
      <c r="H204" s="17"/>
      <c r="I204" s="14"/>
      <c r="K204" s="792" t="s">
        <v>55</v>
      </c>
      <c r="L204" s="793"/>
      <c r="M204" s="793"/>
      <c r="N204" s="793"/>
      <c r="O204" s="18">
        <f>E204</f>
        <v>0</v>
      </c>
      <c r="P204" s="17"/>
      <c r="Q204" s="17"/>
      <c r="R204" s="17"/>
      <c r="S204" s="14"/>
    </row>
    <row r="205" spans="1:19">
      <c r="A205" s="15"/>
      <c r="B205" s="3"/>
      <c r="C205" s="3"/>
      <c r="D205" s="3"/>
      <c r="E205" s="3"/>
      <c r="I205" s="14"/>
      <c r="K205" s="15"/>
      <c r="L205" s="3"/>
      <c r="M205" s="3"/>
      <c r="N205" s="3"/>
      <c r="O205" s="3"/>
      <c r="S205" s="14"/>
    </row>
    <row r="206" spans="1:19">
      <c r="A206" s="19">
        <v>1</v>
      </c>
      <c r="B206" s="793" t="s">
        <v>56</v>
      </c>
      <c r="C206" s="793"/>
      <c r="D206" s="793"/>
      <c r="E206" s="20">
        <f>'BOM 04 22Master'!W466</f>
        <v>0</v>
      </c>
      <c r="F206" s="17"/>
      <c r="G206" s="17"/>
      <c r="H206" s="17"/>
      <c r="I206" s="14"/>
      <c r="K206" s="19">
        <v>1</v>
      </c>
      <c r="L206" s="793" t="s">
        <v>56</v>
      </c>
      <c r="M206" s="793"/>
      <c r="N206" s="793"/>
      <c r="O206" s="20">
        <f>E206</f>
        <v>0</v>
      </c>
      <c r="P206" s="17"/>
      <c r="Q206" s="17"/>
      <c r="R206" s="17"/>
      <c r="S206" s="14"/>
    </row>
    <row r="207" spans="1:19">
      <c r="A207" s="19"/>
      <c r="B207" s="3"/>
      <c r="C207" s="3"/>
      <c r="D207" s="3"/>
      <c r="E207" s="3"/>
      <c r="I207" s="14"/>
      <c r="K207" s="19"/>
      <c r="L207" s="3"/>
      <c r="M207" s="3"/>
      <c r="N207" s="3"/>
      <c r="O207" s="3"/>
      <c r="S207" s="14"/>
    </row>
    <row r="208" spans="1:19" ht="15" customHeight="1">
      <c r="A208" s="19">
        <v>2</v>
      </c>
      <c r="B208" s="798" t="s">
        <v>57</v>
      </c>
      <c r="C208" s="798"/>
      <c r="D208" s="798"/>
      <c r="E208" s="3"/>
      <c r="I208" s="14"/>
      <c r="K208" s="19">
        <v>2</v>
      </c>
      <c r="L208" s="798" t="s">
        <v>57</v>
      </c>
      <c r="M208" s="798"/>
      <c r="N208" s="798"/>
      <c r="O208" s="3"/>
      <c r="S208" s="14"/>
    </row>
    <row r="209" spans="1:19">
      <c r="A209" s="19"/>
      <c r="B209" s="798"/>
      <c r="C209" s="798"/>
      <c r="D209" s="798"/>
      <c r="E209" s="21" t="s">
        <v>37</v>
      </c>
      <c r="F209" s="17"/>
      <c r="G209" s="17"/>
      <c r="H209" s="17"/>
      <c r="I209" s="14"/>
      <c r="K209" s="19"/>
      <c r="L209" s="798"/>
      <c r="M209" s="798"/>
      <c r="N209" s="798"/>
      <c r="O209" s="21" t="s">
        <v>37</v>
      </c>
      <c r="P209" s="17"/>
      <c r="Q209" s="17"/>
      <c r="R209" s="17"/>
      <c r="S209" s="14"/>
    </row>
    <row r="210" spans="1:19">
      <c r="A210" s="19"/>
      <c r="B210" s="3"/>
      <c r="C210" s="3"/>
      <c r="D210" s="3"/>
      <c r="E210" s="3"/>
      <c r="I210" s="14"/>
      <c r="K210" s="19"/>
      <c r="L210" s="3"/>
      <c r="M210" s="3"/>
      <c r="N210" s="3"/>
      <c r="O210" s="3"/>
      <c r="S210" s="14"/>
    </row>
    <row r="211" spans="1:19">
      <c r="A211" s="19">
        <v>3</v>
      </c>
      <c r="B211" s="793" t="s">
        <v>58</v>
      </c>
      <c r="C211" s="793"/>
      <c r="D211" s="793"/>
      <c r="E211" s="21" t="s">
        <v>37</v>
      </c>
      <c r="F211" s="17"/>
      <c r="G211" s="17"/>
      <c r="H211" s="17"/>
      <c r="I211" s="14"/>
      <c r="K211" s="19">
        <v>3</v>
      </c>
      <c r="L211" s="793" t="s">
        <v>58</v>
      </c>
      <c r="M211" s="793"/>
      <c r="N211" s="793"/>
      <c r="O211" s="16" t="str">
        <f>E211</f>
        <v>N/A</v>
      </c>
      <c r="P211" s="17"/>
      <c r="Q211" s="17"/>
      <c r="R211" s="17"/>
      <c r="S211" s="14"/>
    </row>
    <row r="212" spans="1:19">
      <c r="A212" s="19"/>
      <c r="B212" s="3"/>
      <c r="C212" s="3"/>
      <c r="D212" s="3"/>
      <c r="E212" s="3"/>
      <c r="I212" s="14"/>
      <c r="K212" s="19"/>
      <c r="L212" s="3"/>
      <c r="M212" s="3"/>
      <c r="N212" s="3"/>
      <c r="O212" s="3"/>
      <c r="S212" s="14"/>
    </row>
    <row r="213" spans="1:19">
      <c r="A213" s="19">
        <v>4</v>
      </c>
      <c r="B213" s="793" t="s">
        <v>59</v>
      </c>
      <c r="C213" s="793"/>
      <c r="D213" s="793"/>
      <c r="E213" s="21" t="s">
        <v>60</v>
      </c>
      <c r="F213" s="17"/>
      <c r="G213" s="17"/>
      <c r="H213" s="17"/>
      <c r="I213" s="14"/>
      <c r="K213" s="19">
        <v>4</v>
      </c>
      <c r="L213" s="793" t="s">
        <v>59</v>
      </c>
      <c r="M213" s="793"/>
      <c r="N213" s="793"/>
      <c r="O213" s="21" t="s">
        <v>60</v>
      </c>
      <c r="P213" s="17"/>
      <c r="Q213" s="17"/>
      <c r="R213" s="17"/>
      <c r="S213" s="14"/>
    </row>
    <row r="214" spans="1:19">
      <c r="A214" s="19"/>
      <c r="B214" s="3"/>
      <c r="C214" s="3"/>
      <c r="D214" s="3"/>
      <c r="E214" s="3"/>
      <c r="I214" s="14"/>
      <c r="K214" s="19"/>
      <c r="L214" s="3"/>
      <c r="M214" s="3"/>
      <c r="N214" s="3"/>
      <c r="O214" s="3"/>
      <c r="S214" s="14"/>
    </row>
    <row r="215" spans="1:19">
      <c r="A215" s="19">
        <v>5</v>
      </c>
      <c r="B215" s="793" t="s">
        <v>61</v>
      </c>
      <c r="C215" s="793"/>
      <c r="D215" s="793"/>
      <c r="E215" s="289">
        <f>'BOM 04 22Master'!AM466</f>
        <v>0</v>
      </c>
      <c r="I215" s="14"/>
      <c r="K215" s="19">
        <v>5</v>
      </c>
      <c r="L215" s="793" t="s">
        <v>61</v>
      </c>
      <c r="M215" s="793"/>
      <c r="N215" s="793"/>
      <c r="O215" s="289">
        <f>E215</f>
        <v>0</v>
      </c>
      <c r="S215" s="14"/>
    </row>
    <row r="216" spans="1:19">
      <c r="A216" s="19"/>
      <c r="B216" s="3"/>
      <c r="C216" s="3"/>
      <c r="D216" s="290" t="s">
        <v>62</v>
      </c>
      <c r="E216" s="290" t="s">
        <v>31</v>
      </c>
      <c r="F216" s="290" t="s">
        <v>33</v>
      </c>
      <c r="G216" s="290" t="s">
        <v>34</v>
      </c>
      <c r="H216" s="290" t="s">
        <v>380</v>
      </c>
      <c r="I216" s="288" t="s">
        <v>381</v>
      </c>
      <c r="K216" s="19"/>
      <c r="L216" s="3"/>
      <c r="M216" s="3"/>
      <c r="N216" s="290" t="s">
        <v>62</v>
      </c>
      <c r="O216" s="290" t="s">
        <v>31</v>
      </c>
      <c r="P216" s="290" t="s">
        <v>33</v>
      </c>
      <c r="Q216" s="290" t="s">
        <v>34</v>
      </c>
      <c r="R216" s="290" t="s">
        <v>380</v>
      </c>
      <c r="S216" s="288" t="s">
        <v>381</v>
      </c>
    </row>
    <row r="217" spans="1:19">
      <c r="A217" s="19">
        <v>6</v>
      </c>
      <c r="B217" s="26" t="s">
        <v>63</v>
      </c>
      <c r="C217" s="26"/>
      <c r="D217" s="291">
        <f>'BOM 04 22Master'!AO466</f>
        <v>0</v>
      </c>
      <c r="E217" s="291">
        <f>'BOM 04 22Master'!AN466</f>
        <v>0</v>
      </c>
      <c r="F217" s="292">
        <f>'BOM 04 22Master'!AP466</f>
        <v>0</v>
      </c>
      <c r="G217" s="291">
        <f>'BOM 04 22Master'!AQ466</f>
        <v>0</v>
      </c>
      <c r="H217" s="292">
        <f>'BOM 04 22Master'!AR466</f>
        <v>0</v>
      </c>
      <c r="I217" s="292">
        <f>'BOM 04 22Master'!AS466</f>
        <v>0</v>
      </c>
      <c r="K217" s="19">
        <v>6</v>
      </c>
      <c r="L217" s="26" t="s">
        <v>63</v>
      </c>
      <c r="M217" s="26"/>
      <c r="N217" s="291">
        <f t="shared" ref="N217:S217" si="4">D217</f>
        <v>0</v>
      </c>
      <c r="O217" s="291">
        <f t="shared" si="4"/>
        <v>0</v>
      </c>
      <c r="P217" s="292">
        <f t="shared" si="4"/>
        <v>0</v>
      </c>
      <c r="Q217" s="291">
        <f t="shared" si="4"/>
        <v>0</v>
      </c>
      <c r="R217" s="292">
        <f t="shared" si="4"/>
        <v>0</v>
      </c>
      <c r="S217" s="292">
        <f t="shared" si="4"/>
        <v>0</v>
      </c>
    </row>
    <row r="218" spans="1:19">
      <c r="A218" s="19"/>
      <c r="B218" s="3"/>
      <c r="C218" s="3"/>
      <c r="D218" s="3"/>
      <c r="E218" s="3"/>
      <c r="I218" s="14"/>
      <c r="K218" s="19"/>
      <c r="L218" s="3"/>
      <c r="M218" s="3"/>
      <c r="N218" s="3"/>
      <c r="O218" s="3"/>
      <c r="S218" s="14"/>
    </row>
    <row r="219" spans="1:19">
      <c r="A219" s="19">
        <v>7</v>
      </c>
      <c r="B219" s="793" t="s">
        <v>64</v>
      </c>
      <c r="C219" s="793"/>
      <c r="D219" s="793"/>
      <c r="E219" s="22">
        <f>E215-I217</f>
        <v>0</v>
      </c>
      <c r="F219" s="17"/>
      <c r="G219" s="17"/>
      <c r="H219" s="17"/>
      <c r="I219" s="14"/>
      <c r="K219" s="19">
        <v>7</v>
      </c>
      <c r="L219" s="793" t="s">
        <v>64</v>
      </c>
      <c r="M219" s="793"/>
      <c r="N219" s="793"/>
      <c r="O219" s="22">
        <f>E219</f>
        <v>0</v>
      </c>
      <c r="P219" s="17"/>
      <c r="Q219" s="17"/>
      <c r="R219" s="17"/>
      <c r="S219" s="14"/>
    </row>
    <row r="220" spans="1:19">
      <c r="A220" s="13"/>
      <c r="I220" s="14"/>
      <c r="K220" s="13"/>
      <c r="S220" s="14"/>
    </row>
    <row r="221" spans="1:19">
      <c r="A221" s="13"/>
      <c r="I221" s="14"/>
      <c r="K221" s="13"/>
      <c r="S221" s="14"/>
    </row>
    <row r="222" spans="1:19" ht="15.75" thickBot="1">
      <c r="A222" s="13"/>
      <c r="F222" s="23"/>
      <c r="G222" s="23"/>
      <c r="H222" s="23"/>
      <c r="I222" s="24"/>
      <c r="K222" s="13"/>
      <c r="P222" s="23"/>
      <c r="Q222" s="23"/>
      <c r="R222" s="23"/>
      <c r="S222" s="24"/>
    </row>
    <row r="223" spans="1:19" ht="15.75" thickBot="1">
      <c r="A223" s="25"/>
      <c r="B223" s="23"/>
      <c r="C223" s="23"/>
      <c r="D223" s="23"/>
      <c r="E223" s="23"/>
      <c r="F223" s="799" t="s">
        <v>65</v>
      </c>
      <c r="G223" s="799"/>
      <c r="H223" s="799"/>
      <c r="I223" s="800"/>
      <c r="K223" s="25"/>
      <c r="L223" s="23"/>
      <c r="M223" s="23"/>
      <c r="N223" s="23"/>
      <c r="O223" s="23"/>
      <c r="P223" s="799" t="s">
        <v>65</v>
      </c>
      <c r="Q223" s="799"/>
      <c r="R223" s="799"/>
      <c r="S223" s="800"/>
    </row>
    <row r="237" spans="1:19" ht="15.75" thickBot="1"/>
    <row r="238" spans="1:19" ht="26.25">
      <c r="A238" s="801" t="s">
        <v>50</v>
      </c>
      <c r="B238" s="802"/>
      <c r="C238" s="802"/>
      <c r="D238" s="802"/>
      <c r="E238" s="802"/>
      <c r="F238" s="802"/>
      <c r="G238" s="802"/>
      <c r="H238" s="802"/>
      <c r="I238" s="803"/>
      <c r="K238" s="801" t="s">
        <v>50</v>
      </c>
      <c r="L238" s="802"/>
      <c r="M238" s="802"/>
      <c r="N238" s="802"/>
      <c r="O238" s="802"/>
      <c r="P238" s="802"/>
      <c r="Q238" s="802"/>
      <c r="R238" s="802"/>
      <c r="S238" s="803"/>
    </row>
    <row r="239" spans="1:19">
      <c r="A239" s="794" t="s">
        <v>51</v>
      </c>
      <c r="B239" s="795"/>
      <c r="C239" s="795"/>
      <c r="D239" s="795"/>
      <c r="E239" s="795"/>
      <c r="F239" s="795"/>
      <c r="G239" s="795"/>
      <c r="H239" s="795"/>
      <c r="I239" s="796"/>
      <c r="K239" s="794" t="s">
        <v>51</v>
      </c>
      <c r="L239" s="795"/>
      <c r="M239" s="795"/>
      <c r="N239" s="795"/>
      <c r="O239" s="795"/>
      <c r="P239" s="795"/>
      <c r="Q239" s="795"/>
      <c r="R239" s="795"/>
      <c r="S239" s="796"/>
    </row>
    <row r="240" spans="1:19">
      <c r="A240" s="13"/>
      <c r="I240" s="14"/>
      <c r="K240" s="13"/>
      <c r="S240" s="14"/>
    </row>
    <row r="241" spans="1:19">
      <c r="A241" s="15" t="s">
        <v>52</v>
      </c>
      <c r="B241" s="3"/>
      <c r="C241" s="3"/>
      <c r="D241" s="6">
        <f>'BOM 04 22Master'!F498</f>
        <v>0</v>
      </c>
      <c r="I241" s="14"/>
      <c r="K241" s="15" t="s">
        <v>52</v>
      </c>
      <c r="L241" s="3"/>
      <c r="M241" s="3"/>
      <c r="N241" s="6">
        <f>D241</f>
        <v>0</v>
      </c>
      <c r="S241" s="14"/>
    </row>
    <row r="242" spans="1:19">
      <c r="A242" s="15"/>
      <c r="B242" s="3">
        <f>'BOM 04 22Master'!F499</f>
        <v>0</v>
      </c>
      <c r="C242" s="3"/>
      <c r="D242" s="3"/>
      <c r="I242" s="14"/>
      <c r="K242" s="15"/>
      <c r="L242" s="3">
        <f>B242</f>
        <v>0</v>
      </c>
      <c r="M242" s="3"/>
      <c r="N242" s="3"/>
      <c r="S242" s="14"/>
    </row>
    <row r="243" spans="1:19">
      <c r="A243" s="15"/>
      <c r="B243" s="3">
        <f>'BOM 04 22Master'!F500</f>
        <v>0</v>
      </c>
      <c r="C243" s="3"/>
      <c r="D243" s="3"/>
      <c r="E243" s="3"/>
      <c r="I243" s="14"/>
      <c r="K243" s="15"/>
      <c r="L243" s="3">
        <f>B243</f>
        <v>0</v>
      </c>
      <c r="M243" s="3"/>
      <c r="N243" s="3"/>
      <c r="O243" s="3"/>
      <c r="S243" s="14"/>
    </row>
    <row r="244" spans="1:19" ht="15" customHeight="1">
      <c r="A244" s="797" t="s">
        <v>53</v>
      </c>
      <c r="B244" s="798"/>
      <c r="C244" s="798"/>
      <c r="D244" s="798"/>
      <c r="E244" s="3"/>
      <c r="I244" s="14"/>
      <c r="K244" s="797" t="s">
        <v>53</v>
      </c>
      <c r="L244" s="798"/>
      <c r="M244" s="798"/>
      <c r="N244" s="798"/>
      <c r="O244" s="3"/>
      <c r="S244" s="14"/>
    </row>
    <row r="245" spans="1:19">
      <c r="A245" s="797"/>
      <c r="B245" s="798"/>
      <c r="C245" s="798"/>
      <c r="D245" s="798"/>
      <c r="E245" s="16">
        <f>'BOM 04 22Master'!U511</f>
        <v>0</v>
      </c>
      <c r="F245" s="17"/>
      <c r="G245" s="17"/>
      <c r="H245" s="17"/>
      <c r="I245" s="14"/>
      <c r="K245" s="797"/>
      <c r="L245" s="798"/>
      <c r="M245" s="798"/>
      <c r="N245" s="798"/>
      <c r="O245" s="16">
        <f>E245</f>
        <v>0</v>
      </c>
      <c r="P245" s="17"/>
      <c r="Q245" s="17"/>
      <c r="R245" s="17"/>
      <c r="S245" s="14"/>
    </row>
    <row r="246" spans="1:19">
      <c r="A246" s="15"/>
      <c r="B246" s="3"/>
      <c r="C246" s="3"/>
      <c r="D246" s="3"/>
      <c r="E246" s="3"/>
      <c r="I246" s="14"/>
      <c r="K246" s="15"/>
      <c r="L246" s="3"/>
      <c r="M246" s="3"/>
      <c r="N246" s="3"/>
      <c r="O246" s="3"/>
      <c r="S246" s="14"/>
    </row>
    <row r="247" spans="1:19">
      <c r="A247" s="792" t="s">
        <v>54</v>
      </c>
      <c r="B247" s="793"/>
      <c r="C247" s="793"/>
      <c r="D247" s="793"/>
      <c r="E247" s="16">
        <f>'BOM 04 22Master'!F501</f>
        <v>0</v>
      </c>
      <c r="F247" s="17"/>
      <c r="G247" s="17"/>
      <c r="H247" s="17"/>
      <c r="I247" s="14"/>
      <c r="K247" s="792" t="s">
        <v>54</v>
      </c>
      <c r="L247" s="793"/>
      <c r="M247" s="793"/>
      <c r="N247" s="793"/>
      <c r="O247" s="16">
        <f>E247</f>
        <v>0</v>
      </c>
      <c r="P247" s="17"/>
      <c r="Q247" s="17"/>
      <c r="R247" s="17"/>
      <c r="S247" s="14"/>
    </row>
    <row r="248" spans="1:19">
      <c r="A248" s="15"/>
      <c r="B248" s="3"/>
      <c r="C248" s="3"/>
      <c r="D248" s="3"/>
      <c r="E248" s="3"/>
      <c r="I248" s="14"/>
      <c r="K248" s="15"/>
      <c r="L248" s="3"/>
      <c r="M248" s="3"/>
      <c r="N248" s="3"/>
      <c r="O248" s="3"/>
      <c r="S248" s="14"/>
    </row>
    <row r="249" spans="1:19">
      <c r="A249" s="792" t="s">
        <v>55</v>
      </c>
      <c r="B249" s="793"/>
      <c r="C249" s="793"/>
      <c r="D249" s="793"/>
      <c r="E249" s="18">
        <f>'BOM 04 22Master'!D503</f>
        <v>0</v>
      </c>
      <c r="F249" s="17"/>
      <c r="G249" s="17"/>
      <c r="H249" s="17"/>
      <c r="I249" s="14"/>
      <c r="K249" s="792" t="s">
        <v>55</v>
      </c>
      <c r="L249" s="793"/>
      <c r="M249" s="793"/>
      <c r="N249" s="793"/>
      <c r="O249" s="18">
        <f>E249</f>
        <v>0</v>
      </c>
      <c r="P249" s="17"/>
      <c r="Q249" s="17"/>
      <c r="R249" s="17"/>
      <c r="S249" s="14"/>
    </row>
    <row r="250" spans="1:19">
      <c r="A250" s="15"/>
      <c r="B250" s="3"/>
      <c r="C250" s="3"/>
      <c r="D250" s="3"/>
      <c r="E250" s="3"/>
      <c r="I250" s="14"/>
      <c r="K250" s="15"/>
      <c r="L250" s="3"/>
      <c r="M250" s="3"/>
      <c r="N250" s="3"/>
      <c r="O250" s="3"/>
      <c r="S250" s="14"/>
    </row>
    <row r="251" spans="1:19">
      <c r="A251" s="19">
        <v>1</v>
      </c>
      <c r="B251" s="793" t="s">
        <v>56</v>
      </c>
      <c r="C251" s="793"/>
      <c r="D251" s="793"/>
      <c r="E251" s="20">
        <f>'BOM 04 22Master'!W511</f>
        <v>0</v>
      </c>
      <c r="F251" s="17"/>
      <c r="G251" s="17"/>
      <c r="H251" s="17"/>
      <c r="I251" s="14"/>
      <c r="K251" s="19">
        <v>1</v>
      </c>
      <c r="L251" s="793" t="s">
        <v>56</v>
      </c>
      <c r="M251" s="793"/>
      <c r="N251" s="793"/>
      <c r="O251" s="20">
        <f>E251</f>
        <v>0</v>
      </c>
      <c r="P251" s="17"/>
      <c r="Q251" s="17"/>
      <c r="R251" s="17"/>
      <c r="S251" s="14"/>
    </row>
    <row r="252" spans="1:19">
      <c r="A252" s="19"/>
      <c r="B252" s="3"/>
      <c r="C252" s="3"/>
      <c r="D252" s="3"/>
      <c r="E252" s="3"/>
      <c r="I252" s="14"/>
      <c r="K252" s="19"/>
      <c r="L252" s="3"/>
      <c r="M252" s="3"/>
      <c r="N252" s="3"/>
      <c r="O252" s="3"/>
      <c r="S252" s="14"/>
    </row>
    <row r="253" spans="1:19" ht="15" customHeight="1">
      <c r="A253" s="19">
        <v>2</v>
      </c>
      <c r="B253" s="798" t="s">
        <v>57</v>
      </c>
      <c r="C253" s="798"/>
      <c r="D253" s="798"/>
      <c r="E253" s="3"/>
      <c r="I253" s="14"/>
      <c r="K253" s="19">
        <v>2</v>
      </c>
      <c r="L253" s="798" t="s">
        <v>57</v>
      </c>
      <c r="M253" s="798"/>
      <c r="N253" s="798"/>
      <c r="O253" s="3"/>
      <c r="S253" s="14"/>
    </row>
    <row r="254" spans="1:19">
      <c r="A254" s="19"/>
      <c r="B254" s="798"/>
      <c r="C254" s="798"/>
      <c r="D254" s="798"/>
      <c r="E254" s="21" t="s">
        <v>37</v>
      </c>
      <c r="F254" s="17"/>
      <c r="G254" s="17"/>
      <c r="H254" s="17"/>
      <c r="I254" s="14"/>
      <c r="K254" s="19"/>
      <c r="L254" s="798"/>
      <c r="M254" s="798"/>
      <c r="N254" s="798"/>
      <c r="O254" s="21" t="s">
        <v>37</v>
      </c>
      <c r="P254" s="17"/>
      <c r="Q254" s="17"/>
      <c r="R254" s="17"/>
      <c r="S254" s="14"/>
    </row>
    <row r="255" spans="1:19">
      <c r="A255" s="19"/>
      <c r="B255" s="3"/>
      <c r="C255" s="3"/>
      <c r="D255" s="3"/>
      <c r="E255" s="3"/>
      <c r="I255" s="14"/>
      <c r="K255" s="19"/>
      <c r="L255" s="3"/>
      <c r="M255" s="3"/>
      <c r="N255" s="3"/>
      <c r="O255" s="3"/>
      <c r="S255" s="14"/>
    </row>
    <row r="256" spans="1:19">
      <c r="A256" s="19">
        <v>3</v>
      </c>
      <c r="B256" s="793" t="s">
        <v>58</v>
      </c>
      <c r="C256" s="793"/>
      <c r="D256" s="793"/>
      <c r="E256" s="21" t="s">
        <v>37</v>
      </c>
      <c r="F256" s="17"/>
      <c r="G256" s="17"/>
      <c r="H256" s="17"/>
      <c r="I256" s="14"/>
      <c r="K256" s="19">
        <v>3</v>
      </c>
      <c r="L256" s="793" t="s">
        <v>58</v>
      </c>
      <c r="M256" s="793"/>
      <c r="N256" s="793"/>
      <c r="O256" s="16" t="str">
        <f>E256</f>
        <v>N/A</v>
      </c>
      <c r="P256" s="17"/>
      <c r="Q256" s="17"/>
      <c r="R256" s="17"/>
      <c r="S256" s="14"/>
    </row>
    <row r="257" spans="1:19">
      <c r="A257" s="19"/>
      <c r="B257" s="3"/>
      <c r="C257" s="3"/>
      <c r="D257" s="3"/>
      <c r="E257" s="3"/>
      <c r="I257" s="14"/>
      <c r="K257" s="19"/>
      <c r="L257" s="3"/>
      <c r="M257" s="3"/>
      <c r="N257" s="3"/>
      <c r="O257" s="3"/>
      <c r="S257" s="14"/>
    </row>
    <row r="258" spans="1:19">
      <c r="A258" s="19">
        <v>4</v>
      </c>
      <c r="B258" s="793" t="s">
        <v>59</v>
      </c>
      <c r="C258" s="793"/>
      <c r="D258" s="793"/>
      <c r="E258" s="21" t="s">
        <v>60</v>
      </c>
      <c r="F258" s="17"/>
      <c r="G258" s="17"/>
      <c r="H258" s="17"/>
      <c r="I258" s="14"/>
      <c r="K258" s="19">
        <v>4</v>
      </c>
      <c r="L258" s="793" t="s">
        <v>59</v>
      </c>
      <c r="M258" s="793"/>
      <c r="N258" s="793"/>
      <c r="O258" s="21" t="s">
        <v>60</v>
      </c>
      <c r="P258" s="17"/>
      <c r="Q258" s="17"/>
      <c r="R258" s="17"/>
      <c r="S258" s="14"/>
    </row>
    <row r="259" spans="1:19">
      <c r="A259" s="19"/>
      <c r="B259" s="3"/>
      <c r="C259" s="3"/>
      <c r="D259" s="3"/>
      <c r="E259" s="3"/>
      <c r="I259" s="14"/>
      <c r="K259" s="19"/>
      <c r="L259" s="3"/>
      <c r="M259" s="3"/>
      <c r="N259" s="3"/>
      <c r="O259" s="3"/>
      <c r="S259" s="14"/>
    </row>
    <row r="260" spans="1:19">
      <c r="A260" s="19">
        <v>5</v>
      </c>
      <c r="B260" s="793" t="s">
        <v>61</v>
      </c>
      <c r="C260" s="793"/>
      <c r="D260" s="793"/>
      <c r="E260" s="289">
        <f>'BOM 04 22Master'!AM511</f>
        <v>0</v>
      </c>
      <c r="I260" s="14"/>
      <c r="K260" s="19">
        <v>5</v>
      </c>
      <c r="L260" s="793" t="s">
        <v>61</v>
      </c>
      <c r="M260" s="793"/>
      <c r="N260" s="793"/>
      <c r="O260" s="289">
        <f>E260</f>
        <v>0</v>
      </c>
      <c r="S260" s="14"/>
    </row>
    <row r="261" spans="1:19">
      <c r="A261" s="19"/>
      <c r="B261" s="3"/>
      <c r="C261" s="3"/>
      <c r="D261" s="290" t="s">
        <v>62</v>
      </c>
      <c r="E261" s="290" t="s">
        <v>31</v>
      </c>
      <c r="F261" s="290" t="s">
        <v>33</v>
      </c>
      <c r="G261" s="290" t="s">
        <v>34</v>
      </c>
      <c r="H261" s="290" t="s">
        <v>380</v>
      </c>
      <c r="I261" s="288" t="s">
        <v>381</v>
      </c>
      <c r="K261" s="19"/>
      <c r="L261" s="3"/>
      <c r="M261" s="3"/>
      <c r="N261" s="290" t="s">
        <v>62</v>
      </c>
      <c r="O261" s="290" t="s">
        <v>31</v>
      </c>
      <c r="P261" s="290" t="s">
        <v>33</v>
      </c>
      <c r="Q261" s="290" t="s">
        <v>34</v>
      </c>
      <c r="R261" s="290" t="s">
        <v>380</v>
      </c>
      <c r="S261" s="288" t="s">
        <v>381</v>
      </c>
    </row>
    <row r="262" spans="1:19">
      <c r="A262" s="19">
        <v>6</v>
      </c>
      <c r="B262" s="26" t="s">
        <v>63</v>
      </c>
      <c r="C262" s="26"/>
      <c r="D262" s="291">
        <f>'BOM 04 22Master'!AO511</f>
        <v>0</v>
      </c>
      <c r="E262" s="291">
        <f>'BOM 04 22Master'!AN511</f>
        <v>0</v>
      </c>
      <c r="F262" s="292">
        <f>'BOM 04 22Master'!AP511</f>
        <v>0</v>
      </c>
      <c r="G262" s="291">
        <f>'BOM 04 22Master'!AQ511</f>
        <v>0</v>
      </c>
      <c r="H262" s="292">
        <f>'BOM 04 22Master'!AR511</f>
        <v>0</v>
      </c>
      <c r="I262" s="292">
        <f>'BOM 04 22Master'!AS511</f>
        <v>0</v>
      </c>
      <c r="K262" s="19">
        <v>6</v>
      </c>
      <c r="L262" s="26" t="s">
        <v>63</v>
      </c>
      <c r="M262" s="26"/>
      <c r="N262" s="291">
        <f t="shared" ref="N262:S262" si="5">D262</f>
        <v>0</v>
      </c>
      <c r="O262" s="291">
        <f t="shared" si="5"/>
        <v>0</v>
      </c>
      <c r="P262" s="292">
        <f t="shared" si="5"/>
        <v>0</v>
      </c>
      <c r="Q262" s="291">
        <f t="shared" si="5"/>
        <v>0</v>
      </c>
      <c r="R262" s="292">
        <f t="shared" si="5"/>
        <v>0</v>
      </c>
      <c r="S262" s="292">
        <f t="shared" si="5"/>
        <v>0</v>
      </c>
    </row>
    <row r="263" spans="1:19">
      <c r="A263" s="19"/>
      <c r="B263" s="3"/>
      <c r="C263" s="3"/>
      <c r="D263" s="3"/>
      <c r="E263" s="3"/>
      <c r="I263" s="14"/>
      <c r="K263" s="19"/>
      <c r="L263" s="3"/>
      <c r="M263" s="3"/>
      <c r="N263" s="3"/>
      <c r="O263" s="3"/>
      <c r="S263" s="14"/>
    </row>
    <row r="264" spans="1:19">
      <c r="A264" s="19">
        <v>7</v>
      </c>
      <c r="B264" s="793" t="s">
        <v>64</v>
      </c>
      <c r="C264" s="793"/>
      <c r="D264" s="793"/>
      <c r="E264" s="22">
        <f>E260-I262</f>
        <v>0</v>
      </c>
      <c r="F264" s="17"/>
      <c r="G264" s="17"/>
      <c r="H264" s="17"/>
      <c r="I264" s="14"/>
      <c r="K264" s="19">
        <v>7</v>
      </c>
      <c r="L264" s="793" t="s">
        <v>64</v>
      </c>
      <c r="M264" s="793"/>
      <c r="N264" s="793"/>
      <c r="O264" s="22">
        <f>E264</f>
        <v>0</v>
      </c>
      <c r="P264" s="17"/>
      <c r="Q264" s="17"/>
      <c r="R264" s="17"/>
      <c r="S264" s="14"/>
    </row>
    <row r="265" spans="1:19">
      <c r="A265" s="13"/>
      <c r="I265" s="14"/>
      <c r="K265" s="13"/>
      <c r="S265" s="14"/>
    </row>
    <row r="266" spans="1:19">
      <c r="A266" s="13"/>
      <c r="I266" s="14"/>
      <c r="K266" s="13"/>
      <c r="S266" s="14"/>
    </row>
    <row r="267" spans="1:19" ht="15.75" thickBot="1">
      <c r="A267" s="13"/>
      <c r="F267" s="23"/>
      <c r="G267" s="23"/>
      <c r="H267" s="23"/>
      <c r="I267" s="24"/>
      <c r="K267" s="13"/>
      <c r="P267" s="23"/>
      <c r="Q267" s="23"/>
      <c r="R267" s="23"/>
      <c r="S267" s="24"/>
    </row>
    <row r="268" spans="1:19" ht="15.75" thickBot="1">
      <c r="A268" s="25"/>
      <c r="B268" s="23"/>
      <c r="C268" s="23"/>
      <c r="D268" s="23"/>
      <c r="E268" s="23"/>
      <c r="F268" s="799" t="s">
        <v>65</v>
      </c>
      <c r="G268" s="799"/>
      <c r="H268" s="799"/>
      <c r="I268" s="800"/>
      <c r="K268" s="25"/>
      <c r="L268" s="23"/>
      <c r="M268" s="23"/>
      <c r="N268" s="23"/>
      <c r="O268" s="23"/>
      <c r="P268" s="799" t="s">
        <v>65</v>
      </c>
      <c r="Q268" s="799"/>
      <c r="R268" s="799"/>
      <c r="S268" s="800"/>
    </row>
    <row r="282" spans="1:19" ht="15.75" thickBot="1"/>
    <row r="283" spans="1:19" ht="26.25">
      <c r="A283" s="801" t="s">
        <v>50</v>
      </c>
      <c r="B283" s="802"/>
      <c r="C283" s="802"/>
      <c r="D283" s="802"/>
      <c r="E283" s="802"/>
      <c r="F283" s="802"/>
      <c r="G283" s="802"/>
      <c r="H283" s="802"/>
      <c r="I283" s="803"/>
      <c r="K283" s="801" t="s">
        <v>50</v>
      </c>
      <c r="L283" s="802"/>
      <c r="M283" s="802"/>
      <c r="N283" s="802"/>
      <c r="O283" s="802"/>
      <c r="P283" s="802"/>
      <c r="Q283" s="802"/>
      <c r="R283" s="802"/>
      <c r="S283" s="803"/>
    </row>
    <row r="284" spans="1:19">
      <c r="A284" s="794" t="s">
        <v>51</v>
      </c>
      <c r="B284" s="795"/>
      <c r="C284" s="795"/>
      <c r="D284" s="795"/>
      <c r="E284" s="795"/>
      <c r="F284" s="795"/>
      <c r="G284" s="795"/>
      <c r="H284" s="795"/>
      <c r="I284" s="796"/>
      <c r="K284" s="794" t="s">
        <v>51</v>
      </c>
      <c r="L284" s="795"/>
      <c r="M284" s="795"/>
      <c r="N284" s="795"/>
      <c r="O284" s="795"/>
      <c r="P284" s="795"/>
      <c r="Q284" s="795"/>
      <c r="R284" s="795"/>
      <c r="S284" s="796"/>
    </row>
    <row r="285" spans="1:19">
      <c r="A285" s="13"/>
      <c r="I285" s="14"/>
      <c r="K285" s="13"/>
      <c r="S285" s="14"/>
    </row>
    <row r="286" spans="1:19">
      <c r="A286" s="15" t="s">
        <v>52</v>
      </c>
      <c r="B286" s="3"/>
      <c r="C286" s="3"/>
      <c r="D286" s="6">
        <f>'BOM 04 22Master'!F543</f>
        <v>0</v>
      </c>
      <c r="I286" s="14"/>
      <c r="K286" s="15" t="s">
        <v>52</v>
      </c>
      <c r="L286" s="3"/>
      <c r="M286" s="3"/>
      <c r="N286" s="6">
        <f>D286</f>
        <v>0</v>
      </c>
      <c r="S286" s="14"/>
    </row>
    <row r="287" spans="1:19">
      <c r="A287" s="15"/>
      <c r="B287" s="3">
        <f>'BOM 04 22Master'!F544</f>
        <v>0</v>
      </c>
      <c r="C287" s="3"/>
      <c r="D287" s="3"/>
      <c r="I287" s="14"/>
      <c r="K287" s="15"/>
      <c r="L287" s="3">
        <f>B287</f>
        <v>0</v>
      </c>
      <c r="M287" s="3"/>
      <c r="N287" s="3"/>
      <c r="S287" s="14"/>
    </row>
    <row r="288" spans="1:19">
      <c r="A288" s="15"/>
      <c r="B288" s="3">
        <f>'BOM 04 22Master'!F545</f>
        <v>0</v>
      </c>
      <c r="C288" s="3"/>
      <c r="D288" s="3"/>
      <c r="E288" s="3"/>
      <c r="I288" s="14"/>
      <c r="K288" s="15"/>
      <c r="L288" s="3">
        <f>B288</f>
        <v>0</v>
      </c>
      <c r="M288" s="3"/>
      <c r="N288" s="3"/>
      <c r="O288" s="3"/>
      <c r="S288" s="14"/>
    </row>
    <row r="289" spans="1:19" ht="15" customHeight="1">
      <c r="A289" s="797" t="s">
        <v>53</v>
      </c>
      <c r="B289" s="798"/>
      <c r="C289" s="798"/>
      <c r="D289" s="798"/>
      <c r="E289" s="3"/>
      <c r="I289" s="14"/>
      <c r="K289" s="797" t="s">
        <v>53</v>
      </c>
      <c r="L289" s="798"/>
      <c r="M289" s="798"/>
      <c r="N289" s="798"/>
      <c r="O289" s="3"/>
      <c r="S289" s="14"/>
    </row>
    <row r="290" spans="1:19">
      <c r="A290" s="797"/>
      <c r="B290" s="798"/>
      <c r="C290" s="798"/>
      <c r="D290" s="798"/>
      <c r="E290" s="16">
        <f>'BOM 04 22Master'!U556</f>
        <v>0</v>
      </c>
      <c r="F290" s="17"/>
      <c r="G290" s="17"/>
      <c r="H290" s="17"/>
      <c r="I290" s="14"/>
      <c r="K290" s="797"/>
      <c r="L290" s="798"/>
      <c r="M290" s="798"/>
      <c r="N290" s="798"/>
      <c r="O290" s="16">
        <f>E290</f>
        <v>0</v>
      </c>
      <c r="P290" s="17"/>
      <c r="Q290" s="17"/>
      <c r="R290" s="17"/>
      <c r="S290" s="14"/>
    </row>
    <row r="291" spans="1:19">
      <c r="A291" s="15"/>
      <c r="B291" s="3"/>
      <c r="C291" s="3"/>
      <c r="D291" s="3"/>
      <c r="E291" s="3"/>
      <c r="I291" s="14"/>
      <c r="K291" s="15"/>
      <c r="L291" s="3"/>
      <c r="M291" s="3"/>
      <c r="N291" s="3"/>
      <c r="O291" s="3"/>
      <c r="S291" s="14"/>
    </row>
    <row r="292" spans="1:19">
      <c r="A292" s="792" t="s">
        <v>54</v>
      </c>
      <c r="B292" s="793"/>
      <c r="C292" s="793"/>
      <c r="D292" s="793"/>
      <c r="E292" s="16">
        <f>'BOM 04 22Master'!F546</f>
        <v>0</v>
      </c>
      <c r="F292" s="17"/>
      <c r="G292" s="17"/>
      <c r="H292" s="17"/>
      <c r="I292" s="14"/>
      <c r="K292" s="792" t="s">
        <v>54</v>
      </c>
      <c r="L292" s="793"/>
      <c r="M292" s="793"/>
      <c r="N292" s="793"/>
      <c r="O292" s="16">
        <f>E292</f>
        <v>0</v>
      </c>
      <c r="P292" s="17"/>
      <c r="Q292" s="17"/>
      <c r="R292" s="17"/>
      <c r="S292" s="14"/>
    </row>
    <row r="293" spans="1:19">
      <c r="A293" s="15"/>
      <c r="B293" s="3"/>
      <c r="C293" s="3"/>
      <c r="D293" s="3"/>
      <c r="E293" s="3"/>
      <c r="I293" s="14"/>
      <c r="K293" s="15"/>
      <c r="L293" s="3"/>
      <c r="M293" s="3"/>
      <c r="N293" s="3"/>
      <c r="O293" s="3"/>
      <c r="S293" s="14"/>
    </row>
    <row r="294" spans="1:19">
      <c r="A294" s="792" t="s">
        <v>55</v>
      </c>
      <c r="B294" s="793"/>
      <c r="C294" s="793"/>
      <c r="D294" s="793"/>
      <c r="E294" s="18">
        <f>'BOM 04 22Master'!D548</f>
        <v>0</v>
      </c>
      <c r="F294" s="17"/>
      <c r="G294" s="17"/>
      <c r="H294" s="17"/>
      <c r="I294" s="14"/>
      <c r="K294" s="792" t="s">
        <v>55</v>
      </c>
      <c r="L294" s="793"/>
      <c r="M294" s="793"/>
      <c r="N294" s="793"/>
      <c r="O294" s="18">
        <f>E294</f>
        <v>0</v>
      </c>
      <c r="P294" s="17"/>
      <c r="Q294" s="17"/>
      <c r="R294" s="17"/>
      <c r="S294" s="14"/>
    </row>
    <row r="295" spans="1:19">
      <c r="A295" s="15"/>
      <c r="B295" s="3"/>
      <c r="C295" s="3"/>
      <c r="D295" s="3"/>
      <c r="E295" s="3"/>
      <c r="I295" s="14"/>
      <c r="K295" s="15"/>
      <c r="L295" s="3"/>
      <c r="M295" s="3"/>
      <c r="N295" s="3"/>
      <c r="O295" s="3"/>
      <c r="S295" s="14"/>
    </row>
    <row r="296" spans="1:19">
      <c r="A296" s="19">
        <v>1</v>
      </c>
      <c r="B296" s="793" t="s">
        <v>56</v>
      </c>
      <c r="C296" s="793"/>
      <c r="D296" s="793"/>
      <c r="E296" s="20">
        <f>'BOM 04 22Master'!W556</f>
        <v>0</v>
      </c>
      <c r="F296" s="17"/>
      <c r="G296" s="17"/>
      <c r="H296" s="17"/>
      <c r="I296" s="14"/>
      <c r="K296" s="19">
        <v>1</v>
      </c>
      <c r="L296" s="793" t="s">
        <v>56</v>
      </c>
      <c r="M296" s="793"/>
      <c r="N296" s="793"/>
      <c r="O296" s="20">
        <f>E296</f>
        <v>0</v>
      </c>
      <c r="P296" s="17"/>
      <c r="Q296" s="17"/>
      <c r="R296" s="17"/>
      <c r="S296" s="14"/>
    </row>
    <row r="297" spans="1:19">
      <c r="A297" s="19"/>
      <c r="B297" s="3"/>
      <c r="C297" s="3"/>
      <c r="D297" s="3"/>
      <c r="E297" s="3"/>
      <c r="I297" s="14"/>
      <c r="K297" s="19"/>
      <c r="L297" s="3"/>
      <c r="M297" s="3"/>
      <c r="N297" s="3"/>
      <c r="O297" s="3"/>
      <c r="S297" s="14"/>
    </row>
    <row r="298" spans="1:19" ht="15" customHeight="1">
      <c r="A298" s="19">
        <v>2</v>
      </c>
      <c r="B298" s="798" t="s">
        <v>57</v>
      </c>
      <c r="C298" s="798"/>
      <c r="D298" s="798"/>
      <c r="E298" s="3"/>
      <c r="I298" s="14"/>
      <c r="K298" s="19">
        <v>2</v>
      </c>
      <c r="L298" s="798" t="s">
        <v>57</v>
      </c>
      <c r="M298" s="798"/>
      <c r="N298" s="798"/>
      <c r="O298" s="3"/>
      <c r="S298" s="14"/>
    </row>
    <row r="299" spans="1:19">
      <c r="A299" s="19"/>
      <c r="B299" s="798"/>
      <c r="C299" s="798"/>
      <c r="D299" s="798"/>
      <c r="E299" s="21" t="s">
        <v>37</v>
      </c>
      <c r="F299" s="17"/>
      <c r="G299" s="17"/>
      <c r="H299" s="17"/>
      <c r="I299" s="14"/>
      <c r="K299" s="19"/>
      <c r="L299" s="798"/>
      <c r="M299" s="798"/>
      <c r="N299" s="798"/>
      <c r="O299" s="21" t="s">
        <v>37</v>
      </c>
      <c r="P299" s="17"/>
      <c r="Q299" s="17"/>
      <c r="R299" s="17"/>
      <c r="S299" s="14"/>
    </row>
    <row r="300" spans="1:19">
      <c r="A300" s="19"/>
      <c r="B300" s="3"/>
      <c r="C300" s="3"/>
      <c r="D300" s="3"/>
      <c r="E300" s="3"/>
      <c r="I300" s="14"/>
      <c r="K300" s="19"/>
      <c r="L300" s="3"/>
      <c r="M300" s="3"/>
      <c r="N300" s="3"/>
      <c r="O300" s="3"/>
      <c r="S300" s="14"/>
    </row>
    <row r="301" spans="1:19">
      <c r="A301" s="19">
        <v>3</v>
      </c>
      <c r="B301" s="793" t="s">
        <v>58</v>
      </c>
      <c r="C301" s="793"/>
      <c r="D301" s="793"/>
      <c r="E301" s="21" t="s">
        <v>37</v>
      </c>
      <c r="F301" s="17"/>
      <c r="G301" s="17"/>
      <c r="H301" s="17"/>
      <c r="I301" s="14"/>
      <c r="K301" s="19">
        <v>3</v>
      </c>
      <c r="L301" s="793" t="s">
        <v>58</v>
      </c>
      <c r="M301" s="793"/>
      <c r="N301" s="793"/>
      <c r="O301" s="16" t="str">
        <f>E301</f>
        <v>N/A</v>
      </c>
      <c r="P301" s="17"/>
      <c r="Q301" s="17"/>
      <c r="R301" s="17"/>
      <c r="S301" s="14"/>
    </row>
    <row r="302" spans="1:19">
      <c r="A302" s="19"/>
      <c r="B302" s="3"/>
      <c r="C302" s="3"/>
      <c r="D302" s="3"/>
      <c r="E302" s="3"/>
      <c r="I302" s="14"/>
      <c r="K302" s="19"/>
      <c r="L302" s="3"/>
      <c r="M302" s="3"/>
      <c r="N302" s="3"/>
      <c r="O302" s="3"/>
      <c r="S302" s="14"/>
    </row>
    <row r="303" spans="1:19">
      <c r="A303" s="19">
        <v>4</v>
      </c>
      <c r="B303" s="793" t="s">
        <v>59</v>
      </c>
      <c r="C303" s="793"/>
      <c r="D303" s="793"/>
      <c r="E303" s="21" t="s">
        <v>60</v>
      </c>
      <c r="F303" s="17"/>
      <c r="G303" s="17"/>
      <c r="H303" s="17"/>
      <c r="I303" s="14"/>
      <c r="K303" s="19">
        <v>4</v>
      </c>
      <c r="L303" s="793" t="s">
        <v>59</v>
      </c>
      <c r="M303" s="793"/>
      <c r="N303" s="793"/>
      <c r="O303" s="21" t="s">
        <v>60</v>
      </c>
      <c r="P303" s="17"/>
      <c r="Q303" s="17"/>
      <c r="R303" s="17"/>
      <c r="S303" s="14"/>
    </row>
    <row r="304" spans="1:19">
      <c r="A304" s="19"/>
      <c r="B304" s="3"/>
      <c r="C304" s="3"/>
      <c r="D304" s="3"/>
      <c r="E304" s="3"/>
      <c r="I304" s="14"/>
      <c r="K304" s="19"/>
      <c r="L304" s="3"/>
      <c r="M304" s="3"/>
      <c r="N304" s="3"/>
      <c r="O304" s="3"/>
      <c r="S304" s="14"/>
    </row>
    <row r="305" spans="1:19">
      <c r="A305" s="19">
        <v>5</v>
      </c>
      <c r="B305" s="793" t="s">
        <v>61</v>
      </c>
      <c r="C305" s="793"/>
      <c r="D305" s="793"/>
      <c r="E305" s="289">
        <f>'BOM 04 22Master'!AM556</f>
        <v>0</v>
      </c>
      <c r="I305" s="14"/>
      <c r="K305" s="19">
        <v>5</v>
      </c>
      <c r="L305" s="793" t="s">
        <v>61</v>
      </c>
      <c r="M305" s="793"/>
      <c r="N305" s="793"/>
      <c r="O305" s="289">
        <f>E305</f>
        <v>0</v>
      </c>
      <c r="S305" s="14"/>
    </row>
    <row r="306" spans="1:19">
      <c r="A306" s="19"/>
      <c r="B306" s="3"/>
      <c r="C306" s="3"/>
      <c r="D306" s="290" t="s">
        <v>62</v>
      </c>
      <c r="E306" s="290" t="s">
        <v>31</v>
      </c>
      <c r="F306" s="290" t="s">
        <v>33</v>
      </c>
      <c r="G306" s="290" t="s">
        <v>34</v>
      </c>
      <c r="H306" s="290" t="s">
        <v>380</v>
      </c>
      <c r="I306" s="288" t="s">
        <v>381</v>
      </c>
      <c r="K306" s="19"/>
      <c r="L306" s="3"/>
      <c r="M306" s="3"/>
      <c r="N306" s="290" t="s">
        <v>62</v>
      </c>
      <c r="O306" s="290" t="s">
        <v>31</v>
      </c>
      <c r="P306" s="290" t="s">
        <v>33</v>
      </c>
      <c r="Q306" s="290" t="s">
        <v>34</v>
      </c>
      <c r="R306" s="290" t="s">
        <v>380</v>
      </c>
      <c r="S306" s="288" t="s">
        <v>381</v>
      </c>
    </row>
    <row r="307" spans="1:19">
      <c r="A307" s="19">
        <v>6</v>
      </c>
      <c r="B307" s="26" t="s">
        <v>63</v>
      </c>
      <c r="C307" s="26"/>
      <c r="D307" s="291">
        <f>'BOM 04 22Master'!AO556</f>
        <v>0</v>
      </c>
      <c r="E307" s="291">
        <f>'BOM 04 22Master'!AN556</f>
        <v>0</v>
      </c>
      <c r="F307" s="292">
        <f>'BOM 04 22Master'!AP556</f>
        <v>0</v>
      </c>
      <c r="G307" s="291">
        <f>'BOM 04 22Master'!AQ556</f>
        <v>0</v>
      </c>
      <c r="H307" s="292">
        <f>'BOM 04 22Master'!AR556</f>
        <v>0</v>
      </c>
      <c r="I307" s="292">
        <f>'BOM 04 22Master'!AS556</f>
        <v>0</v>
      </c>
      <c r="K307" s="19">
        <v>6</v>
      </c>
      <c r="L307" s="26" t="s">
        <v>63</v>
      </c>
      <c r="M307" s="26"/>
      <c r="N307" s="291">
        <f t="shared" ref="N307:S307" si="6">D307</f>
        <v>0</v>
      </c>
      <c r="O307" s="291">
        <f t="shared" si="6"/>
        <v>0</v>
      </c>
      <c r="P307" s="292">
        <f t="shared" si="6"/>
        <v>0</v>
      </c>
      <c r="Q307" s="291">
        <f t="shared" si="6"/>
        <v>0</v>
      </c>
      <c r="R307" s="292">
        <f t="shared" si="6"/>
        <v>0</v>
      </c>
      <c r="S307" s="292">
        <f t="shared" si="6"/>
        <v>0</v>
      </c>
    </row>
    <row r="308" spans="1:19">
      <c r="A308" s="19"/>
      <c r="B308" s="3"/>
      <c r="C308" s="3"/>
      <c r="D308" s="3"/>
      <c r="E308" s="3"/>
      <c r="I308" s="14"/>
      <c r="K308" s="19"/>
      <c r="L308" s="3"/>
      <c r="M308" s="3"/>
      <c r="N308" s="3"/>
      <c r="O308" s="3"/>
      <c r="S308" s="14"/>
    </row>
    <row r="309" spans="1:19">
      <c r="A309" s="19">
        <v>7</v>
      </c>
      <c r="B309" s="793" t="s">
        <v>64</v>
      </c>
      <c r="C309" s="793"/>
      <c r="D309" s="793"/>
      <c r="E309" s="22">
        <f>E305-I307</f>
        <v>0</v>
      </c>
      <c r="F309" s="17"/>
      <c r="G309" s="17"/>
      <c r="H309" s="17"/>
      <c r="I309" s="14"/>
      <c r="K309" s="19">
        <v>7</v>
      </c>
      <c r="L309" s="793" t="s">
        <v>64</v>
      </c>
      <c r="M309" s="793"/>
      <c r="N309" s="793"/>
      <c r="O309" s="22">
        <f>E309</f>
        <v>0</v>
      </c>
      <c r="P309" s="17"/>
      <c r="Q309" s="17"/>
      <c r="R309" s="17"/>
      <c r="S309" s="14"/>
    </row>
    <row r="310" spans="1:19">
      <c r="A310" s="13"/>
      <c r="I310" s="14"/>
      <c r="K310" s="13"/>
      <c r="S310" s="14"/>
    </row>
    <row r="311" spans="1:19">
      <c r="A311" s="13"/>
      <c r="I311" s="14"/>
      <c r="K311" s="13"/>
      <c r="S311" s="14"/>
    </row>
    <row r="312" spans="1:19" ht="15.75" thickBot="1">
      <c r="A312" s="13"/>
      <c r="F312" s="23"/>
      <c r="G312" s="23"/>
      <c r="H312" s="23"/>
      <c r="I312" s="24"/>
      <c r="K312" s="13"/>
      <c r="P312" s="23"/>
      <c r="Q312" s="23"/>
      <c r="R312" s="23"/>
      <c r="S312" s="24"/>
    </row>
    <row r="313" spans="1:19" ht="15.75" thickBot="1">
      <c r="A313" s="25"/>
      <c r="B313" s="23"/>
      <c r="C313" s="23"/>
      <c r="D313" s="23"/>
      <c r="E313" s="23"/>
      <c r="F313" s="799" t="s">
        <v>65</v>
      </c>
      <c r="G313" s="799"/>
      <c r="H313" s="799"/>
      <c r="I313" s="800"/>
      <c r="K313" s="25"/>
      <c r="L313" s="23"/>
      <c r="M313" s="23"/>
      <c r="N313" s="23"/>
      <c r="O313" s="23"/>
      <c r="P313" s="799" t="s">
        <v>65</v>
      </c>
      <c r="Q313" s="799"/>
      <c r="R313" s="799"/>
      <c r="S313" s="800"/>
    </row>
    <row r="327" spans="1:19" ht="15.75" thickBot="1"/>
    <row r="328" spans="1:19" ht="26.25">
      <c r="A328" s="801" t="s">
        <v>50</v>
      </c>
      <c r="B328" s="802"/>
      <c r="C328" s="802"/>
      <c r="D328" s="802"/>
      <c r="E328" s="802"/>
      <c r="F328" s="802"/>
      <c r="G328" s="802"/>
      <c r="H328" s="802"/>
      <c r="I328" s="803"/>
      <c r="K328" s="801" t="s">
        <v>50</v>
      </c>
      <c r="L328" s="802"/>
      <c r="M328" s="802"/>
      <c r="N328" s="802"/>
      <c r="O328" s="802"/>
      <c r="P328" s="802"/>
      <c r="Q328" s="802"/>
      <c r="R328" s="802"/>
      <c r="S328" s="803"/>
    </row>
    <row r="329" spans="1:19">
      <c r="A329" s="794" t="s">
        <v>51</v>
      </c>
      <c r="B329" s="795"/>
      <c r="C329" s="795"/>
      <c r="D329" s="795"/>
      <c r="E329" s="795"/>
      <c r="F329" s="795"/>
      <c r="G329" s="795"/>
      <c r="H329" s="795"/>
      <c r="I329" s="796"/>
      <c r="K329" s="794" t="s">
        <v>51</v>
      </c>
      <c r="L329" s="795"/>
      <c r="M329" s="795"/>
      <c r="N329" s="795"/>
      <c r="O329" s="795"/>
      <c r="P329" s="795"/>
      <c r="Q329" s="795"/>
      <c r="R329" s="795"/>
      <c r="S329" s="796"/>
    </row>
    <row r="330" spans="1:19">
      <c r="A330" s="13"/>
      <c r="I330" s="14"/>
      <c r="K330" s="13"/>
      <c r="S330" s="14"/>
    </row>
    <row r="331" spans="1:19">
      <c r="A331" s="15" t="s">
        <v>52</v>
      </c>
      <c r="B331" s="3"/>
      <c r="C331" s="3"/>
      <c r="D331" s="6">
        <f>'BOM 04 22Master'!F588</f>
        <v>0</v>
      </c>
      <c r="I331" s="14"/>
      <c r="K331" s="15" t="s">
        <v>52</v>
      </c>
      <c r="L331" s="3"/>
      <c r="M331" s="3"/>
      <c r="N331" s="6">
        <f>D331</f>
        <v>0</v>
      </c>
      <c r="S331" s="14"/>
    </row>
    <row r="332" spans="1:19">
      <c r="A332" s="15"/>
      <c r="B332" s="3">
        <f>'BOM 04 22Master'!F589</f>
        <v>0</v>
      </c>
      <c r="C332" s="3"/>
      <c r="D332" s="3"/>
      <c r="I332" s="14"/>
      <c r="K332" s="15"/>
      <c r="L332" s="3">
        <f>B332</f>
        <v>0</v>
      </c>
      <c r="M332" s="3"/>
      <c r="N332" s="3"/>
      <c r="S332" s="14"/>
    </row>
    <row r="333" spans="1:19">
      <c r="A333" s="15"/>
      <c r="B333" s="3">
        <f>'BOM 04 22Master'!F590</f>
        <v>0</v>
      </c>
      <c r="C333" s="3"/>
      <c r="D333" s="3"/>
      <c r="E333" s="3"/>
      <c r="I333" s="14"/>
      <c r="K333" s="15"/>
      <c r="L333" s="3">
        <f>B333</f>
        <v>0</v>
      </c>
      <c r="M333" s="3"/>
      <c r="N333" s="3"/>
      <c r="O333" s="3"/>
      <c r="S333" s="14"/>
    </row>
    <row r="334" spans="1:19" ht="15" customHeight="1">
      <c r="A334" s="797" t="s">
        <v>53</v>
      </c>
      <c r="B334" s="798"/>
      <c r="C334" s="798"/>
      <c r="D334" s="798"/>
      <c r="E334" s="3"/>
      <c r="I334" s="14"/>
      <c r="K334" s="797" t="s">
        <v>53</v>
      </c>
      <c r="L334" s="798"/>
      <c r="M334" s="798"/>
      <c r="N334" s="798"/>
      <c r="O334" s="3"/>
      <c r="S334" s="14"/>
    </row>
    <row r="335" spans="1:19">
      <c r="A335" s="797"/>
      <c r="B335" s="798"/>
      <c r="C335" s="798"/>
      <c r="D335" s="798"/>
      <c r="E335" s="16">
        <f>'BOM 04 22Master'!U601</f>
        <v>0</v>
      </c>
      <c r="F335" s="17"/>
      <c r="G335" s="17"/>
      <c r="H335" s="17"/>
      <c r="I335" s="14"/>
      <c r="K335" s="797"/>
      <c r="L335" s="798"/>
      <c r="M335" s="798"/>
      <c r="N335" s="798"/>
      <c r="O335" s="16">
        <f>E335</f>
        <v>0</v>
      </c>
      <c r="P335" s="17"/>
      <c r="Q335" s="17"/>
      <c r="R335" s="17"/>
      <c r="S335" s="14"/>
    </row>
    <row r="336" spans="1:19">
      <c r="A336" s="15"/>
      <c r="B336" s="3"/>
      <c r="C336" s="3"/>
      <c r="D336" s="3"/>
      <c r="E336" s="3"/>
      <c r="I336" s="14"/>
      <c r="K336" s="15"/>
      <c r="L336" s="3"/>
      <c r="M336" s="3"/>
      <c r="N336" s="3"/>
      <c r="O336" s="3"/>
      <c r="S336" s="14"/>
    </row>
    <row r="337" spans="1:19">
      <c r="A337" s="792" t="s">
        <v>54</v>
      </c>
      <c r="B337" s="793"/>
      <c r="C337" s="793"/>
      <c r="D337" s="793"/>
      <c r="E337" s="16">
        <f>'BOM 04 22Master'!F591</f>
        <v>0</v>
      </c>
      <c r="F337" s="17"/>
      <c r="G337" s="17"/>
      <c r="H337" s="17"/>
      <c r="I337" s="14"/>
      <c r="K337" s="792" t="s">
        <v>54</v>
      </c>
      <c r="L337" s="793"/>
      <c r="M337" s="793"/>
      <c r="N337" s="793"/>
      <c r="O337" s="16">
        <f>E337</f>
        <v>0</v>
      </c>
      <c r="P337" s="17"/>
      <c r="Q337" s="17"/>
      <c r="R337" s="17"/>
      <c r="S337" s="14"/>
    </row>
    <row r="338" spans="1:19">
      <c r="A338" s="15"/>
      <c r="B338" s="3"/>
      <c r="C338" s="3"/>
      <c r="D338" s="3"/>
      <c r="E338" s="3"/>
      <c r="I338" s="14"/>
      <c r="K338" s="15"/>
      <c r="L338" s="3"/>
      <c r="M338" s="3"/>
      <c r="N338" s="3"/>
      <c r="O338" s="3"/>
      <c r="S338" s="14"/>
    </row>
    <row r="339" spans="1:19">
      <c r="A339" s="792" t="s">
        <v>55</v>
      </c>
      <c r="B339" s="793"/>
      <c r="C339" s="793"/>
      <c r="D339" s="793"/>
      <c r="E339" s="18">
        <f>'BOM 04 22Master'!D593</f>
        <v>0</v>
      </c>
      <c r="F339" s="17"/>
      <c r="G339" s="17"/>
      <c r="H339" s="17"/>
      <c r="I339" s="14"/>
      <c r="K339" s="792" t="s">
        <v>55</v>
      </c>
      <c r="L339" s="793"/>
      <c r="M339" s="793"/>
      <c r="N339" s="793"/>
      <c r="O339" s="18">
        <f>E339</f>
        <v>0</v>
      </c>
      <c r="P339" s="17"/>
      <c r="Q339" s="17"/>
      <c r="R339" s="17"/>
      <c r="S339" s="14"/>
    </row>
    <row r="340" spans="1:19">
      <c r="A340" s="15"/>
      <c r="B340" s="3"/>
      <c r="C340" s="3"/>
      <c r="D340" s="3"/>
      <c r="E340" s="3"/>
      <c r="I340" s="14"/>
      <c r="K340" s="15"/>
      <c r="L340" s="3"/>
      <c r="M340" s="3"/>
      <c r="N340" s="3"/>
      <c r="O340" s="3"/>
      <c r="S340" s="14"/>
    </row>
    <row r="341" spans="1:19">
      <c r="A341" s="19">
        <v>1</v>
      </c>
      <c r="B341" s="793" t="s">
        <v>56</v>
      </c>
      <c r="C341" s="793"/>
      <c r="D341" s="793"/>
      <c r="E341" s="20">
        <f>'BOM 04 22Master'!W601</f>
        <v>0</v>
      </c>
      <c r="F341" s="17"/>
      <c r="G341" s="17"/>
      <c r="H341" s="17"/>
      <c r="I341" s="14"/>
      <c r="K341" s="19">
        <v>1</v>
      </c>
      <c r="L341" s="793" t="s">
        <v>56</v>
      </c>
      <c r="M341" s="793"/>
      <c r="N341" s="793"/>
      <c r="O341" s="20">
        <f>E341</f>
        <v>0</v>
      </c>
      <c r="P341" s="17"/>
      <c r="Q341" s="17"/>
      <c r="R341" s="17"/>
      <c r="S341" s="14"/>
    </row>
    <row r="342" spans="1:19">
      <c r="A342" s="19"/>
      <c r="B342" s="3"/>
      <c r="C342" s="3"/>
      <c r="D342" s="3"/>
      <c r="E342" s="3"/>
      <c r="I342" s="14"/>
      <c r="K342" s="19"/>
      <c r="L342" s="3"/>
      <c r="M342" s="3"/>
      <c r="N342" s="3"/>
      <c r="O342" s="3"/>
      <c r="S342" s="14"/>
    </row>
    <row r="343" spans="1:19" ht="15" customHeight="1">
      <c r="A343" s="19">
        <v>2</v>
      </c>
      <c r="B343" s="798" t="s">
        <v>57</v>
      </c>
      <c r="C343" s="798"/>
      <c r="D343" s="798"/>
      <c r="E343" s="3"/>
      <c r="I343" s="14"/>
      <c r="K343" s="19">
        <v>2</v>
      </c>
      <c r="L343" s="798" t="s">
        <v>57</v>
      </c>
      <c r="M343" s="798"/>
      <c r="N343" s="798"/>
      <c r="O343" s="3"/>
      <c r="S343" s="14"/>
    </row>
    <row r="344" spans="1:19">
      <c r="A344" s="19"/>
      <c r="B344" s="798"/>
      <c r="C344" s="798"/>
      <c r="D344" s="798"/>
      <c r="E344" s="21" t="s">
        <v>37</v>
      </c>
      <c r="F344" s="17"/>
      <c r="G344" s="17"/>
      <c r="H344" s="17"/>
      <c r="I344" s="14"/>
      <c r="K344" s="19"/>
      <c r="L344" s="798"/>
      <c r="M344" s="798"/>
      <c r="N344" s="798"/>
      <c r="O344" s="21" t="s">
        <v>37</v>
      </c>
      <c r="P344" s="17"/>
      <c r="Q344" s="17"/>
      <c r="R344" s="17"/>
      <c r="S344" s="14"/>
    </row>
    <row r="345" spans="1:19">
      <c r="A345" s="19"/>
      <c r="B345" s="3"/>
      <c r="C345" s="3"/>
      <c r="D345" s="3"/>
      <c r="E345" s="3"/>
      <c r="I345" s="14"/>
      <c r="K345" s="19"/>
      <c r="L345" s="3"/>
      <c r="M345" s="3"/>
      <c r="N345" s="3"/>
      <c r="O345" s="3"/>
      <c r="S345" s="14"/>
    </row>
    <row r="346" spans="1:19">
      <c r="A346" s="19">
        <v>3</v>
      </c>
      <c r="B346" s="793" t="s">
        <v>58</v>
      </c>
      <c r="C346" s="793"/>
      <c r="D346" s="793"/>
      <c r="E346" s="21" t="s">
        <v>37</v>
      </c>
      <c r="F346" s="17"/>
      <c r="G346" s="17"/>
      <c r="H346" s="17"/>
      <c r="I346" s="14"/>
      <c r="K346" s="19">
        <v>3</v>
      </c>
      <c r="L346" s="793" t="s">
        <v>58</v>
      </c>
      <c r="M346" s="793"/>
      <c r="N346" s="793"/>
      <c r="O346" s="16" t="str">
        <f>E346</f>
        <v>N/A</v>
      </c>
      <c r="P346" s="17"/>
      <c r="Q346" s="17"/>
      <c r="R346" s="17"/>
      <c r="S346" s="14"/>
    </row>
    <row r="347" spans="1:19">
      <c r="A347" s="19"/>
      <c r="B347" s="3"/>
      <c r="C347" s="3"/>
      <c r="D347" s="3"/>
      <c r="E347" s="3"/>
      <c r="I347" s="14"/>
      <c r="K347" s="19"/>
      <c r="L347" s="3"/>
      <c r="M347" s="3"/>
      <c r="N347" s="3"/>
      <c r="O347" s="3"/>
      <c r="S347" s="14"/>
    </row>
    <row r="348" spans="1:19">
      <c r="A348" s="19">
        <v>4</v>
      </c>
      <c r="B348" s="793" t="s">
        <v>59</v>
      </c>
      <c r="C348" s="793"/>
      <c r="D348" s="793"/>
      <c r="E348" s="21" t="s">
        <v>60</v>
      </c>
      <c r="F348" s="17"/>
      <c r="G348" s="17"/>
      <c r="H348" s="17"/>
      <c r="I348" s="14"/>
      <c r="K348" s="19">
        <v>4</v>
      </c>
      <c r="L348" s="793" t="s">
        <v>59</v>
      </c>
      <c r="M348" s="793"/>
      <c r="N348" s="793"/>
      <c r="O348" s="21" t="s">
        <v>60</v>
      </c>
      <c r="P348" s="17"/>
      <c r="Q348" s="17"/>
      <c r="R348" s="17"/>
      <c r="S348" s="14"/>
    </row>
    <row r="349" spans="1:19">
      <c r="A349" s="19"/>
      <c r="B349" s="3"/>
      <c r="C349" s="3"/>
      <c r="D349" s="3"/>
      <c r="E349" s="3"/>
      <c r="I349" s="14"/>
      <c r="K349" s="19"/>
      <c r="L349" s="3"/>
      <c r="M349" s="3"/>
      <c r="N349" s="3"/>
      <c r="O349" s="3"/>
      <c r="S349" s="14"/>
    </row>
    <row r="350" spans="1:19">
      <c r="A350" s="19">
        <v>5</v>
      </c>
      <c r="B350" s="793" t="s">
        <v>61</v>
      </c>
      <c r="C350" s="793"/>
      <c r="D350" s="793"/>
      <c r="E350" s="289">
        <f>'BOM 04 22Master'!AM601</f>
        <v>0</v>
      </c>
      <c r="I350" s="14"/>
      <c r="K350" s="19">
        <v>5</v>
      </c>
      <c r="L350" s="793" t="s">
        <v>61</v>
      </c>
      <c r="M350" s="793"/>
      <c r="N350" s="793"/>
      <c r="O350" s="289">
        <f>E350</f>
        <v>0</v>
      </c>
      <c r="S350" s="14"/>
    </row>
    <row r="351" spans="1:19">
      <c r="A351" s="19"/>
      <c r="B351" s="3"/>
      <c r="C351" s="3"/>
      <c r="D351" s="290" t="s">
        <v>62</v>
      </c>
      <c r="E351" s="290" t="s">
        <v>31</v>
      </c>
      <c r="F351" s="290" t="s">
        <v>33</v>
      </c>
      <c r="G351" s="290" t="s">
        <v>34</v>
      </c>
      <c r="H351" s="290" t="s">
        <v>380</v>
      </c>
      <c r="I351" s="288" t="s">
        <v>381</v>
      </c>
      <c r="K351" s="19"/>
      <c r="L351" s="3"/>
      <c r="M351" s="3"/>
      <c r="N351" s="290" t="s">
        <v>62</v>
      </c>
      <c r="O351" s="290" t="s">
        <v>31</v>
      </c>
      <c r="P351" s="290" t="s">
        <v>33</v>
      </c>
      <c r="Q351" s="290" t="s">
        <v>34</v>
      </c>
      <c r="R351" s="290" t="s">
        <v>380</v>
      </c>
      <c r="S351" s="288" t="s">
        <v>381</v>
      </c>
    </row>
    <row r="352" spans="1:19">
      <c r="A352" s="19">
        <v>6</v>
      </c>
      <c r="B352" s="26" t="s">
        <v>63</v>
      </c>
      <c r="C352" s="26"/>
      <c r="D352" s="291">
        <f>'BOM 04 22Master'!AO601</f>
        <v>0</v>
      </c>
      <c r="E352" s="291">
        <f>'BOM 04 22Master'!AN601</f>
        <v>0</v>
      </c>
      <c r="F352" s="292">
        <f>'BOM 04 22Master'!AP601</f>
        <v>0</v>
      </c>
      <c r="G352" s="291">
        <f>'BOM 04 22Master'!AQ601</f>
        <v>0</v>
      </c>
      <c r="H352" s="292">
        <f>'BOM 04 22Master'!AR601</f>
        <v>0</v>
      </c>
      <c r="I352" s="292">
        <f>'BOM 04 22Master'!AS601</f>
        <v>0</v>
      </c>
      <c r="K352" s="19">
        <v>6</v>
      </c>
      <c r="L352" s="26" t="s">
        <v>63</v>
      </c>
      <c r="M352" s="26"/>
      <c r="N352" s="291">
        <f t="shared" ref="N352:S352" si="7">D352</f>
        <v>0</v>
      </c>
      <c r="O352" s="291">
        <f t="shared" si="7"/>
        <v>0</v>
      </c>
      <c r="P352" s="292">
        <f t="shared" si="7"/>
        <v>0</v>
      </c>
      <c r="Q352" s="291">
        <f t="shared" si="7"/>
        <v>0</v>
      </c>
      <c r="R352" s="292">
        <f t="shared" si="7"/>
        <v>0</v>
      </c>
      <c r="S352" s="292">
        <f t="shared" si="7"/>
        <v>0</v>
      </c>
    </row>
    <row r="353" spans="1:19">
      <c r="A353" s="19"/>
      <c r="B353" s="3"/>
      <c r="C353" s="3"/>
      <c r="D353" s="3"/>
      <c r="E353" s="3"/>
      <c r="I353" s="14"/>
      <c r="K353" s="19"/>
      <c r="L353" s="3"/>
      <c r="M353" s="3"/>
      <c r="N353" s="3"/>
      <c r="O353" s="3"/>
      <c r="S353" s="14"/>
    </row>
    <row r="354" spans="1:19">
      <c r="A354" s="19">
        <v>7</v>
      </c>
      <c r="B354" s="793" t="s">
        <v>64</v>
      </c>
      <c r="C354" s="793"/>
      <c r="D354" s="793"/>
      <c r="E354" s="22">
        <f>E350-I352</f>
        <v>0</v>
      </c>
      <c r="F354" s="17"/>
      <c r="G354" s="17"/>
      <c r="H354" s="17"/>
      <c r="I354" s="14"/>
      <c r="K354" s="19">
        <v>7</v>
      </c>
      <c r="L354" s="793" t="s">
        <v>64</v>
      </c>
      <c r="M354" s="793"/>
      <c r="N354" s="793"/>
      <c r="O354" s="22">
        <f>E354</f>
        <v>0</v>
      </c>
      <c r="P354" s="17"/>
      <c r="Q354" s="17"/>
      <c r="R354" s="17"/>
      <c r="S354" s="14"/>
    </row>
    <row r="355" spans="1:19">
      <c r="A355" s="13"/>
      <c r="I355" s="14"/>
      <c r="K355" s="13"/>
      <c r="S355" s="14"/>
    </row>
    <row r="356" spans="1:19">
      <c r="A356" s="13"/>
      <c r="I356" s="14"/>
      <c r="K356" s="13"/>
      <c r="S356" s="14"/>
    </row>
    <row r="357" spans="1:19" ht="15.75" thickBot="1">
      <c r="A357" s="13"/>
      <c r="F357" s="23"/>
      <c r="G357" s="23"/>
      <c r="H357" s="23"/>
      <c r="I357" s="24"/>
      <c r="K357" s="13"/>
      <c r="P357" s="23"/>
      <c r="Q357" s="23"/>
      <c r="R357" s="23"/>
      <c r="S357" s="24"/>
    </row>
    <row r="358" spans="1:19" ht="15.75" thickBot="1">
      <c r="A358" s="25"/>
      <c r="B358" s="23"/>
      <c r="C358" s="23"/>
      <c r="D358" s="23"/>
      <c r="E358" s="23"/>
      <c r="F358" s="799" t="s">
        <v>65</v>
      </c>
      <c r="G358" s="799"/>
      <c r="H358" s="799"/>
      <c r="I358" s="800"/>
      <c r="K358" s="25"/>
      <c r="L358" s="23"/>
      <c r="M358" s="23"/>
      <c r="N358" s="23"/>
      <c r="O358" s="23"/>
      <c r="P358" s="799" t="s">
        <v>65</v>
      </c>
      <c r="Q358" s="799"/>
      <c r="R358" s="799"/>
      <c r="S358" s="800"/>
    </row>
    <row r="372" spans="1:19" ht="15.75" thickBot="1"/>
    <row r="373" spans="1:19" ht="26.25">
      <c r="A373" s="801" t="s">
        <v>50</v>
      </c>
      <c r="B373" s="802"/>
      <c r="C373" s="802"/>
      <c r="D373" s="802"/>
      <c r="E373" s="802"/>
      <c r="F373" s="802"/>
      <c r="G373" s="802"/>
      <c r="H373" s="802"/>
      <c r="I373" s="803"/>
      <c r="K373" s="801" t="s">
        <v>50</v>
      </c>
      <c r="L373" s="802"/>
      <c r="M373" s="802"/>
      <c r="N373" s="802"/>
      <c r="O373" s="802"/>
      <c r="P373" s="802"/>
      <c r="Q373" s="802"/>
      <c r="R373" s="802"/>
      <c r="S373" s="803"/>
    </row>
    <row r="374" spans="1:19">
      <c r="A374" s="794" t="s">
        <v>51</v>
      </c>
      <c r="B374" s="795"/>
      <c r="C374" s="795"/>
      <c r="D374" s="795"/>
      <c r="E374" s="795"/>
      <c r="F374" s="795"/>
      <c r="G374" s="795"/>
      <c r="H374" s="795"/>
      <c r="I374" s="796"/>
      <c r="K374" s="794" t="s">
        <v>51</v>
      </c>
      <c r="L374" s="795"/>
      <c r="M374" s="795"/>
      <c r="N374" s="795"/>
      <c r="O374" s="795"/>
      <c r="P374" s="795"/>
      <c r="Q374" s="795"/>
      <c r="R374" s="795"/>
      <c r="S374" s="796"/>
    </row>
    <row r="375" spans="1:19">
      <c r="A375" s="13"/>
      <c r="I375" s="14"/>
      <c r="K375" s="13"/>
      <c r="S375" s="14"/>
    </row>
    <row r="376" spans="1:19">
      <c r="A376" s="15" t="s">
        <v>52</v>
      </c>
      <c r="B376" s="3"/>
      <c r="C376" s="3"/>
      <c r="D376" s="6">
        <f>'BOM 04 22Master'!F633</f>
        <v>0</v>
      </c>
      <c r="I376" s="14"/>
      <c r="K376" s="15" t="s">
        <v>52</v>
      </c>
      <c r="L376" s="3"/>
      <c r="M376" s="3"/>
      <c r="N376" s="6">
        <f>D376</f>
        <v>0</v>
      </c>
      <c r="S376" s="14"/>
    </row>
    <row r="377" spans="1:19">
      <c r="A377" s="15"/>
      <c r="B377" s="3">
        <f>'BOM 04 22Master'!F634</f>
        <v>0</v>
      </c>
      <c r="C377" s="3"/>
      <c r="D377" s="3"/>
      <c r="I377" s="14"/>
      <c r="K377" s="15"/>
      <c r="L377" s="3">
        <f>B377</f>
        <v>0</v>
      </c>
      <c r="M377" s="3"/>
      <c r="N377" s="3"/>
      <c r="S377" s="14"/>
    </row>
    <row r="378" spans="1:19">
      <c r="A378" s="15"/>
      <c r="B378" s="3">
        <f>'BOM 04 22Master'!F635</f>
        <v>0</v>
      </c>
      <c r="C378" s="3"/>
      <c r="D378" s="3"/>
      <c r="E378" s="3"/>
      <c r="I378" s="14"/>
      <c r="K378" s="15"/>
      <c r="L378" s="3">
        <f>B378</f>
        <v>0</v>
      </c>
      <c r="M378" s="3"/>
      <c r="N378" s="3"/>
      <c r="O378" s="3"/>
      <c r="S378" s="14"/>
    </row>
    <row r="379" spans="1:19" ht="15" customHeight="1">
      <c r="A379" s="797" t="s">
        <v>53</v>
      </c>
      <c r="B379" s="798"/>
      <c r="C379" s="798"/>
      <c r="D379" s="798"/>
      <c r="E379" s="3"/>
      <c r="I379" s="14"/>
      <c r="K379" s="797" t="s">
        <v>53</v>
      </c>
      <c r="L379" s="798"/>
      <c r="M379" s="798"/>
      <c r="N379" s="798"/>
      <c r="O379" s="3"/>
      <c r="S379" s="14"/>
    </row>
    <row r="380" spans="1:19">
      <c r="A380" s="797"/>
      <c r="B380" s="798"/>
      <c r="C380" s="798"/>
      <c r="D380" s="798"/>
      <c r="E380" s="16">
        <f>'BOM 04 22Master'!U646</f>
        <v>0</v>
      </c>
      <c r="F380" s="17"/>
      <c r="G380" s="17"/>
      <c r="H380" s="17"/>
      <c r="I380" s="14"/>
      <c r="K380" s="797"/>
      <c r="L380" s="798"/>
      <c r="M380" s="798"/>
      <c r="N380" s="798"/>
      <c r="O380" s="16">
        <f>E380</f>
        <v>0</v>
      </c>
      <c r="P380" s="17"/>
      <c r="Q380" s="17"/>
      <c r="R380" s="17"/>
      <c r="S380" s="14"/>
    </row>
    <row r="381" spans="1:19">
      <c r="A381" s="15"/>
      <c r="B381" s="3"/>
      <c r="C381" s="3"/>
      <c r="D381" s="3"/>
      <c r="E381" s="3"/>
      <c r="I381" s="14"/>
      <c r="K381" s="15"/>
      <c r="L381" s="3"/>
      <c r="M381" s="3"/>
      <c r="N381" s="3"/>
      <c r="O381" s="3"/>
      <c r="S381" s="14"/>
    </row>
    <row r="382" spans="1:19">
      <c r="A382" s="792" t="s">
        <v>54</v>
      </c>
      <c r="B382" s="793"/>
      <c r="C382" s="793"/>
      <c r="D382" s="793"/>
      <c r="E382" s="16">
        <f>'BOM 04 22Master'!F636</f>
        <v>0</v>
      </c>
      <c r="F382" s="17"/>
      <c r="G382" s="17"/>
      <c r="H382" s="17"/>
      <c r="I382" s="14"/>
      <c r="K382" s="792" t="s">
        <v>54</v>
      </c>
      <c r="L382" s="793"/>
      <c r="M382" s="793"/>
      <c r="N382" s="793"/>
      <c r="O382" s="16">
        <f>E382</f>
        <v>0</v>
      </c>
      <c r="P382" s="17"/>
      <c r="Q382" s="17"/>
      <c r="R382" s="17"/>
      <c r="S382" s="14"/>
    </row>
    <row r="383" spans="1:19">
      <c r="A383" s="15"/>
      <c r="B383" s="3"/>
      <c r="C383" s="3"/>
      <c r="D383" s="3"/>
      <c r="E383" s="3"/>
      <c r="I383" s="14"/>
      <c r="K383" s="15"/>
      <c r="L383" s="3"/>
      <c r="M383" s="3"/>
      <c r="N383" s="3"/>
      <c r="O383" s="3"/>
      <c r="S383" s="14"/>
    </row>
    <row r="384" spans="1:19">
      <c r="A384" s="792" t="s">
        <v>55</v>
      </c>
      <c r="B384" s="793"/>
      <c r="C384" s="793"/>
      <c r="D384" s="793"/>
      <c r="E384" s="18">
        <f>'BOM 04 22Master'!D638</f>
        <v>0</v>
      </c>
      <c r="F384" s="17"/>
      <c r="G384" s="17"/>
      <c r="H384" s="17"/>
      <c r="I384" s="14"/>
      <c r="K384" s="792" t="s">
        <v>55</v>
      </c>
      <c r="L384" s="793"/>
      <c r="M384" s="793"/>
      <c r="N384" s="793"/>
      <c r="O384" s="18">
        <f>E384</f>
        <v>0</v>
      </c>
      <c r="P384" s="17"/>
      <c r="Q384" s="17"/>
      <c r="R384" s="17"/>
      <c r="S384" s="14"/>
    </row>
    <row r="385" spans="1:19">
      <c r="A385" s="15"/>
      <c r="B385" s="3"/>
      <c r="C385" s="3"/>
      <c r="D385" s="3"/>
      <c r="E385" s="3"/>
      <c r="I385" s="14"/>
      <c r="K385" s="15"/>
      <c r="L385" s="3"/>
      <c r="M385" s="3"/>
      <c r="N385" s="3"/>
      <c r="O385" s="3"/>
      <c r="S385" s="14"/>
    </row>
    <row r="386" spans="1:19">
      <c r="A386" s="19">
        <v>1</v>
      </c>
      <c r="B386" s="793" t="s">
        <v>56</v>
      </c>
      <c r="C386" s="793"/>
      <c r="D386" s="793"/>
      <c r="E386" s="20">
        <f>'BOM 04 22Master'!W646</f>
        <v>0</v>
      </c>
      <c r="F386" s="17"/>
      <c r="G386" s="17"/>
      <c r="H386" s="17"/>
      <c r="I386" s="14"/>
      <c r="K386" s="19">
        <v>1</v>
      </c>
      <c r="L386" s="793" t="s">
        <v>56</v>
      </c>
      <c r="M386" s="793"/>
      <c r="N386" s="793"/>
      <c r="O386" s="20">
        <f>E386</f>
        <v>0</v>
      </c>
      <c r="P386" s="17"/>
      <c r="Q386" s="17"/>
      <c r="R386" s="17"/>
      <c r="S386" s="14"/>
    </row>
    <row r="387" spans="1:19">
      <c r="A387" s="19"/>
      <c r="B387" s="3"/>
      <c r="C387" s="3"/>
      <c r="D387" s="3"/>
      <c r="E387" s="3"/>
      <c r="I387" s="14"/>
      <c r="K387" s="19"/>
      <c r="L387" s="3"/>
      <c r="M387" s="3"/>
      <c r="N387" s="3"/>
      <c r="O387" s="3"/>
      <c r="S387" s="14"/>
    </row>
    <row r="388" spans="1:19" ht="15" customHeight="1">
      <c r="A388" s="19">
        <v>2</v>
      </c>
      <c r="B388" s="798" t="s">
        <v>57</v>
      </c>
      <c r="C388" s="798"/>
      <c r="D388" s="798"/>
      <c r="E388" s="3"/>
      <c r="I388" s="14"/>
      <c r="K388" s="19">
        <v>2</v>
      </c>
      <c r="L388" s="798" t="s">
        <v>57</v>
      </c>
      <c r="M388" s="798"/>
      <c r="N388" s="798"/>
      <c r="O388" s="3"/>
      <c r="S388" s="14"/>
    </row>
    <row r="389" spans="1:19">
      <c r="A389" s="19"/>
      <c r="B389" s="798"/>
      <c r="C389" s="798"/>
      <c r="D389" s="798"/>
      <c r="E389" s="21" t="s">
        <v>37</v>
      </c>
      <c r="F389" s="17"/>
      <c r="G389" s="17"/>
      <c r="H389" s="17"/>
      <c r="I389" s="14"/>
      <c r="K389" s="19"/>
      <c r="L389" s="798"/>
      <c r="M389" s="798"/>
      <c r="N389" s="798"/>
      <c r="O389" s="21" t="s">
        <v>37</v>
      </c>
      <c r="P389" s="17"/>
      <c r="Q389" s="17"/>
      <c r="R389" s="17"/>
      <c r="S389" s="14"/>
    </row>
    <row r="390" spans="1:19">
      <c r="A390" s="19"/>
      <c r="B390" s="3"/>
      <c r="C390" s="3"/>
      <c r="D390" s="3"/>
      <c r="E390" s="3"/>
      <c r="I390" s="14"/>
      <c r="K390" s="19"/>
      <c r="L390" s="3"/>
      <c r="M390" s="3"/>
      <c r="N390" s="3"/>
      <c r="O390" s="3"/>
      <c r="S390" s="14"/>
    </row>
    <row r="391" spans="1:19">
      <c r="A391" s="19">
        <v>3</v>
      </c>
      <c r="B391" s="793" t="s">
        <v>58</v>
      </c>
      <c r="C391" s="793"/>
      <c r="D391" s="793"/>
      <c r="E391" s="21" t="s">
        <v>37</v>
      </c>
      <c r="F391" s="17"/>
      <c r="G391" s="17"/>
      <c r="H391" s="17"/>
      <c r="I391" s="14"/>
      <c r="K391" s="19">
        <v>3</v>
      </c>
      <c r="L391" s="793" t="s">
        <v>58</v>
      </c>
      <c r="M391" s="793"/>
      <c r="N391" s="793"/>
      <c r="O391" s="16" t="str">
        <f>E391</f>
        <v>N/A</v>
      </c>
      <c r="P391" s="17"/>
      <c r="Q391" s="17"/>
      <c r="R391" s="17"/>
      <c r="S391" s="14"/>
    </row>
    <row r="392" spans="1:19">
      <c r="A392" s="19"/>
      <c r="B392" s="3"/>
      <c r="C392" s="3"/>
      <c r="D392" s="3"/>
      <c r="E392" s="3"/>
      <c r="I392" s="14"/>
      <c r="K392" s="19"/>
      <c r="L392" s="3"/>
      <c r="M392" s="3"/>
      <c r="N392" s="3"/>
      <c r="O392" s="3"/>
      <c r="S392" s="14"/>
    </row>
    <row r="393" spans="1:19">
      <c r="A393" s="19">
        <v>4</v>
      </c>
      <c r="B393" s="793" t="s">
        <v>59</v>
      </c>
      <c r="C393" s="793"/>
      <c r="D393" s="793"/>
      <c r="E393" s="21" t="s">
        <v>60</v>
      </c>
      <c r="F393" s="17"/>
      <c r="G393" s="17"/>
      <c r="H393" s="17"/>
      <c r="I393" s="14"/>
      <c r="K393" s="19">
        <v>4</v>
      </c>
      <c r="L393" s="793" t="s">
        <v>59</v>
      </c>
      <c r="M393" s="793"/>
      <c r="N393" s="793"/>
      <c r="O393" s="21" t="s">
        <v>60</v>
      </c>
      <c r="P393" s="17"/>
      <c r="Q393" s="17"/>
      <c r="R393" s="17"/>
      <c r="S393" s="14"/>
    </row>
    <row r="394" spans="1:19">
      <c r="A394" s="19"/>
      <c r="B394" s="3"/>
      <c r="C394" s="3"/>
      <c r="D394" s="3"/>
      <c r="E394" s="3"/>
      <c r="I394" s="14"/>
      <c r="K394" s="19"/>
      <c r="L394" s="3"/>
      <c r="M394" s="3"/>
      <c r="N394" s="3"/>
      <c r="O394" s="3"/>
      <c r="S394" s="14"/>
    </row>
    <row r="395" spans="1:19">
      <c r="A395" s="19">
        <v>5</v>
      </c>
      <c r="B395" s="793" t="s">
        <v>61</v>
      </c>
      <c r="C395" s="793"/>
      <c r="D395" s="793"/>
      <c r="E395" s="289">
        <f>'BOM 04 22Master'!AM646</f>
        <v>0</v>
      </c>
      <c r="I395" s="14"/>
      <c r="K395" s="19">
        <v>5</v>
      </c>
      <c r="L395" s="793" t="s">
        <v>61</v>
      </c>
      <c r="M395" s="793"/>
      <c r="N395" s="793"/>
      <c r="O395" s="289">
        <f>E395</f>
        <v>0</v>
      </c>
      <c r="S395" s="14"/>
    </row>
    <row r="396" spans="1:19">
      <c r="A396" s="19"/>
      <c r="B396" s="3"/>
      <c r="C396" s="3"/>
      <c r="D396" s="290" t="s">
        <v>62</v>
      </c>
      <c r="E396" s="290" t="s">
        <v>31</v>
      </c>
      <c r="F396" s="290" t="s">
        <v>33</v>
      </c>
      <c r="G396" s="290" t="s">
        <v>34</v>
      </c>
      <c r="H396" s="290" t="s">
        <v>380</v>
      </c>
      <c r="I396" s="288" t="s">
        <v>381</v>
      </c>
      <c r="K396" s="19"/>
      <c r="L396" s="3"/>
      <c r="M396" s="3"/>
      <c r="N396" s="290" t="s">
        <v>62</v>
      </c>
      <c r="O396" s="290" t="s">
        <v>31</v>
      </c>
      <c r="P396" s="290" t="s">
        <v>33</v>
      </c>
      <c r="Q396" s="290" t="s">
        <v>34</v>
      </c>
      <c r="R396" s="290" t="s">
        <v>380</v>
      </c>
      <c r="S396" s="288" t="s">
        <v>381</v>
      </c>
    </row>
    <row r="397" spans="1:19">
      <c r="A397" s="19">
        <v>6</v>
      </c>
      <c r="B397" s="26" t="s">
        <v>63</v>
      </c>
      <c r="C397" s="26"/>
      <c r="D397" s="291">
        <f>'BOM 04 22Master'!AO646</f>
        <v>0</v>
      </c>
      <c r="E397" s="291">
        <f>'BOM 04 22Master'!AN646</f>
        <v>0</v>
      </c>
      <c r="F397" s="292">
        <f>'BOM 04 22Master'!AP646</f>
        <v>0</v>
      </c>
      <c r="G397" s="291">
        <f>'BOM 04 22Master'!AQ646</f>
        <v>0</v>
      </c>
      <c r="H397" s="292">
        <f>'BOM 04 22Master'!AR646</f>
        <v>0</v>
      </c>
      <c r="I397" s="292">
        <f>'BOM 04 22Master'!AS646</f>
        <v>0</v>
      </c>
      <c r="K397" s="19">
        <v>6</v>
      </c>
      <c r="L397" s="26" t="s">
        <v>63</v>
      </c>
      <c r="M397" s="26"/>
      <c r="N397" s="291">
        <f t="shared" ref="N397:S397" si="8">D397</f>
        <v>0</v>
      </c>
      <c r="O397" s="291">
        <f t="shared" si="8"/>
        <v>0</v>
      </c>
      <c r="P397" s="292">
        <f t="shared" si="8"/>
        <v>0</v>
      </c>
      <c r="Q397" s="291">
        <f t="shared" si="8"/>
        <v>0</v>
      </c>
      <c r="R397" s="292">
        <f t="shared" si="8"/>
        <v>0</v>
      </c>
      <c r="S397" s="292">
        <f t="shared" si="8"/>
        <v>0</v>
      </c>
    </row>
    <row r="398" spans="1:19">
      <c r="A398" s="19"/>
      <c r="B398" s="3"/>
      <c r="C398" s="3"/>
      <c r="D398" s="3"/>
      <c r="E398" s="3"/>
      <c r="I398" s="14"/>
      <c r="K398" s="19"/>
      <c r="L398" s="3"/>
      <c r="M398" s="3"/>
      <c r="N398" s="3"/>
      <c r="O398" s="3"/>
      <c r="S398" s="14"/>
    </row>
    <row r="399" spans="1:19">
      <c r="A399" s="19">
        <v>7</v>
      </c>
      <c r="B399" s="793" t="s">
        <v>64</v>
      </c>
      <c r="C399" s="793"/>
      <c r="D399" s="793"/>
      <c r="E399" s="22">
        <f>E395-I397</f>
        <v>0</v>
      </c>
      <c r="F399" s="17"/>
      <c r="G399" s="17"/>
      <c r="H399" s="17"/>
      <c r="I399" s="14"/>
      <c r="K399" s="19">
        <v>7</v>
      </c>
      <c r="L399" s="793" t="s">
        <v>64</v>
      </c>
      <c r="M399" s="793"/>
      <c r="N399" s="793"/>
      <c r="O399" s="22">
        <f>E399</f>
        <v>0</v>
      </c>
      <c r="P399" s="17"/>
      <c r="Q399" s="17"/>
      <c r="R399" s="17"/>
      <c r="S399" s="14"/>
    </row>
    <row r="400" spans="1:19">
      <c r="A400" s="13"/>
      <c r="I400" s="14"/>
      <c r="K400" s="13"/>
      <c r="S400" s="14"/>
    </row>
    <row r="401" spans="1:19">
      <c r="A401" s="13"/>
      <c r="I401" s="14"/>
      <c r="K401" s="13"/>
      <c r="S401" s="14"/>
    </row>
    <row r="402" spans="1:19" ht="15.75" thickBot="1">
      <c r="A402" s="13"/>
      <c r="F402" s="23"/>
      <c r="G402" s="23"/>
      <c r="H402" s="23"/>
      <c r="I402" s="24"/>
      <c r="K402" s="13"/>
      <c r="P402" s="23"/>
      <c r="Q402" s="23"/>
      <c r="R402" s="23"/>
      <c r="S402" s="24"/>
    </row>
    <row r="403" spans="1:19" ht="15.75" thickBot="1">
      <c r="A403" s="25"/>
      <c r="B403" s="23"/>
      <c r="C403" s="23"/>
      <c r="D403" s="23"/>
      <c r="E403" s="23"/>
      <c r="F403" s="799" t="s">
        <v>65</v>
      </c>
      <c r="G403" s="799"/>
      <c r="H403" s="799"/>
      <c r="I403" s="800"/>
      <c r="K403" s="25"/>
      <c r="L403" s="23"/>
      <c r="M403" s="23"/>
      <c r="N403" s="23"/>
      <c r="O403" s="23"/>
      <c r="P403" s="799" t="s">
        <v>65</v>
      </c>
      <c r="Q403" s="799"/>
      <c r="R403" s="799"/>
      <c r="S403" s="800"/>
    </row>
    <row r="417" spans="1:19" ht="15.75" thickBot="1"/>
    <row r="418" spans="1:19" ht="26.25">
      <c r="A418" s="801" t="s">
        <v>50</v>
      </c>
      <c r="B418" s="802"/>
      <c r="C418" s="802"/>
      <c r="D418" s="802"/>
      <c r="E418" s="802"/>
      <c r="F418" s="802"/>
      <c r="G418" s="802"/>
      <c r="H418" s="802"/>
      <c r="I418" s="803"/>
      <c r="K418" s="801" t="s">
        <v>50</v>
      </c>
      <c r="L418" s="802"/>
      <c r="M418" s="802"/>
      <c r="N418" s="802"/>
      <c r="O418" s="802"/>
      <c r="P418" s="802"/>
      <c r="Q418" s="802"/>
      <c r="R418" s="802"/>
      <c r="S418" s="803"/>
    </row>
    <row r="419" spans="1:19">
      <c r="A419" s="794" t="s">
        <v>51</v>
      </c>
      <c r="B419" s="795"/>
      <c r="C419" s="795"/>
      <c r="D419" s="795"/>
      <c r="E419" s="795"/>
      <c r="F419" s="795"/>
      <c r="G419" s="795"/>
      <c r="H419" s="795"/>
      <c r="I419" s="796"/>
      <c r="K419" s="794" t="s">
        <v>51</v>
      </c>
      <c r="L419" s="795"/>
      <c r="M419" s="795"/>
      <c r="N419" s="795"/>
      <c r="O419" s="795"/>
      <c r="P419" s="795"/>
      <c r="Q419" s="795"/>
      <c r="R419" s="795"/>
      <c r="S419" s="796"/>
    </row>
    <row r="420" spans="1:19">
      <c r="A420" s="13"/>
      <c r="I420" s="14"/>
      <c r="K420" s="13"/>
      <c r="S420" s="14"/>
    </row>
    <row r="421" spans="1:19">
      <c r="A421" s="15" t="s">
        <v>52</v>
      </c>
      <c r="B421" s="3"/>
      <c r="C421" s="3"/>
      <c r="D421" s="6">
        <f>'BOM 04 22Master'!F678</f>
        <v>0</v>
      </c>
      <c r="I421" s="14"/>
      <c r="K421" s="15" t="s">
        <v>52</v>
      </c>
      <c r="L421" s="3"/>
      <c r="M421" s="3"/>
      <c r="N421" s="6">
        <f>D421</f>
        <v>0</v>
      </c>
      <c r="S421" s="14"/>
    </row>
    <row r="422" spans="1:19">
      <c r="A422" s="15"/>
      <c r="B422" s="3">
        <f>'BOM 04 22Master'!F679</f>
        <v>0</v>
      </c>
      <c r="C422" s="3"/>
      <c r="D422" s="3"/>
      <c r="I422" s="14"/>
      <c r="K422" s="15"/>
      <c r="L422" s="3">
        <f>B422</f>
        <v>0</v>
      </c>
      <c r="M422" s="3"/>
      <c r="N422" s="3"/>
      <c r="S422" s="14"/>
    </row>
    <row r="423" spans="1:19">
      <c r="A423" s="15"/>
      <c r="B423" s="3">
        <f>'BOM 04 22Master'!F680</f>
        <v>0</v>
      </c>
      <c r="C423" s="3"/>
      <c r="D423" s="3"/>
      <c r="E423" s="3"/>
      <c r="I423" s="14"/>
      <c r="K423" s="15"/>
      <c r="L423" s="3">
        <f>B423</f>
        <v>0</v>
      </c>
      <c r="M423" s="3"/>
      <c r="N423" s="3"/>
      <c r="O423" s="3"/>
      <c r="S423" s="14"/>
    </row>
    <row r="424" spans="1:19" ht="15" customHeight="1">
      <c r="A424" s="797" t="s">
        <v>53</v>
      </c>
      <c r="B424" s="798"/>
      <c r="C424" s="798"/>
      <c r="D424" s="798"/>
      <c r="E424" s="3"/>
      <c r="I424" s="14"/>
      <c r="K424" s="797" t="s">
        <v>53</v>
      </c>
      <c r="L424" s="798"/>
      <c r="M424" s="798"/>
      <c r="N424" s="798"/>
      <c r="O424" s="3"/>
      <c r="S424" s="14"/>
    </row>
    <row r="425" spans="1:19">
      <c r="A425" s="797"/>
      <c r="B425" s="798"/>
      <c r="C425" s="798"/>
      <c r="D425" s="798"/>
      <c r="E425" s="16">
        <f>'BOM 04 22Master'!U691</f>
        <v>0</v>
      </c>
      <c r="F425" s="17"/>
      <c r="G425" s="17"/>
      <c r="H425" s="17"/>
      <c r="I425" s="14"/>
      <c r="K425" s="797"/>
      <c r="L425" s="798"/>
      <c r="M425" s="798"/>
      <c r="N425" s="798"/>
      <c r="O425" s="16">
        <f>E425</f>
        <v>0</v>
      </c>
      <c r="P425" s="17"/>
      <c r="Q425" s="17"/>
      <c r="R425" s="17"/>
      <c r="S425" s="14"/>
    </row>
    <row r="426" spans="1:19">
      <c r="A426" s="15"/>
      <c r="B426" s="3"/>
      <c r="C426" s="3"/>
      <c r="D426" s="3"/>
      <c r="E426" s="3"/>
      <c r="I426" s="14"/>
      <c r="K426" s="15"/>
      <c r="L426" s="3"/>
      <c r="M426" s="3"/>
      <c r="N426" s="3"/>
      <c r="O426" s="3"/>
      <c r="S426" s="14"/>
    </row>
    <row r="427" spans="1:19">
      <c r="A427" s="792" t="s">
        <v>54</v>
      </c>
      <c r="B427" s="793"/>
      <c r="C427" s="793"/>
      <c r="D427" s="793"/>
      <c r="E427" s="16">
        <f>'BOM 04 22Master'!F681</f>
        <v>0</v>
      </c>
      <c r="F427" s="17"/>
      <c r="G427" s="17"/>
      <c r="H427" s="17"/>
      <c r="I427" s="14"/>
      <c r="K427" s="792" t="s">
        <v>54</v>
      </c>
      <c r="L427" s="793"/>
      <c r="M427" s="793"/>
      <c r="N427" s="793"/>
      <c r="O427" s="16">
        <f>E427</f>
        <v>0</v>
      </c>
      <c r="P427" s="17"/>
      <c r="Q427" s="17"/>
      <c r="R427" s="17"/>
      <c r="S427" s="14"/>
    </row>
    <row r="428" spans="1:19">
      <c r="A428" s="15"/>
      <c r="B428" s="3"/>
      <c r="C428" s="3"/>
      <c r="D428" s="3"/>
      <c r="E428" s="3"/>
      <c r="I428" s="14"/>
      <c r="K428" s="15"/>
      <c r="L428" s="3"/>
      <c r="M428" s="3"/>
      <c r="N428" s="3"/>
      <c r="O428" s="3"/>
      <c r="S428" s="14"/>
    </row>
    <row r="429" spans="1:19">
      <c r="A429" s="792" t="s">
        <v>55</v>
      </c>
      <c r="B429" s="793"/>
      <c r="C429" s="793"/>
      <c r="D429" s="793"/>
      <c r="E429" s="18">
        <f>'BOM 04 22Master'!D683</f>
        <v>0</v>
      </c>
      <c r="F429" s="17"/>
      <c r="G429" s="17"/>
      <c r="H429" s="17"/>
      <c r="I429" s="14"/>
      <c r="K429" s="792" t="s">
        <v>55</v>
      </c>
      <c r="L429" s="793"/>
      <c r="M429" s="793"/>
      <c r="N429" s="793"/>
      <c r="O429" s="18">
        <f>E429</f>
        <v>0</v>
      </c>
      <c r="P429" s="17"/>
      <c r="Q429" s="17"/>
      <c r="R429" s="17"/>
      <c r="S429" s="14"/>
    </row>
    <row r="430" spans="1:19">
      <c r="A430" s="15"/>
      <c r="B430" s="3"/>
      <c r="C430" s="3"/>
      <c r="D430" s="3"/>
      <c r="E430" s="3"/>
      <c r="I430" s="14"/>
      <c r="K430" s="15"/>
      <c r="L430" s="3"/>
      <c r="M430" s="3"/>
      <c r="N430" s="3"/>
      <c r="O430" s="3"/>
      <c r="S430" s="14"/>
    </row>
    <row r="431" spans="1:19">
      <c r="A431" s="19">
        <v>1</v>
      </c>
      <c r="B431" s="793" t="s">
        <v>56</v>
      </c>
      <c r="C431" s="793"/>
      <c r="D431" s="793"/>
      <c r="E431" s="20">
        <f>'BOM 04 22Master'!W691</f>
        <v>0</v>
      </c>
      <c r="F431" s="17"/>
      <c r="G431" s="17"/>
      <c r="H431" s="17"/>
      <c r="I431" s="14"/>
      <c r="K431" s="19">
        <v>1</v>
      </c>
      <c r="L431" s="793" t="s">
        <v>56</v>
      </c>
      <c r="M431" s="793"/>
      <c r="N431" s="793"/>
      <c r="O431" s="20">
        <f>E431</f>
        <v>0</v>
      </c>
      <c r="P431" s="17"/>
      <c r="Q431" s="17"/>
      <c r="R431" s="17"/>
      <c r="S431" s="14"/>
    </row>
    <row r="432" spans="1:19">
      <c r="A432" s="19"/>
      <c r="B432" s="3"/>
      <c r="C432" s="3"/>
      <c r="D432" s="3"/>
      <c r="E432" s="3"/>
      <c r="I432" s="14"/>
      <c r="K432" s="19"/>
      <c r="L432" s="3"/>
      <c r="M432" s="3"/>
      <c r="N432" s="3"/>
      <c r="O432" s="3"/>
      <c r="S432" s="14"/>
    </row>
    <row r="433" spans="1:19" ht="15" customHeight="1">
      <c r="A433" s="19">
        <v>2</v>
      </c>
      <c r="B433" s="798" t="s">
        <v>57</v>
      </c>
      <c r="C433" s="798"/>
      <c r="D433" s="798"/>
      <c r="E433" s="3"/>
      <c r="I433" s="14"/>
      <c r="K433" s="19">
        <v>2</v>
      </c>
      <c r="L433" s="798" t="s">
        <v>57</v>
      </c>
      <c r="M433" s="798"/>
      <c r="N433" s="798"/>
      <c r="O433" s="3"/>
      <c r="S433" s="14"/>
    </row>
    <row r="434" spans="1:19">
      <c r="A434" s="19"/>
      <c r="B434" s="798"/>
      <c r="C434" s="798"/>
      <c r="D434" s="798"/>
      <c r="E434" s="21" t="s">
        <v>37</v>
      </c>
      <c r="F434" s="17"/>
      <c r="G434" s="17"/>
      <c r="H434" s="17"/>
      <c r="I434" s="14"/>
      <c r="K434" s="19"/>
      <c r="L434" s="798"/>
      <c r="M434" s="798"/>
      <c r="N434" s="798"/>
      <c r="O434" s="21" t="s">
        <v>37</v>
      </c>
      <c r="P434" s="17"/>
      <c r="Q434" s="17"/>
      <c r="R434" s="17"/>
      <c r="S434" s="14"/>
    </row>
    <row r="435" spans="1:19">
      <c r="A435" s="19"/>
      <c r="B435" s="3"/>
      <c r="C435" s="3"/>
      <c r="D435" s="3"/>
      <c r="E435" s="3"/>
      <c r="I435" s="14"/>
      <c r="K435" s="19"/>
      <c r="L435" s="3"/>
      <c r="M435" s="3"/>
      <c r="N435" s="3"/>
      <c r="O435" s="3"/>
      <c r="S435" s="14"/>
    </row>
    <row r="436" spans="1:19">
      <c r="A436" s="19">
        <v>3</v>
      </c>
      <c r="B436" s="793" t="s">
        <v>58</v>
      </c>
      <c r="C436" s="793"/>
      <c r="D436" s="793"/>
      <c r="E436" s="21" t="s">
        <v>37</v>
      </c>
      <c r="F436" s="17"/>
      <c r="G436" s="17"/>
      <c r="H436" s="17"/>
      <c r="I436" s="14"/>
      <c r="K436" s="19">
        <v>3</v>
      </c>
      <c r="L436" s="793" t="s">
        <v>58</v>
      </c>
      <c r="M436" s="793"/>
      <c r="N436" s="793"/>
      <c r="O436" s="16" t="str">
        <f>E436</f>
        <v>N/A</v>
      </c>
      <c r="P436" s="17"/>
      <c r="Q436" s="17"/>
      <c r="R436" s="17"/>
      <c r="S436" s="14"/>
    </row>
    <row r="437" spans="1:19">
      <c r="A437" s="19"/>
      <c r="B437" s="3"/>
      <c r="C437" s="3"/>
      <c r="D437" s="3"/>
      <c r="E437" s="3"/>
      <c r="I437" s="14"/>
      <c r="K437" s="19"/>
      <c r="L437" s="3"/>
      <c r="M437" s="3"/>
      <c r="N437" s="3"/>
      <c r="O437" s="3"/>
      <c r="S437" s="14"/>
    </row>
    <row r="438" spans="1:19">
      <c r="A438" s="19">
        <v>4</v>
      </c>
      <c r="B438" s="793" t="s">
        <v>59</v>
      </c>
      <c r="C438" s="793"/>
      <c r="D438" s="793"/>
      <c r="E438" s="21" t="s">
        <v>60</v>
      </c>
      <c r="F438" s="17"/>
      <c r="G438" s="17"/>
      <c r="H438" s="17"/>
      <c r="I438" s="14"/>
      <c r="K438" s="19">
        <v>4</v>
      </c>
      <c r="L438" s="793" t="s">
        <v>59</v>
      </c>
      <c r="M438" s="793"/>
      <c r="N438" s="793"/>
      <c r="O438" s="21" t="s">
        <v>60</v>
      </c>
      <c r="P438" s="17"/>
      <c r="Q438" s="17"/>
      <c r="R438" s="17"/>
      <c r="S438" s="14"/>
    </row>
    <row r="439" spans="1:19">
      <c r="A439" s="19"/>
      <c r="B439" s="3"/>
      <c r="C439" s="3"/>
      <c r="D439" s="3"/>
      <c r="E439" s="3"/>
      <c r="I439" s="14"/>
      <c r="K439" s="19"/>
      <c r="L439" s="3"/>
      <c r="M439" s="3"/>
      <c r="N439" s="3"/>
      <c r="O439" s="3"/>
      <c r="S439" s="14"/>
    </row>
    <row r="440" spans="1:19">
      <c r="A440" s="19">
        <v>5</v>
      </c>
      <c r="B440" s="793" t="s">
        <v>61</v>
      </c>
      <c r="C440" s="793"/>
      <c r="D440" s="793"/>
      <c r="E440" s="289">
        <f>'BOM 04 22Master'!AM691</f>
        <v>0</v>
      </c>
      <c r="I440" s="14"/>
      <c r="K440" s="19">
        <v>5</v>
      </c>
      <c r="L440" s="793" t="s">
        <v>61</v>
      </c>
      <c r="M440" s="793"/>
      <c r="N440" s="793"/>
      <c r="O440" s="289">
        <f>E440</f>
        <v>0</v>
      </c>
      <c r="S440" s="14"/>
    </row>
    <row r="441" spans="1:19">
      <c r="A441" s="19"/>
      <c r="B441" s="3"/>
      <c r="C441" s="3"/>
      <c r="D441" s="290" t="s">
        <v>62</v>
      </c>
      <c r="E441" s="290" t="s">
        <v>31</v>
      </c>
      <c r="F441" s="290" t="s">
        <v>33</v>
      </c>
      <c r="G441" s="290" t="s">
        <v>34</v>
      </c>
      <c r="H441" s="290" t="s">
        <v>380</v>
      </c>
      <c r="I441" s="288" t="s">
        <v>381</v>
      </c>
      <c r="K441" s="19"/>
      <c r="L441" s="3"/>
      <c r="M441" s="3"/>
      <c r="N441" s="290" t="s">
        <v>62</v>
      </c>
      <c r="O441" s="290" t="s">
        <v>31</v>
      </c>
      <c r="P441" s="290" t="s">
        <v>33</v>
      </c>
      <c r="Q441" s="290" t="s">
        <v>34</v>
      </c>
      <c r="R441" s="290" t="s">
        <v>380</v>
      </c>
      <c r="S441" s="288" t="s">
        <v>381</v>
      </c>
    </row>
    <row r="442" spans="1:19">
      <c r="A442" s="19">
        <v>6</v>
      </c>
      <c r="B442" s="26" t="s">
        <v>63</v>
      </c>
      <c r="C442" s="26"/>
      <c r="D442" s="291">
        <f>'BOM 04 22Master'!AO691</f>
        <v>0</v>
      </c>
      <c r="E442" s="291">
        <f>'BOM 04 22Master'!AN691</f>
        <v>0</v>
      </c>
      <c r="F442" s="292">
        <f>'BOM 04 22Master'!AP691</f>
        <v>0</v>
      </c>
      <c r="G442" s="291">
        <f>'BOM 04 22Master'!AQ691</f>
        <v>0</v>
      </c>
      <c r="H442" s="292">
        <f>'BOM 04 22Master'!AR691</f>
        <v>0</v>
      </c>
      <c r="I442" s="292">
        <f>'BOM 04 22Master'!AS691</f>
        <v>0</v>
      </c>
      <c r="K442" s="19">
        <v>6</v>
      </c>
      <c r="L442" s="26" t="s">
        <v>63</v>
      </c>
      <c r="M442" s="26"/>
      <c r="N442" s="291">
        <f t="shared" ref="N442:S442" si="9">D442</f>
        <v>0</v>
      </c>
      <c r="O442" s="291">
        <f t="shared" si="9"/>
        <v>0</v>
      </c>
      <c r="P442" s="292">
        <f t="shared" si="9"/>
        <v>0</v>
      </c>
      <c r="Q442" s="291">
        <f t="shared" si="9"/>
        <v>0</v>
      </c>
      <c r="R442" s="292">
        <f t="shared" si="9"/>
        <v>0</v>
      </c>
      <c r="S442" s="292">
        <f t="shared" si="9"/>
        <v>0</v>
      </c>
    </row>
    <row r="443" spans="1:19">
      <c r="A443" s="19"/>
      <c r="B443" s="3"/>
      <c r="C443" s="3"/>
      <c r="D443" s="3"/>
      <c r="E443" s="3"/>
      <c r="I443" s="14"/>
      <c r="K443" s="19"/>
      <c r="L443" s="3"/>
      <c r="M443" s="3"/>
      <c r="N443" s="3"/>
      <c r="O443" s="3"/>
      <c r="S443" s="14"/>
    </row>
    <row r="444" spans="1:19">
      <c r="A444" s="19">
        <v>7</v>
      </c>
      <c r="B444" s="793" t="s">
        <v>64</v>
      </c>
      <c r="C444" s="793"/>
      <c r="D444" s="793"/>
      <c r="E444" s="22">
        <f>E440-I442</f>
        <v>0</v>
      </c>
      <c r="F444" s="17"/>
      <c r="G444" s="17"/>
      <c r="H444" s="17"/>
      <c r="I444" s="14"/>
      <c r="K444" s="19">
        <v>7</v>
      </c>
      <c r="L444" s="793" t="s">
        <v>64</v>
      </c>
      <c r="M444" s="793"/>
      <c r="N444" s="793"/>
      <c r="O444" s="22">
        <f>E444</f>
        <v>0</v>
      </c>
      <c r="P444" s="17"/>
      <c r="Q444" s="17"/>
      <c r="R444" s="17"/>
      <c r="S444" s="14"/>
    </row>
    <row r="445" spans="1:19">
      <c r="A445" s="13"/>
      <c r="I445" s="14"/>
      <c r="K445" s="13"/>
      <c r="S445" s="14"/>
    </row>
    <row r="446" spans="1:19">
      <c r="A446" s="13"/>
      <c r="I446" s="14"/>
      <c r="K446" s="13"/>
      <c r="S446" s="14"/>
    </row>
    <row r="447" spans="1:19" ht="15.75" thickBot="1">
      <c r="A447" s="13"/>
      <c r="F447" s="23"/>
      <c r="G447" s="23"/>
      <c r="H447" s="23"/>
      <c r="I447" s="24"/>
      <c r="K447" s="13"/>
      <c r="P447" s="23"/>
      <c r="Q447" s="23"/>
      <c r="R447" s="23"/>
      <c r="S447" s="24"/>
    </row>
    <row r="448" spans="1:19" ht="15.75" thickBot="1">
      <c r="A448" s="25"/>
      <c r="B448" s="23"/>
      <c r="C448" s="23"/>
      <c r="D448" s="23"/>
      <c r="E448" s="23"/>
      <c r="F448" s="799" t="s">
        <v>65</v>
      </c>
      <c r="G448" s="799"/>
      <c r="H448" s="799"/>
      <c r="I448" s="800"/>
      <c r="K448" s="25"/>
      <c r="L448" s="23"/>
      <c r="M448" s="23"/>
      <c r="N448" s="23"/>
      <c r="O448" s="23"/>
      <c r="P448" s="799" t="s">
        <v>65</v>
      </c>
      <c r="Q448" s="799"/>
      <c r="R448" s="799"/>
      <c r="S448" s="800"/>
    </row>
  </sheetData>
  <mergeCells count="240">
    <mergeCell ref="B19:D19"/>
    <mergeCell ref="L19:N19"/>
    <mergeCell ref="B16:D17"/>
    <mergeCell ref="L16:N17"/>
    <mergeCell ref="A10:D10"/>
    <mergeCell ref="K10:N10"/>
    <mergeCell ref="A1:I1"/>
    <mergeCell ref="K1:S1"/>
    <mergeCell ref="A2:I2"/>
    <mergeCell ref="K2:S2"/>
    <mergeCell ref="A7:D8"/>
    <mergeCell ref="K7:N8"/>
    <mergeCell ref="A12:D12"/>
    <mergeCell ref="K12:N12"/>
    <mergeCell ref="B14:D14"/>
    <mergeCell ref="L14:N14"/>
    <mergeCell ref="A67:D68"/>
    <mergeCell ref="K67:N68"/>
    <mergeCell ref="A70:D70"/>
    <mergeCell ref="K70:N70"/>
    <mergeCell ref="A61:I61"/>
    <mergeCell ref="K61:S61"/>
    <mergeCell ref="A62:I62"/>
    <mergeCell ref="K62:S62"/>
    <mergeCell ref="B21:D21"/>
    <mergeCell ref="L21:N21"/>
    <mergeCell ref="B27:D27"/>
    <mergeCell ref="L27:N27"/>
    <mergeCell ref="F31:I31"/>
    <mergeCell ref="P31:S31"/>
    <mergeCell ref="B23:D23"/>
    <mergeCell ref="L23:N23"/>
    <mergeCell ref="B79:D79"/>
    <mergeCell ref="L79:N79"/>
    <mergeCell ref="B81:D81"/>
    <mergeCell ref="L81:N81"/>
    <mergeCell ref="B83:D83"/>
    <mergeCell ref="L83:N83"/>
    <mergeCell ref="A72:D72"/>
    <mergeCell ref="K72:N72"/>
    <mergeCell ref="B74:D74"/>
    <mergeCell ref="L74:N74"/>
    <mergeCell ref="B76:D77"/>
    <mergeCell ref="L76:N77"/>
    <mergeCell ref="A105:I105"/>
    <mergeCell ref="K105:S105"/>
    <mergeCell ref="A106:I106"/>
    <mergeCell ref="K106:S106"/>
    <mergeCell ref="B87:D87"/>
    <mergeCell ref="L87:N87"/>
    <mergeCell ref="F91:I91"/>
    <mergeCell ref="P91:S91"/>
    <mergeCell ref="B118:D118"/>
    <mergeCell ref="L118:N118"/>
    <mergeCell ref="B120:D121"/>
    <mergeCell ref="L120:N121"/>
    <mergeCell ref="B123:D123"/>
    <mergeCell ref="L123:N123"/>
    <mergeCell ref="A111:D112"/>
    <mergeCell ref="K111:N112"/>
    <mergeCell ref="A114:D114"/>
    <mergeCell ref="K114:N114"/>
    <mergeCell ref="A116:D116"/>
    <mergeCell ref="K116:N116"/>
    <mergeCell ref="B131:D131"/>
    <mergeCell ref="L131:N131"/>
    <mergeCell ref="F135:I135"/>
    <mergeCell ref="P135:S135"/>
    <mergeCell ref="A149:I149"/>
    <mergeCell ref="K149:S149"/>
    <mergeCell ref="B125:D125"/>
    <mergeCell ref="L125:N125"/>
    <mergeCell ref="B127:D127"/>
    <mergeCell ref="L127:N127"/>
    <mergeCell ref="A158:D158"/>
    <mergeCell ref="K158:N158"/>
    <mergeCell ref="A160:D160"/>
    <mergeCell ref="K160:N160"/>
    <mergeCell ref="B162:D162"/>
    <mergeCell ref="L162:N162"/>
    <mergeCell ref="A150:I150"/>
    <mergeCell ref="K150:S150"/>
    <mergeCell ref="A155:D156"/>
    <mergeCell ref="K155:N156"/>
    <mergeCell ref="B171:D171"/>
    <mergeCell ref="L171:N171"/>
    <mergeCell ref="B175:D175"/>
    <mergeCell ref="L175:N175"/>
    <mergeCell ref="B164:D165"/>
    <mergeCell ref="L164:N165"/>
    <mergeCell ref="B167:D167"/>
    <mergeCell ref="L167:N167"/>
    <mergeCell ref="B169:D169"/>
    <mergeCell ref="L169:N169"/>
    <mergeCell ref="A199:D200"/>
    <mergeCell ref="K199:N200"/>
    <mergeCell ref="A202:D202"/>
    <mergeCell ref="K202:N202"/>
    <mergeCell ref="F179:I179"/>
    <mergeCell ref="P179:S179"/>
    <mergeCell ref="A193:I193"/>
    <mergeCell ref="K193:S193"/>
    <mergeCell ref="A194:I194"/>
    <mergeCell ref="K194:S194"/>
    <mergeCell ref="B211:D211"/>
    <mergeCell ref="L211:N211"/>
    <mergeCell ref="B213:D213"/>
    <mergeCell ref="L213:N213"/>
    <mergeCell ref="B215:D215"/>
    <mergeCell ref="L215:N215"/>
    <mergeCell ref="A204:D204"/>
    <mergeCell ref="K204:N204"/>
    <mergeCell ref="B206:D206"/>
    <mergeCell ref="L206:N206"/>
    <mergeCell ref="B208:D209"/>
    <mergeCell ref="L208:N209"/>
    <mergeCell ref="A238:I238"/>
    <mergeCell ref="K238:S238"/>
    <mergeCell ref="A239:I239"/>
    <mergeCell ref="K239:S239"/>
    <mergeCell ref="B219:D219"/>
    <mergeCell ref="L219:N219"/>
    <mergeCell ref="F223:I223"/>
    <mergeCell ref="P223:S223"/>
    <mergeCell ref="B251:D251"/>
    <mergeCell ref="L251:N251"/>
    <mergeCell ref="B253:D254"/>
    <mergeCell ref="L253:N254"/>
    <mergeCell ref="B256:D256"/>
    <mergeCell ref="L256:N256"/>
    <mergeCell ref="A244:D245"/>
    <mergeCell ref="K244:N245"/>
    <mergeCell ref="A247:D247"/>
    <mergeCell ref="K247:N247"/>
    <mergeCell ref="A249:D249"/>
    <mergeCell ref="K249:N249"/>
    <mergeCell ref="B264:D264"/>
    <mergeCell ref="L264:N264"/>
    <mergeCell ref="F268:I268"/>
    <mergeCell ref="P268:S268"/>
    <mergeCell ref="A283:I283"/>
    <mergeCell ref="K283:S283"/>
    <mergeCell ref="B258:D258"/>
    <mergeCell ref="L258:N258"/>
    <mergeCell ref="B260:D260"/>
    <mergeCell ref="L260:N260"/>
    <mergeCell ref="A292:D292"/>
    <mergeCell ref="K292:N292"/>
    <mergeCell ref="A294:D294"/>
    <mergeCell ref="K294:N294"/>
    <mergeCell ref="B296:D296"/>
    <mergeCell ref="L296:N296"/>
    <mergeCell ref="A284:I284"/>
    <mergeCell ref="K284:S284"/>
    <mergeCell ref="A289:D290"/>
    <mergeCell ref="K289:N290"/>
    <mergeCell ref="B305:D305"/>
    <mergeCell ref="L305:N305"/>
    <mergeCell ref="B309:D309"/>
    <mergeCell ref="L309:N309"/>
    <mergeCell ref="B298:D299"/>
    <mergeCell ref="L298:N299"/>
    <mergeCell ref="B301:D301"/>
    <mergeCell ref="L301:N301"/>
    <mergeCell ref="B303:D303"/>
    <mergeCell ref="L303:N303"/>
    <mergeCell ref="A334:D335"/>
    <mergeCell ref="K334:N335"/>
    <mergeCell ref="A337:D337"/>
    <mergeCell ref="K337:N337"/>
    <mergeCell ref="F313:I313"/>
    <mergeCell ref="P313:S313"/>
    <mergeCell ref="A328:I328"/>
    <mergeCell ref="K328:S328"/>
    <mergeCell ref="A329:I329"/>
    <mergeCell ref="K329:S329"/>
    <mergeCell ref="B346:D346"/>
    <mergeCell ref="L346:N346"/>
    <mergeCell ref="B348:D348"/>
    <mergeCell ref="L348:N348"/>
    <mergeCell ref="B350:D350"/>
    <mergeCell ref="L350:N350"/>
    <mergeCell ref="A339:D339"/>
    <mergeCell ref="K339:N339"/>
    <mergeCell ref="B341:D341"/>
    <mergeCell ref="L341:N341"/>
    <mergeCell ref="B343:D344"/>
    <mergeCell ref="L343:N344"/>
    <mergeCell ref="A373:I373"/>
    <mergeCell ref="K373:S373"/>
    <mergeCell ref="A374:I374"/>
    <mergeCell ref="K374:S374"/>
    <mergeCell ref="B354:D354"/>
    <mergeCell ref="L354:N354"/>
    <mergeCell ref="F358:I358"/>
    <mergeCell ref="P358:S358"/>
    <mergeCell ref="B386:D386"/>
    <mergeCell ref="L386:N386"/>
    <mergeCell ref="B388:D389"/>
    <mergeCell ref="L388:N389"/>
    <mergeCell ref="B391:D391"/>
    <mergeCell ref="L391:N391"/>
    <mergeCell ref="A379:D380"/>
    <mergeCell ref="K379:N380"/>
    <mergeCell ref="A382:D382"/>
    <mergeCell ref="K382:N382"/>
    <mergeCell ref="A384:D384"/>
    <mergeCell ref="K384:N384"/>
    <mergeCell ref="B399:D399"/>
    <mergeCell ref="L399:N399"/>
    <mergeCell ref="F403:I403"/>
    <mergeCell ref="P403:S403"/>
    <mergeCell ref="A418:I418"/>
    <mergeCell ref="K418:S418"/>
    <mergeCell ref="B393:D393"/>
    <mergeCell ref="L393:N393"/>
    <mergeCell ref="B395:D395"/>
    <mergeCell ref="L395:N395"/>
    <mergeCell ref="A429:D429"/>
    <mergeCell ref="K429:N429"/>
    <mergeCell ref="B431:D431"/>
    <mergeCell ref="L431:N431"/>
    <mergeCell ref="A419:I419"/>
    <mergeCell ref="K419:S419"/>
    <mergeCell ref="A424:D425"/>
    <mergeCell ref="K424:N425"/>
    <mergeCell ref="F448:I448"/>
    <mergeCell ref="P448:S448"/>
    <mergeCell ref="B440:D440"/>
    <mergeCell ref="L440:N440"/>
    <mergeCell ref="B444:D444"/>
    <mergeCell ref="L444:N444"/>
    <mergeCell ref="B433:D434"/>
    <mergeCell ref="L433:N434"/>
    <mergeCell ref="B436:D436"/>
    <mergeCell ref="L436:N436"/>
    <mergeCell ref="B438:D438"/>
    <mergeCell ref="L438:N438"/>
    <mergeCell ref="A427:D427"/>
    <mergeCell ref="K427:N427"/>
  </mergeCells>
  <pageMargins left="0.48" right="0.46" top="0.75" bottom="0.75" header="0.31" footer="0.3"/>
  <pageSetup scale="70"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8"/>
  <sheetViews>
    <sheetView topLeftCell="H1" workbookViewId="0">
      <selection activeCell="Q11" sqref="Q11"/>
    </sheetView>
  </sheetViews>
  <sheetFormatPr defaultRowHeight="15"/>
  <cols>
    <col min="1" max="1" width="4.42578125" customWidth="1"/>
    <col min="2" max="2" width="26.7109375" customWidth="1"/>
    <col min="3" max="3" width="19" customWidth="1"/>
    <col min="5" max="5" width="24.140625" customWidth="1"/>
    <col min="6" max="6" width="6.85546875" customWidth="1"/>
    <col min="15" max="15" width="17.85546875" bestFit="1" customWidth="1"/>
    <col min="17" max="17" width="24.5703125" bestFit="1" customWidth="1"/>
  </cols>
  <sheetData>
    <row r="1" spans="1:18" ht="18.75">
      <c r="A1" s="806" t="s">
        <v>139</v>
      </c>
      <c r="B1" s="806"/>
      <c r="C1" s="806"/>
      <c r="D1" s="806"/>
      <c r="E1" s="806"/>
      <c r="F1" s="806"/>
      <c r="G1" s="806"/>
      <c r="H1" s="806"/>
      <c r="I1" s="806"/>
      <c r="J1" s="806"/>
      <c r="K1" s="806"/>
      <c r="L1" s="806"/>
      <c r="M1" s="806"/>
      <c r="N1" s="806"/>
      <c r="O1" s="806"/>
      <c r="P1" s="806"/>
      <c r="Q1" s="87"/>
    </row>
    <row r="2" spans="1:18">
      <c r="A2" s="5"/>
      <c r="B2" s="12"/>
      <c r="E2" s="5"/>
      <c r="F2" s="5"/>
      <c r="G2" s="5"/>
    </row>
    <row r="3" spans="1:18" ht="15.75">
      <c r="A3" s="807" t="s">
        <v>140</v>
      </c>
      <c r="B3" s="807"/>
      <c r="C3" s="807"/>
      <c r="D3" s="807"/>
      <c r="E3" s="807"/>
      <c r="F3" s="807"/>
      <c r="G3" s="807"/>
      <c r="H3" s="807"/>
      <c r="I3" s="807"/>
      <c r="J3" s="807"/>
      <c r="K3" s="807"/>
      <c r="L3" s="807"/>
      <c r="M3" s="807"/>
      <c r="N3" s="807"/>
      <c r="O3" s="807"/>
      <c r="P3" s="807"/>
      <c r="Q3" s="88"/>
    </row>
    <row r="4" spans="1:18">
      <c r="A4" s="5"/>
      <c r="B4" s="12"/>
      <c r="E4" s="5"/>
      <c r="F4" s="5"/>
      <c r="G4" s="5"/>
      <c r="K4" s="2" t="s">
        <v>389</v>
      </c>
      <c r="L4" s="7">
        <f>'BOM 04 22Master'!D10</f>
        <v>44652</v>
      </c>
    </row>
    <row r="5" spans="1:18" ht="15.75">
      <c r="A5" s="89" t="s">
        <v>141</v>
      </c>
      <c r="B5" s="90"/>
      <c r="D5" t="str">
        <f>'BOM 04 22Master'!F5</f>
        <v>Burgeon IT Services Pvt.Ltd.</v>
      </c>
      <c r="E5" s="91"/>
      <c r="F5" s="91"/>
      <c r="G5" s="91"/>
      <c r="H5" s="91"/>
      <c r="I5" s="91"/>
      <c r="J5" s="91"/>
      <c r="K5" s="89" t="s">
        <v>142</v>
      </c>
      <c r="L5" s="91"/>
      <c r="M5" s="91" t="s">
        <v>574</v>
      </c>
      <c r="N5" s="91"/>
      <c r="O5" s="91"/>
      <c r="P5" s="91"/>
      <c r="Q5" s="91"/>
      <c r="R5" s="91"/>
    </row>
    <row r="6" spans="1:18">
      <c r="A6" s="92" t="str">
        <f>'BOM 04 22Master'!F6</f>
        <v>Siri Mansion LIGB 436 Dr.A S Rao Nagar,Hyderabad</v>
      </c>
      <c r="B6" s="93"/>
      <c r="C6" s="94"/>
      <c r="D6" s="94"/>
      <c r="E6" s="92"/>
      <c r="F6" s="92"/>
      <c r="G6" s="92"/>
      <c r="H6" s="94"/>
      <c r="I6" s="94"/>
      <c r="J6" s="94"/>
      <c r="K6" s="94"/>
      <c r="L6" s="94"/>
      <c r="M6" s="94"/>
      <c r="N6" s="94"/>
      <c r="O6" s="94"/>
      <c r="P6" s="94"/>
      <c r="Q6" s="94"/>
      <c r="R6" s="94"/>
    </row>
    <row r="7" spans="1:18">
      <c r="A7" s="808" t="s">
        <v>143</v>
      </c>
      <c r="B7" s="810" t="s">
        <v>144</v>
      </c>
      <c r="C7" s="810" t="s">
        <v>145</v>
      </c>
      <c r="D7" s="811" t="s">
        <v>146</v>
      </c>
      <c r="E7" s="811" t="s">
        <v>147</v>
      </c>
      <c r="F7" s="811" t="s">
        <v>148</v>
      </c>
      <c r="G7" s="812" t="s">
        <v>495</v>
      </c>
      <c r="H7" s="811" t="s">
        <v>149</v>
      </c>
      <c r="I7" s="814" t="s">
        <v>150</v>
      </c>
      <c r="J7" s="814"/>
      <c r="K7" s="814"/>
      <c r="L7" s="815" t="s">
        <v>151</v>
      </c>
      <c r="M7" s="815" t="s">
        <v>152</v>
      </c>
      <c r="N7" s="804" t="s">
        <v>153</v>
      </c>
      <c r="O7" s="804" t="s">
        <v>154</v>
      </c>
      <c r="P7" s="804" t="s">
        <v>155</v>
      </c>
      <c r="Q7" s="95"/>
      <c r="R7" s="96"/>
    </row>
    <row r="8" spans="1:18" ht="96">
      <c r="A8" s="809"/>
      <c r="B8" s="810"/>
      <c r="C8" s="810"/>
      <c r="D8" s="811"/>
      <c r="E8" s="811"/>
      <c r="F8" s="811"/>
      <c r="G8" s="813"/>
      <c r="H8" s="811"/>
      <c r="I8" s="97" t="s">
        <v>156</v>
      </c>
      <c r="J8" s="97" t="s">
        <v>157</v>
      </c>
      <c r="K8" s="97" t="s">
        <v>158</v>
      </c>
      <c r="L8" s="815"/>
      <c r="M8" s="815"/>
      <c r="N8" s="805"/>
      <c r="O8" s="805"/>
      <c r="P8" s="805"/>
      <c r="Q8" s="98" t="s">
        <v>159</v>
      </c>
      <c r="R8" s="99"/>
    </row>
    <row r="9" spans="1:18">
      <c r="A9" s="100">
        <v>1</v>
      </c>
      <c r="B9" s="101">
        <v>2</v>
      </c>
      <c r="C9" s="100">
        <v>3</v>
      </c>
      <c r="D9" s="100">
        <v>4</v>
      </c>
      <c r="E9" s="100">
        <v>5</v>
      </c>
      <c r="F9" s="100">
        <v>6</v>
      </c>
      <c r="G9" s="100"/>
      <c r="H9" s="100">
        <v>8</v>
      </c>
      <c r="I9" s="100">
        <v>9</v>
      </c>
      <c r="J9" s="100">
        <v>10</v>
      </c>
      <c r="K9" s="100">
        <v>11</v>
      </c>
      <c r="L9" s="100">
        <v>12</v>
      </c>
      <c r="M9" s="100">
        <v>13</v>
      </c>
      <c r="N9" s="100">
        <v>14</v>
      </c>
      <c r="O9" s="100">
        <v>15</v>
      </c>
      <c r="P9" s="100">
        <v>16</v>
      </c>
      <c r="Q9" s="102"/>
      <c r="R9" s="5"/>
    </row>
    <row r="10" spans="1:18" ht="15.75">
      <c r="A10" s="567">
        <v>3</v>
      </c>
      <c r="B10" s="562" t="str">
        <f>'BOM 04 22Master'!B17</f>
        <v>Naresh Kumar Kandula</v>
      </c>
      <c r="C10" s="563" t="str">
        <f>'BOM 04 22Master'!E17</f>
        <v>Lankadasari Saritha</v>
      </c>
      <c r="D10" s="564" t="s">
        <v>160</v>
      </c>
      <c r="E10" s="565" t="str">
        <f>'BOM 04 22Master'!F17</f>
        <v>Senior Software Engineer</v>
      </c>
      <c r="F10" s="565">
        <f>'BOM 04 22Master'!W17</f>
        <v>30</v>
      </c>
      <c r="G10" s="565">
        <f>'BOM 04 22Master'!Z17</f>
        <v>67631.399999999994</v>
      </c>
      <c r="H10" s="565">
        <f>'BOM 04 22Master'!AI17</f>
        <v>1555</v>
      </c>
      <c r="I10" s="564" t="s">
        <v>37</v>
      </c>
      <c r="J10" s="564" t="s">
        <v>37</v>
      </c>
      <c r="K10" s="564" t="s">
        <v>37</v>
      </c>
      <c r="L10" s="564" t="s">
        <v>37</v>
      </c>
      <c r="M10" s="565">
        <f t="shared" ref="M10" si="0">H10</f>
        <v>1555</v>
      </c>
      <c r="N10" s="565">
        <f t="shared" ref="N10" si="1">H10</f>
        <v>1555</v>
      </c>
      <c r="O10" s="568">
        <f>'BOM 04 22Master'!AU17</f>
        <v>44686</v>
      </c>
      <c r="P10" s="562" t="str">
        <f>'BOM 04 22Master'!AV17</f>
        <v xml:space="preserve">ICICI </v>
      </c>
      <c r="Q10" s="566" t="str">
        <f>'BOM 04 22Master'!AW17</f>
        <v>A/C'018301591417</v>
      </c>
    </row>
    <row r="11" spans="1:18">
      <c r="A11" s="5"/>
      <c r="B11" s="12"/>
      <c r="E11" s="5"/>
      <c r="F11" s="5"/>
      <c r="G11" s="5"/>
    </row>
    <row r="12" spans="1:18">
      <c r="A12" s="5"/>
      <c r="B12" s="12"/>
      <c r="E12" s="5"/>
      <c r="F12" s="5"/>
      <c r="G12" s="5"/>
      <c r="L12" t="s">
        <v>38</v>
      </c>
    </row>
    <row r="13" spans="1:18">
      <c r="A13" s="5"/>
      <c r="B13" s="12"/>
      <c r="E13" s="5"/>
      <c r="F13" s="5"/>
      <c r="G13" s="5"/>
    </row>
    <row r="14" spans="1:18">
      <c r="A14" s="5"/>
      <c r="B14" s="12"/>
      <c r="E14" s="5"/>
      <c r="F14" s="5"/>
      <c r="G14" s="5"/>
    </row>
    <row r="15" spans="1:18">
      <c r="A15" s="5"/>
      <c r="B15" s="12"/>
      <c r="E15" s="5"/>
      <c r="F15" s="5"/>
      <c r="G15" s="5"/>
    </row>
    <row r="16" spans="1:18">
      <c r="A16" s="5"/>
      <c r="B16" s="12"/>
      <c r="E16" s="5"/>
      <c r="F16" s="5"/>
      <c r="G16" s="5"/>
    </row>
    <row r="17" spans="1:7">
      <c r="A17" s="5"/>
      <c r="B17" s="12"/>
      <c r="E17" s="5"/>
      <c r="F17" s="5"/>
      <c r="G17" s="5"/>
    </row>
    <row r="18" spans="1:7">
      <c r="A18" s="5"/>
      <c r="B18" s="12"/>
      <c r="E18" s="5"/>
      <c r="F18" s="5"/>
      <c r="G18" s="5"/>
    </row>
    <row r="19" spans="1:7">
      <c r="A19" s="5"/>
      <c r="B19" s="12"/>
      <c r="E19" s="5"/>
      <c r="F19" s="5"/>
      <c r="G19" s="5"/>
    </row>
    <row r="20" spans="1:7">
      <c r="A20" s="5"/>
      <c r="B20" s="12"/>
      <c r="E20" s="5"/>
      <c r="F20" s="5"/>
      <c r="G20" s="5"/>
    </row>
    <row r="21" spans="1:7">
      <c r="A21" s="5"/>
      <c r="B21" s="12"/>
      <c r="E21" s="5"/>
      <c r="F21" s="5"/>
      <c r="G21" s="5"/>
    </row>
    <row r="22" spans="1:7">
      <c r="A22" s="5"/>
      <c r="B22" s="12"/>
      <c r="E22" s="5"/>
      <c r="F22" s="5"/>
      <c r="G22" s="5"/>
    </row>
    <row r="23" spans="1:7">
      <c r="A23" s="5"/>
      <c r="B23" s="12"/>
      <c r="E23" s="5"/>
      <c r="F23" s="5"/>
      <c r="G23" s="5"/>
    </row>
    <row r="24" spans="1:7">
      <c r="A24" s="5"/>
      <c r="B24" s="12"/>
      <c r="E24" s="5"/>
      <c r="F24" s="5"/>
      <c r="G24" s="5"/>
    </row>
    <row r="25" spans="1:7">
      <c r="A25" s="5"/>
      <c r="B25" s="12"/>
      <c r="E25" s="5"/>
      <c r="F25" s="5"/>
      <c r="G25" s="5"/>
    </row>
    <row r="26" spans="1:7">
      <c r="A26" s="5"/>
      <c r="B26" s="12"/>
      <c r="E26" s="5"/>
      <c r="F26" s="5"/>
      <c r="G26" s="5"/>
    </row>
    <row r="27" spans="1:7">
      <c r="A27" s="5"/>
      <c r="B27" s="12"/>
      <c r="E27" s="5"/>
      <c r="F27" s="5"/>
      <c r="G27" s="5"/>
    </row>
    <row r="28" spans="1:7">
      <c r="A28" s="5"/>
      <c r="B28" s="12"/>
      <c r="E28" s="5"/>
      <c r="F28" s="5"/>
      <c r="G28" s="5"/>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55"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56"/>
  <sheetViews>
    <sheetView topLeftCell="A19" workbookViewId="0">
      <selection activeCell="N15" sqref="N15"/>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50"/>
      <c r="B4" s="802" t="s">
        <v>349</v>
      </c>
      <c r="C4" s="802"/>
      <c r="D4" s="802"/>
      <c r="E4" s="802"/>
      <c r="F4" s="802"/>
      <c r="G4" s="802"/>
      <c r="H4" s="802"/>
      <c r="I4" s="802"/>
      <c r="J4" s="802"/>
      <c r="K4" s="52"/>
    </row>
    <row r="5" spans="1:11">
      <c r="A5" s="13"/>
      <c r="B5" s="795" t="s">
        <v>350</v>
      </c>
      <c r="C5" s="795"/>
      <c r="D5" s="795"/>
      <c r="E5" s="795"/>
      <c r="F5" s="795"/>
      <c r="G5" s="795"/>
      <c r="H5" s="795"/>
      <c r="I5" s="795"/>
      <c r="J5" s="795"/>
      <c r="K5" s="14"/>
    </row>
    <row r="6" spans="1:11">
      <c r="A6" s="13"/>
      <c r="B6" s="5"/>
      <c r="C6" s="5"/>
      <c r="D6" s="5"/>
      <c r="E6" s="5"/>
      <c r="F6" s="5"/>
      <c r="G6" s="5"/>
      <c r="H6" s="5"/>
      <c r="I6" s="5"/>
      <c r="J6" s="5"/>
      <c r="K6" s="14"/>
    </row>
    <row r="7" spans="1:11" ht="23.25">
      <c r="A7" s="13"/>
      <c r="B7" s="827" t="s">
        <v>351</v>
      </c>
      <c r="C7" s="827"/>
      <c r="D7" s="827"/>
      <c r="E7" s="827"/>
      <c r="F7" s="827"/>
      <c r="G7" s="827"/>
      <c r="H7" s="827"/>
      <c r="I7" s="827"/>
      <c r="J7" s="827"/>
      <c r="K7" s="14"/>
    </row>
    <row r="8" spans="1:11">
      <c r="A8" s="13"/>
      <c r="B8" s="795"/>
      <c r="C8" s="795"/>
      <c r="D8" s="795"/>
      <c r="E8" s="795"/>
      <c r="F8" s="795"/>
      <c r="G8" s="795"/>
      <c r="H8" s="795"/>
      <c r="I8" s="795"/>
      <c r="J8" s="795"/>
      <c r="K8" s="14"/>
    </row>
    <row r="9" spans="1:11" ht="15.75" thickBot="1">
      <c r="A9" s="13"/>
      <c r="B9" s="825" t="s">
        <v>164</v>
      </c>
      <c r="C9" s="825"/>
      <c r="D9" s="825"/>
      <c r="E9" s="825"/>
      <c r="F9" s="271"/>
      <c r="G9" s="826" t="s">
        <v>352</v>
      </c>
      <c r="H9" s="826"/>
      <c r="I9" s="826"/>
      <c r="J9" s="826"/>
      <c r="K9" s="14"/>
    </row>
    <row r="10" spans="1:11">
      <c r="A10" s="13"/>
      <c r="B10" s="50"/>
      <c r="C10" s="51"/>
      <c r="D10" s="51"/>
      <c r="E10" s="52"/>
      <c r="F10" s="5"/>
      <c r="G10" s="50"/>
      <c r="H10" s="51"/>
      <c r="I10" s="51"/>
      <c r="J10" s="52"/>
      <c r="K10" s="14"/>
    </row>
    <row r="11" spans="1:11">
      <c r="A11" s="13"/>
      <c r="B11" s="13" t="str">
        <f>'BOM 04 22Master'!F5</f>
        <v>Burgeon IT Services Pvt.Ltd.</v>
      </c>
      <c r="E11" s="14"/>
      <c r="F11" s="5"/>
      <c r="G11" s="13" t="str">
        <f>'BOM 04 22Master'!AP5</f>
        <v>Burgeon IT Services Pvt.Ltd.</v>
      </c>
      <c r="J11" s="14"/>
      <c r="K11" s="14"/>
    </row>
    <row r="12" spans="1:11">
      <c r="A12" s="13"/>
      <c r="B12" s="13"/>
      <c r="E12" s="14"/>
      <c r="F12" s="5"/>
      <c r="G12" s="13"/>
      <c r="J12" s="14"/>
      <c r="K12" s="14"/>
    </row>
    <row r="13" spans="1:11">
      <c r="A13" s="13"/>
      <c r="B13" s="13" t="str">
        <f>'BOM 04 22Master'!F6</f>
        <v>Siri Mansion LIGB 436 Dr.A S Rao Nagar,Hyderabad</v>
      </c>
      <c r="E13" s="14"/>
      <c r="F13" s="5"/>
      <c r="G13" s="13" t="str">
        <f>'BOM 04 22Master'!AP6</f>
        <v>Siri Mansion LIGB 436 Dr.A S Rao Nagar,Hyderabad</v>
      </c>
      <c r="J13" s="14"/>
      <c r="K13" s="14"/>
    </row>
    <row r="14" spans="1:11">
      <c r="A14" s="13"/>
      <c r="B14" s="13"/>
      <c r="E14" s="14"/>
      <c r="F14" s="5"/>
      <c r="G14" s="13"/>
      <c r="J14" s="14"/>
      <c r="K14" s="14"/>
    </row>
    <row r="15" spans="1:11" ht="15.75" thickBot="1">
      <c r="A15" s="13"/>
      <c r="B15" s="25"/>
      <c r="C15" s="23"/>
      <c r="D15" s="23"/>
      <c r="E15" s="24"/>
      <c r="F15" s="5"/>
      <c r="G15" s="25"/>
      <c r="H15" s="23"/>
      <c r="I15" s="23"/>
      <c r="J15" s="24"/>
      <c r="K15" s="14"/>
    </row>
    <row r="16" spans="1:11">
      <c r="A16" s="13"/>
      <c r="K16" s="14"/>
    </row>
    <row r="17" spans="1:11" ht="15.75" thickBot="1">
      <c r="A17" s="13"/>
      <c r="B17" s="825" t="s">
        <v>353</v>
      </c>
      <c r="C17" s="825"/>
      <c r="D17" s="825"/>
      <c r="E17" s="825"/>
      <c r="F17" s="271"/>
      <c r="G17" s="826" t="s">
        <v>354</v>
      </c>
      <c r="H17" s="826"/>
      <c r="I17" s="826"/>
      <c r="J17" s="826"/>
      <c r="K17" s="14"/>
    </row>
    <row r="18" spans="1:11">
      <c r="A18" s="13"/>
      <c r="B18" s="50"/>
      <c r="C18" s="51"/>
      <c r="D18" s="51"/>
      <c r="E18" s="52"/>
      <c r="F18" s="5"/>
      <c r="G18" s="50"/>
      <c r="H18" s="51"/>
      <c r="I18" s="51"/>
      <c r="J18" s="52"/>
      <c r="K18" s="14"/>
    </row>
    <row r="19" spans="1:11">
      <c r="A19" s="13"/>
      <c r="B19" s="13"/>
      <c r="E19" s="14"/>
      <c r="F19" s="5"/>
      <c r="G19" s="13" t="str">
        <f>'BOM 04 22Master'!AP10</f>
        <v>INFOSYS  LTD.85-C Mittal Towers</v>
      </c>
      <c r="J19" s="14"/>
      <c r="K19" s="14"/>
    </row>
    <row r="20" spans="1:11">
      <c r="A20" s="13"/>
      <c r="B20" s="13"/>
      <c r="E20" s="14"/>
      <c r="F20" s="5"/>
      <c r="G20" s="13"/>
      <c r="J20" s="14"/>
      <c r="K20" s="14"/>
    </row>
    <row r="21" spans="1:11">
      <c r="A21" s="13"/>
      <c r="B21" s="13" t="str">
        <f>'BOM 04 22Master'!F8</f>
        <v>IT SUPPORTIVE SERVICES&amp;MUMBAI</v>
      </c>
      <c r="E21" s="14"/>
      <c r="F21" s="5"/>
      <c r="G21" s="13" t="str">
        <f>'BOM 04 22Master'!AP11</f>
        <v>8th flour Nariman Point,Maharashtra,400021</v>
      </c>
      <c r="J21" s="14"/>
      <c r="K21" s="14"/>
    </row>
    <row r="22" spans="1:11">
      <c r="A22" s="13"/>
      <c r="B22" s="13"/>
      <c r="E22" s="14"/>
      <c r="F22" s="5"/>
      <c r="G22" s="13"/>
      <c r="J22" s="14"/>
      <c r="K22" s="14"/>
    </row>
    <row r="23" spans="1:11" ht="15.75" thickBot="1">
      <c r="A23" s="13"/>
      <c r="B23" s="25"/>
      <c r="C23" s="23"/>
      <c r="D23" s="23"/>
      <c r="E23" s="24"/>
      <c r="F23" s="5"/>
      <c r="G23" s="25"/>
      <c r="H23" s="23"/>
      <c r="I23" s="23"/>
      <c r="J23" s="24"/>
      <c r="K23" s="14"/>
    </row>
    <row r="24" spans="1:11">
      <c r="A24" s="13"/>
      <c r="K24" s="14"/>
    </row>
    <row r="25" spans="1:11">
      <c r="A25" s="13"/>
      <c r="K25" s="14"/>
    </row>
    <row r="26" spans="1:11">
      <c r="A26" s="13"/>
      <c r="B26" s="822" t="s">
        <v>355</v>
      </c>
      <c r="C26" s="822"/>
      <c r="D26" s="822"/>
      <c r="E26" s="822"/>
      <c r="F26" s="17"/>
      <c r="G26" s="17"/>
      <c r="H26" s="17"/>
      <c r="I26" s="17"/>
      <c r="J26" s="17"/>
      <c r="K26" s="14"/>
    </row>
    <row r="27" spans="1:11">
      <c r="A27" s="13"/>
      <c r="B27" s="272"/>
      <c r="C27" s="272"/>
      <c r="D27" s="272"/>
      <c r="E27" s="272"/>
      <c r="F27" s="44"/>
      <c r="G27" s="44"/>
      <c r="H27" s="44"/>
      <c r="I27" s="44"/>
      <c r="J27" s="44"/>
      <c r="K27" s="14"/>
    </row>
    <row r="28" spans="1:11">
      <c r="A28" s="13"/>
      <c r="B28" s="272"/>
      <c r="C28" s="272"/>
      <c r="D28" s="272"/>
      <c r="E28" s="272"/>
      <c r="F28" s="17"/>
      <c r="G28" s="17"/>
      <c r="H28" s="17"/>
      <c r="I28" s="17"/>
      <c r="J28" s="17"/>
      <c r="K28" s="14"/>
    </row>
    <row r="29" spans="1:11">
      <c r="A29" s="13"/>
      <c r="B29" s="272"/>
      <c r="C29" s="272"/>
      <c r="D29" s="272"/>
      <c r="E29" s="272"/>
      <c r="F29" s="44"/>
      <c r="G29" s="44"/>
      <c r="H29" s="44"/>
      <c r="I29" s="44"/>
      <c r="J29" s="44"/>
      <c r="K29" s="14"/>
    </row>
    <row r="30" spans="1:11">
      <c r="A30" s="13"/>
      <c r="B30" s="272"/>
      <c r="C30" s="272"/>
      <c r="D30" s="272"/>
      <c r="E30" s="272"/>
      <c r="K30" s="14"/>
    </row>
    <row r="31" spans="1:11">
      <c r="A31" s="13"/>
      <c r="B31" s="822" t="s">
        <v>356</v>
      </c>
      <c r="C31" s="822"/>
      <c r="D31" s="822"/>
      <c r="E31" s="822"/>
      <c r="F31" s="17"/>
      <c r="G31" s="17"/>
      <c r="H31" s="17"/>
      <c r="I31" s="17"/>
      <c r="J31" s="17"/>
      <c r="K31" s="14"/>
    </row>
    <row r="32" spans="1:11">
      <c r="A32" s="13"/>
      <c r="B32" s="272"/>
      <c r="C32" s="272"/>
      <c r="D32" s="272"/>
      <c r="E32" s="272"/>
      <c r="K32" s="14"/>
    </row>
    <row r="33" spans="1:11">
      <c r="A33" s="13"/>
      <c r="B33" s="822" t="s">
        <v>357</v>
      </c>
      <c r="C33" s="822"/>
      <c r="D33" s="822"/>
      <c r="E33" s="822"/>
      <c r="F33" s="17"/>
      <c r="G33" s="17"/>
      <c r="H33" s="17"/>
      <c r="I33" s="17"/>
      <c r="J33" s="17"/>
      <c r="K33" s="14"/>
    </row>
    <row r="34" spans="1:11">
      <c r="A34" s="13"/>
      <c r="B34" s="272"/>
      <c r="C34" s="272"/>
      <c r="D34" s="272"/>
      <c r="E34" s="272"/>
      <c r="K34" s="14"/>
    </row>
    <row r="35" spans="1:11">
      <c r="A35" s="13"/>
      <c r="B35" s="822" t="s">
        <v>358</v>
      </c>
      <c r="C35" s="822"/>
      <c r="D35" s="822"/>
      <c r="E35" s="822"/>
      <c r="F35" s="17"/>
      <c r="G35" s="17"/>
      <c r="H35" s="17"/>
      <c r="I35" s="17"/>
      <c r="J35" s="17"/>
      <c r="K35" s="14"/>
    </row>
    <row r="36" spans="1:11">
      <c r="A36" s="13"/>
      <c r="B36" s="272"/>
      <c r="C36" s="272"/>
      <c r="D36" s="272"/>
      <c r="E36" s="272"/>
      <c r="K36" s="14"/>
    </row>
    <row r="37" spans="1:11" ht="15.75" thickBot="1">
      <c r="A37" s="13"/>
      <c r="K37" s="14"/>
    </row>
    <row r="38" spans="1:11">
      <c r="A38" s="13"/>
      <c r="B38" s="823" t="s">
        <v>359</v>
      </c>
      <c r="C38" s="817" t="s">
        <v>360</v>
      </c>
      <c r="D38" s="817"/>
      <c r="E38" s="817" t="s">
        <v>361</v>
      </c>
      <c r="F38" s="817"/>
      <c r="G38" s="817" t="s">
        <v>362</v>
      </c>
      <c r="H38" s="817"/>
      <c r="I38" s="817"/>
      <c r="J38" s="819" t="s">
        <v>40</v>
      </c>
      <c r="K38" s="14"/>
    </row>
    <row r="39" spans="1:11">
      <c r="A39" s="13"/>
      <c r="B39" s="824"/>
      <c r="C39" s="818"/>
      <c r="D39" s="818"/>
      <c r="E39" s="818"/>
      <c r="F39" s="818"/>
      <c r="G39" s="818"/>
      <c r="H39" s="818"/>
      <c r="I39" s="818"/>
      <c r="J39" s="820"/>
      <c r="K39" s="14"/>
    </row>
    <row r="40" spans="1:11">
      <c r="A40" s="13"/>
      <c r="B40" s="824"/>
      <c r="C40" s="273" t="s">
        <v>363</v>
      </c>
      <c r="D40" s="273" t="s">
        <v>137</v>
      </c>
      <c r="E40" s="818"/>
      <c r="F40" s="818"/>
      <c r="G40" s="818"/>
      <c r="H40" s="818"/>
      <c r="I40" s="818"/>
      <c r="J40" s="820"/>
      <c r="K40" s="14"/>
    </row>
    <row r="41" spans="1:11">
      <c r="A41" s="13"/>
      <c r="B41" s="274">
        <v>1</v>
      </c>
      <c r="C41" s="275">
        <v>2</v>
      </c>
      <c r="D41" s="275">
        <v>3</v>
      </c>
      <c r="E41" s="821">
        <v>4</v>
      </c>
      <c r="F41" s="821"/>
      <c r="G41" s="821">
        <v>5</v>
      </c>
      <c r="H41" s="821"/>
      <c r="I41" s="821"/>
      <c r="J41" s="276">
        <v>6</v>
      </c>
      <c r="K41" s="14"/>
    </row>
    <row r="42" spans="1:11">
      <c r="A42" s="13"/>
      <c r="B42" s="275"/>
      <c r="C42" s="275"/>
      <c r="D42" s="275"/>
      <c r="E42" s="816"/>
      <c r="F42" s="816"/>
      <c r="G42" s="816"/>
      <c r="H42" s="816"/>
      <c r="I42" s="816"/>
      <c r="J42" s="275"/>
      <c r="K42" s="14"/>
    </row>
    <row r="43" spans="1:11">
      <c r="A43" s="13"/>
      <c r="B43" s="275"/>
      <c r="C43" s="275"/>
      <c r="D43" s="275"/>
      <c r="E43" s="816"/>
      <c r="F43" s="816"/>
      <c r="G43" s="816"/>
      <c r="H43" s="816"/>
      <c r="I43" s="816"/>
      <c r="J43" s="275"/>
      <c r="K43" s="14"/>
    </row>
    <row r="44" spans="1:11">
      <c r="A44" s="13"/>
      <c r="B44" s="275"/>
      <c r="C44" s="275"/>
      <c r="D44" s="275"/>
      <c r="E44" s="816"/>
      <c r="F44" s="816"/>
      <c r="G44" s="816"/>
      <c r="H44" s="816"/>
      <c r="I44" s="816"/>
      <c r="J44" s="275"/>
      <c r="K44" s="14"/>
    </row>
    <row r="45" spans="1:11">
      <c r="A45" s="13"/>
      <c r="B45" s="11"/>
      <c r="C45" s="11"/>
      <c r="D45" s="11"/>
      <c r="E45" s="816"/>
      <c r="F45" s="816"/>
      <c r="G45" s="816"/>
      <c r="H45" s="816"/>
      <c r="I45" s="816"/>
      <c r="J45" s="11"/>
      <c r="K45" s="14"/>
    </row>
    <row r="46" spans="1:11">
      <c r="A46" s="13"/>
      <c r="B46" s="11"/>
      <c r="C46" s="11"/>
      <c r="D46" s="11"/>
      <c r="E46" s="816"/>
      <c r="F46" s="816"/>
      <c r="G46" s="816"/>
      <c r="H46" s="816"/>
      <c r="I46" s="816"/>
      <c r="J46" s="11"/>
      <c r="K46" s="14"/>
    </row>
    <row r="47" spans="1:11">
      <c r="A47" s="13"/>
      <c r="B47" s="11"/>
      <c r="C47" s="11"/>
      <c r="D47" s="11"/>
      <c r="E47" s="816"/>
      <c r="F47" s="816"/>
      <c r="G47" s="816"/>
      <c r="H47" s="816"/>
      <c r="I47" s="816"/>
      <c r="J47" s="11"/>
      <c r="K47" s="14"/>
    </row>
    <row r="48" spans="1:11">
      <c r="A48" s="13"/>
      <c r="B48" s="11"/>
      <c r="C48" s="11"/>
      <c r="D48" s="11"/>
      <c r="E48" s="816"/>
      <c r="F48" s="816"/>
      <c r="G48" s="816"/>
      <c r="H48" s="816"/>
      <c r="I48" s="816"/>
      <c r="J48" s="11"/>
      <c r="K48" s="14"/>
    </row>
    <row r="49" spans="1:11">
      <c r="A49" s="13"/>
      <c r="B49" s="11"/>
      <c r="C49" s="11"/>
      <c r="D49" s="11"/>
      <c r="E49" s="816"/>
      <c r="F49" s="816"/>
      <c r="G49" s="816"/>
      <c r="H49" s="816"/>
      <c r="I49" s="816"/>
      <c r="J49" s="11"/>
      <c r="K49" s="14"/>
    </row>
    <row r="50" spans="1:11">
      <c r="A50" s="13"/>
      <c r="B50" s="11"/>
      <c r="C50" s="11"/>
      <c r="D50" s="11"/>
      <c r="E50" s="816"/>
      <c r="F50" s="816"/>
      <c r="G50" s="816"/>
      <c r="H50" s="816"/>
      <c r="I50" s="816"/>
      <c r="J50" s="11"/>
      <c r="K50" s="14"/>
    </row>
    <row r="51" spans="1:11">
      <c r="A51" s="13"/>
      <c r="B51" s="11"/>
      <c r="C51" s="11"/>
      <c r="D51" s="11"/>
      <c r="E51" s="816"/>
      <c r="F51" s="816"/>
      <c r="G51" s="816"/>
      <c r="H51" s="816"/>
      <c r="I51" s="816"/>
      <c r="J51" s="11"/>
      <c r="K51" s="14"/>
    </row>
    <row r="52" spans="1:11">
      <c r="A52" s="13"/>
      <c r="B52" s="11"/>
      <c r="C52" s="11"/>
      <c r="D52" s="11"/>
      <c r="E52" s="816"/>
      <c r="F52" s="816"/>
      <c r="G52" s="816"/>
      <c r="H52" s="816"/>
      <c r="I52" s="816"/>
      <c r="J52" s="11"/>
      <c r="K52" s="14"/>
    </row>
    <row r="53" spans="1:11">
      <c r="A53" s="13"/>
      <c r="K53" s="14"/>
    </row>
    <row r="54" spans="1:11">
      <c r="A54" s="13"/>
      <c r="K54" s="14"/>
    </row>
    <row r="55" spans="1:11" ht="15.75" thickBot="1">
      <c r="A55" s="13"/>
      <c r="H55" s="799"/>
      <c r="I55" s="799"/>
      <c r="J55" s="799"/>
      <c r="K55" s="14"/>
    </row>
    <row r="56" spans="1:11" ht="15.75" thickBot="1">
      <c r="A56" s="25"/>
      <c r="B56" s="23"/>
      <c r="C56" s="23"/>
      <c r="D56" s="23"/>
      <c r="E56" s="23"/>
      <c r="F56" s="23"/>
      <c r="G56" s="23"/>
      <c r="H56" s="277" t="s">
        <v>364</v>
      </c>
      <c r="I56" s="28"/>
      <c r="J56" s="28"/>
      <c r="K56" s="24"/>
    </row>
  </sheetData>
  <mergeCells count="42">
    <mergeCell ref="B17:E17"/>
    <mergeCell ref="G17:J17"/>
    <mergeCell ref="B4:J4"/>
    <mergeCell ref="B5:J5"/>
    <mergeCell ref="B7:J7"/>
    <mergeCell ref="B8:J8"/>
    <mergeCell ref="B9:E9"/>
    <mergeCell ref="G9:J9"/>
    <mergeCell ref="B26:E26"/>
    <mergeCell ref="B31:E31"/>
    <mergeCell ref="B33:E33"/>
    <mergeCell ref="B35:E35"/>
    <mergeCell ref="B38:B40"/>
    <mergeCell ref="C38:D39"/>
    <mergeCell ref="E38:F40"/>
    <mergeCell ref="G38:I40"/>
    <mergeCell ref="J38:J40"/>
    <mergeCell ref="E41:F41"/>
    <mergeCell ref="G41:I41"/>
    <mergeCell ref="E45:F45"/>
    <mergeCell ref="G45:I45"/>
    <mergeCell ref="G46:I46"/>
    <mergeCell ref="E47:F47"/>
    <mergeCell ref="G47:I47"/>
    <mergeCell ref="E48:F48"/>
    <mergeCell ref="G48:I48"/>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s>
  <pageMargins left="0.94488188976377963" right="0.70866141732283472" top="0.74803149606299213" bottom="0.74803149606299213" header="0.31496062992125984" footer="0.31496062992125984"/>
  <pageSetup scale="6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3"/>
  <sheetViews>
    <sheetView workbookViewId="0">
      <selection activeCell="H16" sqref="H16"/>
    </sheetView>
  </sheetViews>
  <sheetFormatPr defaultRowHeight="15"/>
  <cols>
    <col min="1" max="1" width="5.28515625" customWidth="1"/>
    <col min="3" max="3" width="12.5703125" customWidth="1"/>
    <col min="4" max="4" width="44.28515625" customWidth="1"/>
    <col min="13" max="13" width="16.7109375" customWidth="1"/>
  </cols>
  <sheetData>
    <row r="1" spans="1:13">
      <c r="A1" s="830" t="s">
        <v>489</v>
      </c>
      <c r="B1" s="831"/>
      <c r="C1" s="831"/>
      <c r="D1" s="831"/>
      <c r="E1" s="831"/>
      <c r="F1" s="831"/>
      <c r="G1" s="831"/>
      <c r="H1" s="831"/>
      <c r="I1" s="831"/>
      <c r="J1" s="831"/>
      <c r="K1" s="831"/>
      <c r="L1" s="831"/>
      <c r="M1" s="832"/>
    </row>
    <row r="2" spans="1:13">
      <c r="A2" s="833"/>
      <c r="B2" s="834"/>
      <c r="C2" s="834"/>
      <c r="D2" s="834"/>
      <c r="E2" s="834"/>
      <c r="F2" s="834"/>
      <c r="G2" s="834"/>
      <c r="H2" s="834"/>
      <c r="I2" s="834"/>
      <c r="J2" s="834"/>
      <c r="K2" s="834"/>
      <c r="L2" s="834"/>
      <c r="M2" s="835"/>
    </row>
    <row r="3" spans="1:13">
      <c r="A3" s="836" t="s">
        <v>490</v>
      </c>
      <c r="B3" s="837"/>
      <c r="C3" s="837"/>
      <c r="D3" s="837"/>
      <c r="E3" s="837"/>
      <c r="F3" s="837"/>
      <c r="G3" s="837"/>
      <c r="H3" s="837"/>
      <c r="I3" s="837"/>
      <c r="J3" s="837"/>
      <c r="K3" s="837"/>
      <c r="L3" s="837"/>
      <c r="M3" s="838"/>
    </row>
    <row r="4" spans="1:13" ht="15" customHeight="1">
      <c r="A4" s="441" t="s">
        <v>66</v>
      </c>
      <c r="B4" s="442"/>
      <c r="C4" s="442"/>
      <c r="D4" s="443" t="str">
        <f>'BOM 04 22Master'!F5</f>
        <v>Burgeon IT Services Pvt.Ltd.</v>
      </c>
      <c r="E4" s="46" t="s">
        <v>81</v>
      </c>
      <c r="F4" s="47"/>
      <c r="G4" s="47"/>
      <c r="H4" s="47"/>
      <c r="I4" s="47"/>
      <c r="J4" s="47"/>
      <c r="K4" s="47"/>
      <c r="L4" s="47"/>
      <c r="M4" s="186"/>
    </row>
    <row r="5" spans="1:13">
      <c r="A5" s="444"/>
      <c r="B5" s="347" t="str">
        <f>'BOM 04 22Master'!F6</f>
        <v>Siri Mansion LIGB 436 Dr.A S Rao Nagar,Hyderabad</v>
      </c>
      <c r="C5" s="347"/>
      <c r="D5" s="31"/>
      <c r="E5" s="383"/>
      <c r="F5" s="44"/>
      <c r="G5" s="44"/>
      <c r="H5" s="44"/>
      <c r="I5" s="44"/>
      <c r="J5" s="44"/>
      <c r="K5" s="44"/>
      <c r="L5" s="44"/>
      <c r="M5" s="186"/>
    </row>
    <row r="6" spans="1:13">
      <c r="A6" s="445"/>
      <c r="B6" s="33">
        <f>'BOM 04 22Master'!F7</f>
        <v>0</v>
      </c>
      <c r="C6" s="33"/>
      <c r="D6" s="34"/>
      <c r="E6" s="31"/>
      <c r="F6" s="33"/>
      <c r="G6" s="33"/>
      <c r="H6" s="33"/>
      <c r="I6" s="33"/>
      <c r="J6" s="33"/>
      <c r="K6" s="33"/>
      <c r="L6" s="33"/>
      <c r="M6" s="446"/>
    </row>
    <row r="7" spans="1:13">
      <c r="A7" s="447" t="s">
        <v>80</v>
      </c>
      <c r="B7" s="442"/>
      <c r="C7" s="442"/>
      <c r="D7" s="443" t="str">
        <f>'BOM 04 22Master'!F8</f>
        <v>IT SUPPORTIVE SERVICES&amp;MUMBAI</v>
      </c>
      <c r="E7" s="448" t="s">
        <v>67</v>
      </c>
      <c r="F7" s="442"/>
      <c r="G7" s="442"/>
      <c r="H7" s="442"/>
      <c r="I7" s="442"/>
      <c r="J7" s="442"/>
      <c r="K7" s="442"/>
      <c r="L7" s="442"/>
      <c r="M7" s="449"/>
    </row>
    <row r="8" spans="1:13">
      <c r="A8" s="444"/>
      <c r="B8" s="347"/>
      <c r="C8" s="347"/>
      <c r="D8" s="31"/>
      <c r="E8" s="35" t="str">
        <f>'BOM 04 22Master'!AP10</f>
        <v>INFOSYS  LTD.85-C Mittal Towers</v>
      </c>
      <c r="F8" s="347"/>
      <c r="G8" s="347"/>
      <c r="H8" s="347"/>
      <c r="I8" s="347"/>
      <c r="J8" s="347"/>
      <c r="K8" s="347"/>
      <c r="L8" s="347"/>
      <c r="M8" s="450"/>
    </row>
    <row r="9" spans="1:13">
      <c r="A9" s="444"/>
      <c r="B9" s="347"/>
      <c r="C9" s="347"/>
      <c r="D9" s="31"/>
      <c r="E9" s="30" t="str">
        <f>'BOM 04 22Master'!AP11</f>
        <v>8th flour Nariman Point,Maharashtra,400021</v>
      </c>
      <c r="F9" s="347"/>
      <c r="G9" s="347"/>
      <c r="H9" s="347"/>
      <c r="I9" s="347"/>
      <c r="J9" s="347"/>
      <c r="K9" s="347"/>
      <c r="L9" s="347"/>
      <c r="M9" s="450"/>
    </row>
    <row r="10" spans="1:13">
      <c r="A10" s="445"/>
      <c r="B10" s="33"/>
      <c r="C10" s="33"/>
      <c r="D10" s="34"/>
      <c r="E10" s="32"/>
      <c r="F10" s="33"/>
      <c r="G10" s="33"/>
      <c r="H10" s="33"/>
      <c r="I10" s="33"/>
      <c r="J10" s="33"/>
      <c r="K10" s="33"/>
      <c r="L10" s="33"/>
      <c r="M10" s="446"/>
    </row>
    <row r="11" spans="1:13" ht="38.25">
      <c r="A11" s="839" t="s">
        <v>5</v>
      </c>
      <c r="B11" s="829" t="s">
        <v>68</v>
      </c>
      <c r="C11" s="451" t="s">
        <v>69</v>
      </c>
      <c r="D11" s="828" t="s">
        <v>70</v>
      </c>
      <c r="E11" s="828" t="s">
        <v>71</v>
      </c>
      <c r="F11" s="828" t="s">
        <v>72</v>
      </c>
      <c r="G11" s="828" t="s">
        <v>73</v>
      </c>
      <c r="H11" s="828" t="s">
        <v>74</v>
      </c>
      <c r="I11" s="828" t="s">
        <v>75</v>
      </c>
      <c r="J11" s="829" t="s">
        <v>76</v>
      </c>
      <c r="K11" s="829"/>
      <c r="L11" s="829"/>
      <c r="M11" s="452" t="s">
        <v>40</v>
      </c>
    </row>
    <row r="12" spans="1:13" ht="38.25">
      <c r="A12" s="839"/>
      <c r="B12" s="829"/>
      <c r="C12" s="36"/>
      <c r="D12" s="828"/>
      <c r="E12" s="828"/>
      <c r="F12" s="828"/>
      <c r="G12" s="828"/>
      <c r="H12" s="828"/>
      <c r="I12" s="828"/>
      <c r="J12" s="453" t="s">
        <v>77</v>
      </c>
      <c r="K12" s="453" t="s">
        <v>78</v>
      </c>
      <c r="L12" s="453" t="s">
        <v>79</v>
      </c>
      <c r="M12" s="454"/>
    </row>
    <row r="13" spans="1:13">
      <c r="A13" s="455">
        <v>1</v>
      </c>
      <c r="B13" s="456">
        <v>2</v>
      </c>
      <c r="C13" s="456">
        <v>3</v>
      </c>
      <c r="D13" s="456">
        <v>4</v>
      </c>
      <c r="E13" s="456">
        <v>5</v>
      </c>
      <c r="F13" s="456">
        <v>6</v>
      </c>
      <c r="G13" s="456">
        <v>7</v>
      </c>
      <c r="H13" s="456">
        <v>8</v>
      </c>
      <c r="I13" s="456">
        <v>9</v>
      </c>
      <c r="J13" s="456">
        <v>10</v>
      </c>
      <c r="K13" s="456">
        <v>11</v>
      </c>
      <c r="L13" s="456">
        <v>12</v>
      </c>
      <c r="M13" s="457">
        <v>13</v>
      </c>
    </row>
    <row r="14" spans="1:13">
      <c r="A14" s="458"/>
      <c r="B14" s="440"/>
      <c r="C14" s="440"/>
      <c r="D14" s="440"/>
      <c r="E14" s="440"/>
      <c r="F14" s="440"/>
      <c r="G14" s="440"/>
      <c r="H14" s="440"/>
      <c r="I14" s="440"/>
      <c r="J14" s="440"/>
      <c r="K14" s="440"/>
      <c r="L14" s="440"/>
      <c r="M14" s="459"/>
    </row>
    <row r="15" spans="1:13" ht="15.75" thickBot="1">
      <c r="A15" s="458"/>
      <c r="B15" s="460"/>
      <c r="C15" s="460"/>
      <c r="D15" s="460"/>
      <c r="E15" s="460"/>
      <c r="F15" s="460"/>
      <c r="G15" s="460"/>
      <c r="H15" s="460"/>
      <c r="I15" s="460"/>
      <c r="J15" s="460"/>
      <c r="K15" s="460"/>
      <c r="L15" s="460"/>
      <c r="M15" s="461"/>
    </row>
    <row r="16" spans="1:13" ht="15.75" thickBot="1">
      <c r="A16" s="458"/>
      <c r="B16" s="38" t="s">
        <v>379</v>
      </c>
      <c r="C16" s="383"/>
      <c r="D16" s="383"/>
      <c r="E16" s="383"/>
      <c r="F16" s="383"/>
      <c r="G16" s="383"/>
      <c r="H16" s="382">
        <f>'BOM 04 22Master'!D10</f>
        <v>44652</v>
      </c>
      <c r="I16" s="440"/>
      <c r="J16" s="440"/>
      <c r="K16" s="440"/>
      <c r="L16" s="440"/>
      <c r="M16" s="459"/>
    </row>
    <row r="17" spans="1:13">
      <c r="A17" s="458"/>
      <c r="B17" s="383"/>
      <c r="C17" s="383"/>
      <c r="D17" s="383"/>
      <c r="E17" s="383"/>
      <c r="F17" s="383"/>
      <c r="G17" s="383"/>
      <c r="H17" s="383"/>
      <c r="I17" s="440"/>
      <c r="J17" s="440"/>
      <c r="K17" s="440"/>
      <c r="L17" s="440"/>
      <c r="M17" s="459"/>
    </row>
    <row r="18" spans="1:13">
      <c r="A18" s="458"/>
      <c r="B18" s="383"/>
      <c r="C18" s="383"/>
      <c r="D18" s="383"/>
      <c r="E18" s="383"/>
      <c r="F18" s="383"/>
      <c r="G18" s="383"/>
      <c r="H18" s="383"/>
      <c r="I18" s="440"/>
      <c r="J18" s="440"/>
      <c r="K18" s="440"/>
      <c r="L18" s="440"/>
      <c r="M18" s="459"/>
    </row>
    <row r="19" spans="1:13">
      <c r="A19" s="476"/>
      <c r="B19" s="468"/>
      <c r="C19" s="383"/>
      <c r="D19" s="383"/>
      <c r="E19" s="383"/>
      <c r="F19" s="383"/>
      <c r="G19" s="383"/>
      <c r="H19" s="383"/>
      <c r="I19" s="440"/>
      <c r="J19" s="440"/>
      <c r="K19" s="440"/>
      <c r="L19" s="440"/>
      <c r="M19" s="459"/>
    </row>
    <row r="20" spans="1:13">
      <c r="A20" s="440"/>
      <c r="B20" s="383"/>
      <c r="C20" s="383"/>
      <c r="D20" s="383"/>
      <c r="E20" s="383"/>
      <c r="F20" s="383"/>
      <c r="G20" s="383"/>
      <c r="H20" s="382"/>
      <c r="I20" s="440"/>
      <c r="J20" s="440"/>
      <c r="K20" s="440"/>
      <c r="L20" s="440"/>
      <c r="M20" s="459"/>
    </row>
    <row r="21" spans="1:13">
      <c r="A21" s="477"/>
      <c r="B21" s="37"/>
      <c r="C21" s="440"/>
      <c r="D21" s="440"/>
      <c r="E21" s="440"/>
      <c r="F21" s="440"/>
      <c r="G21" s="440"/>
      <c r="H21" s="440"/>
      <c r="I21" s="440"/>
      <c r="J21" s="440"/>
      <c r="K21" s="440"/>
      <c r="L21" s="440"/>
      <c r="M21" s="459"/>
    </row>
    <row r="22" spans="1:13">
      <c r="A22" s="458"/>
      <c r="B22" s="440"/>
      <c r="C22" s="440"/>
      <c r="D22" s="440"/>
      <c r="E22" s="440"/>
      <c r="F22" s="440"/>
      <c r="G22" s="440"/>
      <c r="H22" s="440"/>
      <c r="I22" s="440"/>
      <c r="J22" s="440"/>
      <c r="K22" s="440"/>
      <c r="L22" s="440"/>
      <c r="M22" s="459"/>
    </row>
    <row r="23" spans="1:13">
      <c r="A23" s="458"/>
      <c r="B23" s="440"/>
      <c r="C23" s="440"/>
      <c r="D23" s="440"/>
      <c r="E23" s="440"/>
      <c r="F23" s="440"/>
      <c r="G23" s="440"/>
      <c r="H23" s="440"/>
      <c r="I23" s="440"/>
      <c r="J23" s="440"/>
      <c r="K23" s="440"/>
      <c r="L23" s="440"/>
      <c r="M23" s="459"/>
    </row>
    <row r="24" spans="1:13">
      <c r="A24" s="269"/>
      <c r="B24" s="309"/>
      <c r="C24" s="309"/>
      <c r="D24" s="309"/>
      <c r="E24" s="309"/>
      <c r="F24" s="309"/>
      <c r="G24" s="309"/>
      <c r="H24" s="309"/>
      <c r="I24" s="309"/>
      <c r="J24" s="309"/>
      <c r="K24" s="309"/>
      <c r="L24" s="309"/>
      <c r="M24" s="254"/>
    </row>
    <row r="25" spans="1:13">
      <c r="A25" s="269"/>
      <c r="B25" s="383"/>
      <c r="C25" s="309"/>
      <c r="D25" s="309"/>
      <c r="E25" s="309"/>
      <c r="F25" s="309"/>
      <c r="G25" s="309"/>
      <c r="H25" s="382"/>
      <c r="I25" s="309"/>
      <c r="J25" s="309"/>
      <c r="K25" s="309"/>
      <c r="L25" s="309"/>
      <c r="M25" s="254"/>
    </row>
    <row r="26" spans="1:13">
      <c r="A26" s="13"/>
      <c r="B26" s="351"/>
      <c r="C26" s="351"/>
      <c r="D26" s="351"/>
      <c r="E26" s="351"/>
      <c r="F26" s="351"/>
      <c r="G26" s="351"/>
      <c r="H26" s="351"/>
      <c r="I26" s="351"/>
      <c r="J26" s="351"/>
      <c r="K26" s="351"/>
      <c r="L26" s="351"/>
      <c r="M26" s="14"/>
    </row>
    <row r="27" spans="1:13">
      <c r="A27" s="13"/>
      <c r="B27" s="351"/>
      <c r="C27" s="351"/>
      <c r="D27" s="351"/>
      <c r="E27" s="351"/>
      <c r="F27" s="351"/>
      <c r="G27" s="351"/>
      <c r="H27" s="351"/>
      <c r="I27" s="351"/>
      <c r="J27" s="351"/>
      <c r="K27" s="351"/>
      <c r="L27" s="351"/>
      <c r="M27" s="14"/>
    </row>
    <row r="28" spans="1:13" s="360" customFormat="1">
      <c r="A28" s="13"/>
      <c r="B28" s="351"/>
      <c r="C28" s="351"/>
      <c r="D28" s="351"/>
      <c r="E28" s="351"/>
      <c r="F28" s="351"/>
      <c r="G28" s="351"/>
      <c r="H28" s="351"/>
      <c r="I28" s="351"/>
      <c r="J28" s="351"/>
      <c r="K28" s="351"/>
      <c r="L28" s="351"/>
      <c r="M28" s="14"/>
    </row>
    <row r="29" spans="1:13" s="360" customFormat="1">
      <c r="A29" s="13"/>
      <c r="B29" s="351"/>
      <c r="C29" s="351"/>
      <c r="D29" s="351"/>
      <c r="E29" s="351"/>
      <c r="F29" s="351"/>
      <c r="G29" s="351"/>
      <c r="H29" s="351"/>
      <c r="I29" s="351"/>
      <c r="J29" s="351"/>
      <c r="K29" s="351"/>
      <c r="L29" s="351"/>
      <c r="M29" s="14"/>
    </row>
    <row r="30" spans="1:13" s="360" customFormat="1">
      <c r="A30" s="13"/>
      <c r="B30" s="351"/>
      <c r="C30" s="351"/>
      <c r="D30" s="351"/>
      <c r="E30" s="351"/>
      <c r="F30" s="351"/>
      <c r="G30" s="351"/>
      <c r="H30" s="351"/>
      <c r="I30" s="351"/>
      <c r="J30" s="351"/>
      <c r="K30" s="351"/>
      <c r="L30" s="351"/>
      <c r="M30" s="14"/>
    </row>
    <row r="31" spans="1:13">
      <c r="A31" s="13"/>
      <c r="B31" s="351"/>
      <c r="C31" s="351"/>
      <c r="D31" s="351"/>
      <c r="E31" s="351"/>
      <c r="F31" s="351"/>
      <c r="G31" s="351"/>
      <c r="H31" s="351"/>
      <c r="I31" s="351"/>
      <c r="J31" s="351"/>
      <c r="K31" s="351"/>
      <c r="L31" s="351"/>
      <c r="M31" s="14"/>
    </row>
    <row r="32" spans="1:13">
      <c r="A32" s="13"/>
      <c r="B32" s="351"/>
      <c r="C32" s="351"/>
      <c r="D32" s="351"/>
      <c r="E32" s="351"/>
      <c r="F32" s="351" t="s">
        <v>38</v>
      </c>
      <c r="G32" s="351"/>
      <c r="H32" s="351"/>
      <c r="I32" s="351"/>
      <c r="J32" s="351"/>
      <c r="K32" s="351"/>
      <c r="L32" s="351"/>
      <c r="M32" s="14"/>
    </row>
    <row r="33" spans="1:13" ht="15.75" thickBot="1">
      <c r="A33" s="25"/>
      <c r="B33" s="23"/>
      <c r="C33" s="23"/>
      <c r="D33" s="23"/>
      <c r="E33" s="23"/>
      <c r="F33" s="23"/>
      <c r="G33" s="23"/>
      <c r="H33" s="23"/>
      <c r="I33" s="23"/>
      <c r="J33" s="23"/>
      <c r="K33" s="23"/>
      <c r="L33" s="23"/>
      <c r="M33" s="24"/>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3"/>
  <sheetViews>
    <sheetView workbookViewId="0">
      <selection sqref="A1:L2"/>
    </sheetView>
  </sheetViews>
  <sheetFormatPr defaultRowHeight="15"/>
  <cols>
    <col min="1" max="1" width="7" customWidth="1"/>
    <col min="4" max="4" width="42.85546875" customWidth="1"/>
    <col min="10" max="10" width="12.140625" customWidth="1"/>
    <col min="11" max="11" width="11.28515625" customWidth="1"/>
    <col min="12" max="12" width="14.5703125" customWidth="1"/>
  </cols>
  <sheetData>
    <row r="1" spans="1:12">
      <c r="A1" s="840" t="s">
        <v>491</v>
      </c>
      <c r="B1" s="841"/>
      <c r="C1" s="841"/>
      <c r="D1" s="841"/>
      <c r="E1" s="841"/>
      <c r="F1" s="841"/>
      <c r="G1" s="841"/>
      <c r="H1" s="841"/>
      <c r="I1" s="841"/>
      <c r="J1" s="841"/>
      <c r="K1" s="841"/>
      <c r="L1" s="842"/>
    </row>
    <row r="2" spans="1:12">
      <c r="A2" s="843"/>
      <c r="B2" s="844"/>
      <c r="C2" s="844"/>
      <c r="D2" s="844"/>
      <c r="E2" s="844"/>
      <c r="F2" s="844"/>
      <c r="G2" s="844"/>
      <c r="H2" s="844"/>
      <c r="I2" s="844"/>
      <c r="J2" s="844"/>
      <c r="K2" s="844"/>
      <c r="L2" s="845"/>
    </row>
    <row r="3" spans="1:12">
      <c r="A3" s="836" t="s">
        <v>492</v>
      </c>
      <c r="B3" s="837"/>
      <c r="C3" s="837"/>
      <c r="D3" s="837"/>
      <c r="E3" s="837"/>
      <c r="F3" s="837"/>
      <c r="G3" s="837"/>
      <c r="H3" s="837"/>
      <c r="I3" s="837"/>
      <c r="J3" s="837"/>
      <c r="K3" s="837"/>
      <c r="L3" s="838"/>
    </row>
    <row r="4" spans="1:12" ht="15" customHeight="1">
      <c r="A4" s="441" t="s">
        <v>378</v>
      </c>
      <c r="B4" s="442"/>
      <c r="C4" s="442"/>
      <c r="D4" s="443" t="str">
        <f>'BOM 04 22Master'!F5</f>
        <v>Burgeon IT Services Pvt.Ltd.</v>
      </c>
      <c r="E4" s="448" t="s">
        <v>81</v>
      </c>
      <c r="F4" s="442"/>
      <c r="G4" s="442"/>
      <c r="H4" s="442"/>
      <c r="I4" s="442"/>
      <c r="J4" s="442"/>
      <c r="K4" s="442"/>
      <c r="L4" s="79"/>
    </row>
    <row r="5" spans="1:12">
      <c r="A5" s="444"/>
      <c r="B5" s="347" t="str">
        <f>'BOM 04 22Master'!F6</f>
        <v>Siri Mansion LIGB 436 Dr.A S Rao Nagar,Hyderabad</v>
      </c>
      <c r="C5" s="347"/>
      <c r="D5" s="31"/>
      <c r="E5" s="383"/>
      <c r="F5" s="44"/>
      <c r="G5" s="44"/>
      <c r="H5" s="44"/>
      <c r="I5" s="44"/>
      <c r="J5" s="44"/>
      <c r="K5" s="44"/>
      <c r="L5" s="186"/>
    </row>
    <row r="6" spans="1:12">
      <c r="A6" s="445"/>
      <c r="B6" s="33">
        <f>'BOM 04 22Master'!F7</f>
        <v>0</v>
      </c>
      <c r="C6" s="33"/>
      <c r="D6" s="34"/>
      <c r="E6" s="43"/>
      <c r="F6" s="33"/>
      <c r="G6" s="33"/>
      <c r="H6" s="33"/>
      <c r="I6" s="33"/>
      <c r="J6" s="33"/>
      <c r="K6" s="33"/>
      <c r="L6" s="446"/>
    </row>
    <row r="7" spans="1:12">
      <c r="A7" s="447" t="s">
        <v>80</v>
      </c>
      <c r="B7" s="442"/>
      <c r="C7" s="442"/>
      <c r="D7" s="443" t="str">
        <f>'BOM 04 22Master'!F8</f>
        <v>IT SUPPORTIVE SERVICES&amp;MUMBAI</v>
      </c>
      <c r="E7" s="448" t="s">
        <v>67</v>
      </c>
      <c r="F7" s="442"/>
      <c r="G7" s="442"/>
      <c r="H7" s="442"/>
      <c r="I7" s="442"/>
      <c r="J7" s="442"/>
      <c r="K7" s="442"/>
      <c r="L7" s="449"/>
    </row>
    <row r="8" spans="1:12">
      <c r="A8" s="444"/>
      <c r="B8" s="347"/>
      <c r="C8" s="347"/>
      <c r="D8" s="31"/>
      <c r="E8" s="35" t="str">
        <f>'BOM 04 22Master'!AP10</f>
        <v>INFOSYS  LTD.85-C Mittal Towers</v>
      </c>
      <c r="F8" s="347"/>
      <c r="G8" s="347"/>
      <c r="H8" s="347"/>
      <c r="I8" s="347"/>
      <c r="J8" s="347"/>
      <c r="K8" s="347"/>
      <c r="L8" s="450"/>
    </row>
    <row r="9" spans="1:12">
      <c r="A9" s="444"/>
      <c r="B9" s="347"/>
      <c r="C9" s="347"/>
      <c r="D9" s="31"/>
      <c r="E9" s="30" t="str">
        <f>'BOM 04 22Master'!AP11</f>
        <v>8th flour Nariman Point,Maharashtra,400021</v>
      </c>
      <c r="F9" s="347"/>
      <c r="G9" s="347"/>
      <c r="H9" s="347"/>
      <c r="I9" s="347"/>
      <c r="J9" s="347"/>
      <c r="K9" s="347"/>
      <c r="L9" s="450"/>
    </row>
    <row r="10" spans="1:12" ht="15.75" thickBot="1">
      <c r="A10" s="444"/>
      <c r="B10" s="347"/>
      <c r="C10" s="347"/>
      <c r="D10" s="31"/>
      <c r="E10" s="30"/>
      <c r="F10" s="347"/>
      <c r="G10" s="347"/>
      <c r="H10" s="347"/>
      <c r="I10" s="347"/>
      <c r="J10" s="347"/>
      <c r="K10" s="347"/>
      <c r="L10" s="450"/>
    </row>
    <row r="11" spans="1:12" ht="51" customHeight="1">
      <c r="A11" s="846" t="s">
        <v>5</v>
      </c>
      <c r="B11" s="846" t="s">
        <v>68</v>
      </c>
      <c r="C11" s="415" t="s">
        <v>69</v>
      </c>
      <c r="D11" s="848" t="s">
        <v>70</v>
      </c>
      <c r="E11" s="848" t="s">
        <v>82</v>
      </c>
      <c r="F11" s="848" t="s">
        <v>83</v>
      </c>
      <c r="G11" s="848" t="s">
        <v>84</v>
      </c>
      <c r="H11" s="848" t="s">
        <v>74</v>
      </c>
      <c r="I11" s="848" t="s">
        <v>85</v>
      </c>
      <c r="J11" s="415" t="s">
        <v>86</v>
      </c>
      <c r="K11" s="846" t="s">
        <v>87</v>
      </c>
      <c r="L11" s="846" t="s">
        <v>40</v>
      </c>
    </row>
    <row r="12" spans="1:12" ht="18.600000000000001" customHeight="1" thickBot="1">
      <c r="A12" s="847"/>
      <c r="B12" s="847"/>
      <c r="C12" s="42"/>
      <c r="D12" s="849"/>
      <c r="E12" s="849"/>
      <c r="F12" s="849"/>
      <c r="G12" s="849"/>
      <c r="H12" s="849"/>
      <c r="I12" s="849"/>
      <c r="J12" s="416"/>
      <c r="K12" s="847"/>
      <c r="L12" s="847"/>
    </row>
    <row r="13" spans="1:12" ht="15" customHeight="1">
      <c r="A13" s="463">
        <v>1</v>
      </c>
      <c r="B13" s="39">
        <v>2</v>
      </c>
      <c r="C13" s="39">
        <v>3</v>
      </c>
      <c r="D13" s="39">
        <v>4</v>
      </c>
      <c r="E13" s="39">
        <v>5</v>
      </c>
      <c r="F13" s="39">
        <v>6</v>
      </c>
      <c r="G13" s="39">
        <v>7</v>
      </c>
      <c r="H13" s="39">
        <v>8</v>
      </c>
      <c r="I13" s="39">
        <v>9</v>
      </c>
      <c r="J13" s="40">
        <v>10</v>
      </c>
      <c r="K13" s="41">
        <v>11</v>
      </c>
      <c r="L13" s="464">
        <v>12</v>
      </c>
    </row>
    <row r="14" spans="1:12">
      <c r="A14" s="458"/>
      <c r="B14" s="440"/>
      <c r="C14" s="440"/>
      <c r="D14" s="440"/>
      <c r="E14" s="440"/>
      <c r="F14" s="440"/>
      <c r="G14" s="440"/>
      <c r="H14" s="440"/>
      <c r="I14" s="440"/>
      <c r="J14" s="440"/>
      <c r="K14" s="37"/>
      <c r="L14" s="459"/>
    </row>
    <row r="15" spans="1:12">
      <c r="A15" s="458"/>
      <c r="B15" s="460"/>
      <c r="C15" s="460"/>
      <c r="D15" s="460"/>
      <c r="E15" s="460"/>
      <c r="F15" s="460"/>
      <c r="G15" s="460"/>
      <c r="H15" s="460"/>
      <c r="I15" s="460"/>
      <c r="J15" s="460"/>
      <c r="K15" s="460"/>
      <c r="L15" s="461"/>
    </row>
    <row r="16" spans="1:12" ht="15.75" thickBot="1">
      <c r="A16" s="458"/>
      <c r="B16" s="383"/>
      <c r="C16" s="383"/>
      <c r="D16" s="383"/>
      <c r="E16" s="383"/>
      <c r="F16" s="383"/>
      <c r="G16" s="383"/>
      <c r="H16" s="383"/>
      <c r="I16" s="440"/>
      <c r="J16" s="440"/>
      <c r="K16" s="440"/>
      <c r="L16" s="459"/>
    </row>
    <row r="17" spans="1:12" ht="15.75" thickBot="1">
      <c r="A17" s="458"/>
      <c r="B17" s="850" t="s">
        <v>88</v>
      </c>
      <c r="C17" s="851"/>
      <c r="D17" s="851"/>
      <c r="E17" s="851"/>
      <c r="F17" s="851"/>
      <c r="G17" s="852"/>
      <c r="H17" s="382">
        <f>'BOM 04 22Master'!D10</f>
        <v>44652</v>
      </c>
      <c r="I17" s="440"/>
      <c r="J17" s="440"/>
      <c r="K17" s="440"/>
      <c r="L17" s="459"/>
    </row>
    <row r="18" spans="1:12">
      <c r="A18" s="458"/>
      <c r="B18" s="440"/>
      <c r="C18" s="440"/>
      <c r="D18" s="440"/>
      <c r="E18" s="440"/>
      <c r="F18" s="440"/>
      <c r="G18" s="440"/>
      <c r="H18" s="383"/>
      <c r="I18" s="440"/>
      <c r="J18" s="440"/>
      <c r="K18" s="440"/>
      <c r="L18" s="459"/>
    </row>
    <row r="19" spans="1:12">
      <c r="A19" s="458"/>
      <c r="B19" s="440"/>
      <c r="C19" s="440"/>
      <c r="D19" s="440"/>
      <c r="E19" s="440"/>
      <c r="F19" s="440"/>
      <c r="G19" s="440"/>
      <c r="H19" s="383"/>
      <c r="I19" s="440"/>
      <c r="J19" s="440"/>
      <c r="K19" s="440"/>
      <c r="L19" s="459"/>
    </row>
    <row r="20" spans="1:12" ht="15.75" thickBot="1">
      <c r="A20" s="458"/>
      <c r="B20" s="440"/>
      <c r="C20" s="440"/>
      <c r="D20" s="440"/>
      <c r="E20" s="440"/>
      <c r="F20" s="440"/>
      <c r="G20" s="440"/>
      <c r="H20" s="383"/>
      <c r="I20" s="440"/>
      <c r="J20" s="440"/>
      <c r="K20" s="440"/>
      <c r="L20" s="459"/>
    </row>
    <row r="21" spans="1:12" ht="15.75" thickBot="1">
      <c r="A21" s="458"/>
      <c r="B21" s="850"/>
      <c r="C21" s="851"/>
      <c r="D21" s="851"/>
      <c r="E21" s="851"/>
      <c r="F21" s="851"/>
      <c r="G21" s="852"/>
      <c r="H21" s="382"/>
      <c r="I21" s="440"/>
      <c r="J21" s="440"/>
      <c r="K21" s="440"/>
      <c r="L21" s="459"/>
    </row>
    <row r="22" spans="1:12">
      <c r="A22" s="458"/>
      <c r="B22" s="440"/>
      <c r="C22" s="440"/>
      <c r="D22" s="440"/>
      <c r="E22" s="440"/>
      <c r="F22" s="440"/>
      <c r="G22" s="440"/>
      <c r="H22" s="440"/>
      <c r="I22" s="440"/>
      <c r="J22" s="440"/>
      <c r="K22" s="440"/>
      <c r="L22" s="459"/>
    </row>
    <row r="23" spans="1:12">
      <c r="A23" s="458"/>
      <c r="B23" s="440"/>
      <c r="C23" s="440"/>
      <c r="D23" s="440"/>
      <c r="E23" s="440"/>
      <c r="F23" s="440"/>
      <c r="G23" s="440"/>
      <c r="H23" s="440"/>
      <c r="I23" s="440"/>
      <c r="J23" s="440"/>
      <c r="K23" s="440"/>
      <c r="L23" s="459"/>
    </row>
    <row r="24" spans="1:12">
      <c r="A24" s="458"/>
      <c r="B24" s="440"/>
      <c r="C24" s="440"/>
      <c r="D24" s="440"/>
      <c r="E24" s="440"/>
      <c r="F24" s="440"/>
      <c r="G24" s="440"/>
      <c r="H24" s="440"/>
      <c r="I24" s="440"/>
      <c r="J24" s="440"/>
      <c r="K24" s="440"/>
      <c r="L24" s="459"/>
    </row>
    <row r="25" spans="1:12">
      <c r="A25" s="269"/>
      <c r="B25" s="309"/>
      <c r="C25" s="309"/>
      <c r="D25" s="309"/>
      <c r="E25" s="309"/>
      <c r="F25" s="309"/>
      <c r="G25" s="309"/>
      <c r="H25" s="309"/>
      <c r="I25" s="309"/>
      <c r="J25" s="309"/>
      <c r="K25" s="309"/>
      <c r="L25" s="254"/>
    </row>
    <row r="26" spans="1:12">
      <c r="A26" s="269"/>
      <c r="B26" s="853"/>
      <c r="C26" s="853"/>
      <c r="D26" s="853"/>
      <c r="E26" s="853"/>
      <c r="F26" s="853"/>
      <c r="G26" s="853"/>
      <c r="H26" s="462"/>
      <c r="I26" s="309"/>
      <c r="J26" s="309"/>
      <c r="K26" s="309"/>
      <c r="L26" s="254"/>
    </row>
    <row r="27" spans="1:12">
      <c r="A27" s="13"/>
      <c r="B27" s="351"/>
      <c r="C27" s="351"/>
      <c r="D27" s="351"/>
      <c r="E27" s="351"/>
      <c r="F27" s="351"/>
      <c r="G27" s="351"/>
      <c r="H27" s="351"/>
      <c r="I27" s="351"/>
      <c r="J27" s="351"/>
      <c r="K27" s="351"/>
      <c r="L27" s="14"/>
    </row>
    <row r="28" spans="1:12">
      <c r="A28" s="13"/>
      <c r="B28" s="351"/>
      <c r="C28" s="351"/>
      <c r="D28" s="351"/>
      <c r="E28" s="351"/>
      <c r="F28" s="351"/>
      <c r="G28" s="351"/>
      <c r="H28" s="351"/>
      <c r="I28" s="351"/>
      <c r="J28" s="351"/>
      <c r="K28" s="351"/>
      <c r="L28" s="14"/>
    </row>
    <row r="29" spans="1:12" s="360" customFormat="1">
      <c r="A29" s="13"/>
      <c r="B29" s="351"/>
      <c r="C29" s="351"/>
      <c r="D29" s="351"/>
      <c r="E29" s="351"/>
      <c r="F29" s="351"/>
      <c r="G29" s="351"/>
      <c r="H29" s="351"/>
      <c r="I29" s="351"/>
      <c r="J29" s="351"/>
      <c r="K29" s="351"/>
      <c r="L29" s="14"/>
    </row>
    <row r="30" spans="1:12" s="360" customFormat="1">
      <c r="A30" s="13"/>
      <c r="B30" s="351"/>
      <c r="C30" s="351"/>
      <c r="D30" s="351"/>
      <c r="E30" s="351"/>
      <c r="F30" s="351"/>
      <c r="G30" s="351"/>
      <c r="H30" s="351"/>
      <c r="I30" s="351"/>
      <c r="J30" s="351"/>
      <c r="K30" s="351"/>
      <c r="L30" s="14"/>
    </row>
    <row r="31" spans="1:12" s="360" customFormat="1">
      <c r="A31" s="13"/>
      <c r="B31" s="351"/>
      <c r="C31" s="351"/>
      <c r="D31" s="351"/>
      <c r="E31" s="351"/>
      <c r="F31" s="351"/>
      <c r="G31" s="351"/>
      <c r="H31" s="351"/>
      <c r="I31" s="351"/>
      <c r="J31" s="351"/>
      <c r="K31" s="351"/>
      <c r="L31" s="14"/>
    </row>
    <row r="32" spans="1:12" s="360" customFormat="1">
      <c r="A32" s="13"/>
      <c r="B32" s="351"/>
      <c r="C32" s="351"/>
      <c r="D32" s="351"/>
      <c r="E32" s="351"/>
      <c r="F32" s="351"/>
      <c r="G32" s="351"/>
      <c r="H32" s="351"/>
      <c r="I32" s="351"/>
      <c r="J32" s="351"/>
      <c r="K32" s="351"/>
      <c r="L32" s="14"/>
    </row>
    <row r="33" spans="1:12" ht="15.75" thickBot="1">
      <c r="A33" s="25"/>
      <c r="B33" s="23"/>
      <c r="C33" s="23"/>
      <c r="D33" s="23"/>
      <c r="E33" s="23"/>
      <c r="F33" s="23" t="s">
        <v>38</v>
      </c>
      <c r="G33" s="23"/>
      <c r="H33" s="23"/>
      <c r="I33" s="23"/>
      <c r="J33" s="23"/>
      <c r="K33" s="23"/>
      <c r="L33" s="24"/>
    </row>
  </sheetData>
  <protectedRanges>
    <protectedRange password="CA4D" sqref="E5 A1:D13 E6:L10 E1:L3 L11:L13 E13:J13" name="Range1"/>
  </protectedRanges>
  <mergeCells count="15">
    <mergeCell ref="B21:G21"/>
    <mergeCell ref="B26:G26"/>
    <mergeCell ref="B17:G17"/>
    <mergeCell ref="K11:K12"/>
    <mergeCell ref="L11:L12"/>
    <mergeCell ref="A1:L2"/>
    <mergeCell ref="A3:L3"/>
    <mergeCell ref="A11:A12"/>
    <mergeCell ref="B11:B12"/>
    <mergeCell ref="D11:D12"/>
    <mergeCell ref="E11:E12"/>
    <mergeCell ref="F11:F12"/>
    <mergeCell ref="G11:G12"/>
    <mergeCell ref="H11:H12"/>
    <mergeCell ref="I11:I12"/>
  </mergeCells>
  <pageMargins left="0.94488188976377963" right="0.70866141732283472" top="0.74803149606299213" bottom="0.74803149606299213" header="0.31496062992125984" footer="0.31496062992125984"/>
  <pageSetup scale="75"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6"/>
  <sheetViews>
    <sheetView workbookViewId="0">
      <selection activeCell="B20" sqref="B20:E20"/>
    </sheetView>
  </sheetViews>
  <sheetFormatPr defaultRowHeight="15"/>
  <cols>
    <col min="3" max="3" width="9.85546875" customWidth="1"/>
    <col min="4" max="4" width="44.7109375" customWidth="1"/>
    <col min="10" max="10" width="26" customWidth="1"/>
    <col min="11" max="11" width="14.7109375" customWidth="1"/>
  </cols>
  <sheetData>
    <row r="1" spans="1:11">
      <c r="A1" s="830" t="s">
        <v>493</v>
      </c>
      <c r="B1" s="831"/>
      <c r="C1" s="831"/>
      <c r="D1" s="831"/>
      <c r="E1" s="831"/>
      <c r="F1" s="831"/>
      <c r="G1" s="831"/>
      <c r="H1" s="831"/>
      <c r="I1" s="831"/>
      <c r="J1" s="831"/>
      <c r="K1" s="832"/>
    </row>
    <row r="2" spans="1:11">
      <c r="A2" s="833"/>
      <c r="B2" s="834"/>
      <c r="C2" s="834"/>
      <c r="D2" s="834"/>
      <c r="E2" s="834"/>
      <c r="F2" s="834"/>
      <c r="G2" s="834"/>
      <c r="H2" s="834"/>
      <c r="I2" s="834"/>
      <c r="J2" s="834"/>
      <c r="K2" s="835"/>
    </row>
    <row r="3" spans="1:11">
      <c r="A3" s="836" t="s">
        <v>492</v>
      </c>
      <c r="B3" s="837"/>
      <c r="C3" s="837"/>
      <c r="D3" s="837"/>
      <c r="E3" s="858"/>
      <c r="F3" s="858"/>
      <c r="G3" s="858"/>
      <c r="H3" s="858"/>
      <c r="I3" s="858"/>
      <c r="J3" s="858"/>
      <c r="K3" s="859"/>
    </row>
    <row r="4" spans="1:11" ht="15" customHeight="1">
      <c r="A4" s="441" t="s">
        <v>377</v>
      </c>
      <c r="B4" s="442"/>
      <c r="C4" s="442"/>
      <c r="D4" s="443" t="str">
        <f>'BOM 04 22Master'!F5</f>
        <v>Burgeon IT Services Pvt.Ltd.</v>
      </c>
      <c r="E4" s="46" t="s">
        <v>81</v>
      </c>
      <c r="F4" s="47"/>
      <c r="G4" s="47"/>
      <c r="H4" s="47"/>
      <c r="I4" s="47"/>
      <c r="J4" s="47"/>
      <c r="K4" s="465"/>
    </row>
    <row r="5" spans="1:11">
      <c r="A5" s="444"/>
      <c r="B5" s="347" t="str">
        <f>'BOM 04 22Master'!F6</f>
        <v>Siri Mansion LIGB 436 Dr.A S Rao Nagar,Hyderabad</v>
      </c>
      <c r="C5" s="347"/>
      <c r="D5" s="31"/>
      <c r="E5" s="383"/>
      <c r="F5" s="44"/>
      <c r="G5" s="44"/>
      <c r="H5" s="44"/>
      <c r="I5" s="44"/>
      <c r="J5" s="44"/>
      <c r="K5" s="186"/>
    </row>
    <row r="6" spans="1:11">
      <c r="A6" s="445"/>
      <c r="B6" s="33">
        <f>'BOM 04 22Master'!F7</f>
        <v>0</v>
      </c>
      <c r="C6" s="33"/>
      <c r="D6" s="34"/>
      <c r="E6" s="383"/>
      <c r="F6" s="47"/>
      <c r="G6" s="47"/>
      <c r="H6" s="47"/>
      <c r="I6" s="47"/>
      <c r="J6" s="47"/>
      <c r="K6" s="465"/>
    </row>
    <row r="7" spans="1:11">
      <c r="A7" s="447" t="s">
        <v>80</v>
      </c>
      <c r="B7" s="442"/>
      <c r="C7" s="442"/>
      <c r="D7" s="443" t="str">
        <f>'BOM 04 22Master'!F8</f>
        <v>IT SUPPORTIVE SERVICES&amp;MUMBAI</v>
      </c>
      <c r="E7" s="448" t="s">
        <v>67</v>
      </c>
      <c r="F7" s="442"/>
      <c r="G7" s="442"/>
      <c r="H7" s="442"/>
      <c r="I7" s="442"/>
      <c r="J7" s="442"/>
      <c r="K7" s="449"/>
    </row>
    <row r="8" spans="1:11">
      <c r="A8" s="444"/>
      <c r="B8" s="347"/>
      <c r="C8" s="347"/>
      <c r="D8" s="31"/>
      <c r="E8" s="35" t="str">
        <f>'BOM 04 22Master'!AP10</f>
        <v>INFOSYS  LTD.85-C Mittal Towers</v>
      </c>
      <c r="F8" s="347"/>
      <c r="G8" s="347"/>
      <c r="H8" s="347"/>
      <c r="I8" s="347"/>
      <c r="J8" s="347"/>
      <c r="K8" s="450"/>
    </row>
    <row r="9" spans="1:11">
      <c r="A9" s="444"/>
      <c r="B9" s="347"/>
      <c r="C9" s="347"/>
      <c r="D9" s="31"/>
      <c r="E9" s="30" t="str">
        <f>'BOM 04 22Master'!AP11</f>
        <v>8th flour Nariman Point,Maharashtra,400021</v>
      </c>
      <c r="F9" s="347"/>
      <c r="G9" s="347"/>
      <c r="H9" s="347"/>
      <c r="I9" s="347"/>
      <c r="J9" s="347"/>
      <c r="K9" s="450"/>
    </row>
    <row r="10" spans="1:11">
      <c r="A10" s="444"/>
      <c r="B10" s="347"/>
      <c r="C10" s="347"/>
      <c r="D10" s="31"/>
      <c r="E10" s="32"/>
      <c r="F10" s="33"/>
      <c r="G10" s="33"/>
      <c r="H10" s="33"/>
      <c r="I10" s="33"/>
      <c r="J10" s="33"/>
      <c r="K10" s="446"/>
    </row>
    <row r="11" spans="1:11">
      <c r="A11" s="839" t="s">
        <v>5</v>
      </c>
      <c r="B11" s="829" t="s">
        <v>68</v>
      </c>
      <c r="C11" s="829" t="s">
        <v>69</v>
      </c>
      <c r="D11" s="828" t="s">
        <v>70</v>
      </c>
      <c r="E11" s="860" t="s">
        <v>89</v>
      </c>
      <c r="F11" s="860" t="s">
        <v>90</v>
      </c>
      <c r="G11" s="860" t="s">
        <v>91</v>
      </c>
      <c r="H11" s="860" t="s">
        <v>92</v>
      </c>
      <c r="I11" s="860" t="s">
        <v>93</v>
      </c>
      <c r="J11" s="861" t="s">
        <v>94</v>
      </c>
      <c r="K11" s="862" t="s">
        <v>40</v>
      </c>
    </row>
    <row r="12" spans="1:11" ht="65.25" customHeight="1">
      <c r="A12" s="839"/>
      <c r="B12" s="829"/>
      <c r="C12" s="829"/>
      <c r="D12" s="828"/>
      <c r="E12" s="828"/>
      <c r="F12" s="828"/>
      <c r="G12" s="828"/>
      <c r="H12" s="828"/>
      <c r="I12" s="828"/>
      <c r="J12" s="829"/>
      <c r="K12" s="863"/>
    </row>
    <row r="13" spans="1:11">
      <c r="A13" s="455">
        <v>1</v>
      </c>
      <c r="B13" s="456">
        <v>2</v>
      </c>
      <c r="C13" s="456">
        <v>3</v>
      </c>
      <c r="D13" s="456">
        <v>4</v>
      </c>
      <c r="E13" s="456">
        <v>5</v>
      </c>
      <c r="F13" s="456">
        <v>6</v>
      </c>
      <c r="G13" s="456">
        <v>7</v>
      </c>
      <c r="H13" s="456">
        <v>8</v>
      </c>
      <c r="I13" s="456">
        <v>9</v>
      </c>
      <c r="J13" s="456">
        <v>10</v>
      </c>
      <c r="K13" s="457">
        <v>11</v>
      </c>
    </row>
    <row r="14" spans="1:11">
      <c r="A14" s="466"/>
      <c r="B14" s="383"/>
      <c r="C14" s="383"/>
      <c r="D14" s="383"/>
      <c r="E14" s="383"/>
      <c r="F14" s="383"/>
      <c r="G14" s="383"/>
      <c r="H14" s="383"/>
      <c r="I14" s="383"/>
      <c r="J14" s="383"/>
      <c r="K14" s="467"/>
    </row>
    <row r="15" spans="1:11">
      <c r="A15" s="466"/>
      <c r="B15" s="383"/>
      <c r="C15" s="383"/>
      <c r="D15" s="383"/>
      <c r="E15" s="383"/>
      <c r="F15" s="383"/>
      <c r="G15" s="383"/>
      <c r="H15" s="383"/>
      <c r="I15" s="383"/>
      <c r="J15" s="383"/>
      <c r="K15" s="467"/>
    </row>
    <row r="16" spans="1:11">
      <c r="A16" s="466"/>
      <c r="B16" s="383"/>
      <c r="C16" s="383"/>
      <c r="D16" s="383"/>
      <c r="E16" s="383"/>
      <c r="F16" s="383"/>
      <c r="G16" s="383"/>
      <c r="H16" s="383"/>
      <c r="I16" s="383"/>
      <c r="J16" s="383"/>
      <c r="K16" s="467"/>
    </row>
    <row r="17" spans="1:11">
      <c r="A17" s="466"/>
      <c r="B17" s="383"/>
      <c r="C17" s="383"/>
      <c r="D17" s="383"/>
      <c r="E17" s="383"/>
      <c r="F17" s="383"/>
      <c r="G17" s="383"/>
      <c r="H17" s="383"/>
      <c r="I17" s="383"/>
      <c r="J17" s="383"/>
      <c r="K17" s="467"/>
    </row>
    <row r="18" spans="1:11">
      <c r="A18" s="466"/>
      <c r="B18" s="383"/>
      <c r="C18" s="383"/>
      <c r="D18" s="383"/>
      <c r="E18" s="383"/>
      <c r="F18" s="383"/>
      <c r="G18" s="383"/>
      <c r="H18" s="383"/>
      <c r="I18" s="383"/>
      <c r="J18" s="383"/>
      <c r="K18" s="467"/>
    </row>
    <row r="19" spans="1:11">
      <c r="A19" s="466"/>
      <c r="B19" s="383"/>
      <c r="C19" s="383"/>
      <c r="D19" s="383"/>
      <c r="E19" s="383"/>
      <c r="F19" s="383"/>
      <c r="G19" s="383"/>
      <c r="H19" s="383"/>
      <c r="I19" s="383"/>
      <c r="J19" s="383"/>
      <c r="K19" s="467"/>
    </row>
    <row r="20" spans="1:11">
      <c r="A20" s="466"/>
      <c r="B20" s="854" t="s">
        <v>95</v>
      </c>
      <c r="C20" s="855"/>
      <c r="D20" s="855"/>
      <c r="E20" s="856"/>
      <c r="F20" s="382">
        <f>'BOM 04 22Master'!D10</f>
        <v>44652</v>
      </c>
      <c r="G20" s="383"/>
      <c r="H20" s="383"/>
      <c r="I20" s="383"/>
      <c r="J20" s="383"/>
      <c r="K20" s="467"/>
    </row>
    <row r="21" spans="1:11">
      <c r="A21" s="466"/>
      <c r="B21" s="383"/>
      <c r="C21" s="383"/>
      <c r="D21" s="383"/>
      <c r="E21" s="383"/>
      <c r="F21" s="383"/>
      <c r="G21" s="383"/>
      <c r="H21" s="383"/>
      <c r="I21" s="383"/>
      <c r="J21" s="383"/>
      <c r="K21" s="467"/>
    </row>
    <row r="22" spans="1:11">
      <c r="A22" s="466"/>
      <c r="B22" s="383"/>
      <c r="C22" s="383"/>
      <c r="D22" s="383"/>
      <c r="E22" s="383"/>
      <c r="F22" s="383"/>
      <c r="G22" s="383"/>
      <c r="H22" s="383"/>
      <c r="I22" s="383"/>
      <c r="J22" s="383"/>
      <c r="K22" s="467"/>
    </row>
    <row r="23" spans="1:11">
      <c r="A23" s="466"/>
      <c r="B23" s="383"/>
      <c r="C23" s="383"/>
      <c r="D23" s="383"/>
      <c r="E23" s="383"/>
      <c r="F23" s="383"/>
      <c r="G23" s="383"/>
      <c r="H23" s="383"/>
      <c r="I23" s="383"/>
      <c r="J23" s="383"/>
      <c r="K23" s="467"/>
    </row>
    <row r="24" spans="1:11">
      <c r="A24" s="466"/>
      <c r="B24" s="854"/>
      <c r="C24" s="855"/>
      <c r="D24" s="855"/>
      <c r="E24" s="856"/>
      <c r="F24" s="382"/>
      <c r="G24" s="383"/>
      <c r="H24" s="383"/>
      <c r="I24" s="383"/>
      <c r="J24" s="383"/>
      <c r="K24" s="467"/>
    </row>
    <row r="25" spans="1:11">
      <c r="A25" s="466"/>
      <c r="B25" s="383"/>
      <c r="C25" s="383"/>
      <c r="D25" s="383"/>
      <c r="E25" s="383"/>
      <c r="F25" s="440"/>
      <c r="G25" s="383"/>
      <c r="H25" s="383"/>
      <c r="I25" s="383"/>
      <c r="J25" s="383"/>
      <c r="K25" s="467"/>
    </row>
    <row r="26" spans="1:11">
      <c r="A26" s="466"/>
      <c r="B26" s="383"/>
      <c r="C26" s="383"/>
      <c r="D26" s="383"/>
      <c r="E26" s="383"/>
      <c r="F26" s="440"/>
      <c r="G26" s="383"/>
      <c r="H26" s="383"/>
      <c r="I26" s="383"/>
      <c r="J26" s="383"/>
      <c r="K26" s="467"/>
    </row>
    <row r="27" spans="1:11">
      <c r="A27" s="466"/>
      <c r="B27" s="383"/>
      <c r="C27" s="383"/>
      <c r="D27" s="383"/>
      <c r="E27" s="383"/>
      <c r="F27" s="440"/>
      <c r="G27" s="383"/>
      <c r="H27" s="383"/>
      <c r="I27" s="383"/>
      <c r="J27" s="383"/>
      <c r="K27" s="467"/>
    </row>
    <row r="28" spans="1:11">
      <c r="A28" s="466"/>
      <c r="B28" s="383"/>
      <c r="C28" s="383"/>
      <c r="D28" s="383"/>
      <c r="E28" s="383"/>
      <c r="F28" s="309"/>
      <c r="G28" s="383"/>
      <c r="H28" s="383"/>
      <c r="I28" s="383"/>
      <c r="J28" s="383"/>
      <c r="K28" s="467"/>
    </row>
    <row r="29" spans="1:11">
      <c r="A29" s="466"/>
      <c r="B29" s="857"/>
      <c r="C29" s="857"/>
      <c r="D29" s="857"/>
      <c r="E29" s="857"/>
      <c r="F29" s="462"/>
      <c r="G29" s="383"/>
      <c r="H29" s="383"/>
      <c r="I29" s="383"/>
      <c r="J29" s="383"/>
      <c r="K29" s="467"/>
    </row>
    <row r="30" spans="1:11">
      <c r="A30" s="444"/>
      <c r="B30" s="347"/>
      <c r="C30" s="347"/>
      <c r="D30" s="347"/>
      <c r="E30" s="347"/>
      <c r="F30" s="347"/>
      <c r="G30" s="347"/>
      <c r="H30" s="347"/>
      <c r="I30" s="347"/>
      <c r="J30" s="347"/>
      <c r="K30" s="450"/>
    </row>
    <row r="31" spans="1:11" s="360" customFormat="1">
      <c r="A31" s="444"/>
      <c r="B31" s="347"/>
      <c r="C31" s="347"/>
      <c r="D31" s="347"/>
      <c r="E31" s="347"/>
      <c r="F31" s="347"/>
      <c r="G31" s="347"/>
      <c r="H31" s="347"/>
      <c r="I31" s="347"/>
      <c r="J31" s="347"/>
      <c r="K31" s="450"/>
    </row>
    <row r="32" spans="1:11" s="360" customFormat="1">
      <c r="A32" s="444"/>
      <c r="B32" s="347"/>
      <c r="C32" s="347"/>
      <c r="D32" s="347"/>
      <c r="E32" s="347"/>
      <c r="F32" s="347"/>
      <c r="G32" s="347"/>
      <c r="H32" s="347"/>
      <c r="I32" s="347"/>
      <c r="J32" s="347"/>
      <c r="K32" s="450"/>
    </row>
    <row r="33" spans="1:11" s="360" customFormat="1">
      <c r="A33" s="444"/>
      <c r="B33" s="347"/>
      <c r="C33" s="347"/>
      <c r="D33" s="347"/>
      <c r="E33" s="347"/>
      <c r="F33" s="347"/>
      <c r="G33" s="347"/>
      <c r="H33" s="347"/>
      <c r="I33" s="347"/>
      <c r="J33" s="347"/>
      <c r="K33" s="450"/>
    </row>
    <row r="34" spans="1:11" s="360" customFormat="1">
      <c r="A34" s="444"/>
      <c r="B34" s="347"/>
      <c r="C34" s="347"/>
      <c r="D34" s="347"/>
      <c r="E34" s="347"/>
      <c r="F34" s="347"/>
      <c r="G34" s="347"/>
      <c r="H34" s="347"/>
      <c r="I34" s="347"/>
      <c r="J34" s="347"/>
      <c r="K34" s="450"/>
    </row>
    <row r="35" spans="1:11" s="360" customFormat="1">
      <c r="A35" s="444"/>
      <c r="B35" s="347"/>
      <c r="C35" s="347"/>
      <c r="D35" s="347"/>
      <c r="E35" s="347"/>
      <c r="F35" s="347"/>
      <c r="G35" s="347"/>
      <c r="H35" s="347"/>
      <c r="I35" s="347"/>
      <c r="J35" s="347"/>
      <c r="K35" s="450"/>
    </row>
    <row r="36" spans="1:11" ht="15.75" thickBot="1">
      <c r="A36" s="25"/>
      <c r="B36" s="23"/>
      <c r="C36" s="23"/>
      <c r="D36" s="23"/>
      <c r="E36" s="23"/>
      <c r="F36" s="23"/>
      <c r="G36" s="23" t="s">
        <v>38</v>
      </c>
      <c r="H36" s="23"/>
      <c r="I36" s="23"/>
      <c r="J36" s="23"/>
      <c r="K36" s="24"/>
    </row>
  </sheetData>
  <protectedRanges>
    <protectedRange password="CA4D" sqref="A1:K3 A11:K13" name="Range1"/>
    <protectedRange password="CA4D" sqref="E5 A4:D10 E6:K10" name="Range1_5"/>
  </protectedRanges>
  <mergeCells count="16">
    <mergeCell ref="B24:E24"/>
    <mergeCell ref="B29:E29"/>
    <mergeCell ref="B20:E20"/>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8"/>
  <sheetViews>
    <sheetView topLeftCell="A10" workbookViewId="0">
      <selection activeCell="F21" sqref="F21"/>
    </sheetView>
  </sheetViews>
  <sheetFormatPr defaultRowHeight="15"/>
  <cols>
    <col min="5" max="5" width="38.5703125" customWidth="1"/>
    <col min="11" max="11" width="11.140625" customWidth="1"/>
    <col min="12" max="12" width="13.42578125" customWidth="1"/>
  </cols>
  <sheetData>
    <row r="1" spans="1:12">
      <c r="A1" s="830" t="s">
        <v>494</v>
      </c>
      <c r="B1" s="831"/>
      <c r="C1" s="831"/>
      <c r="D1" s="831"/>
      <c r="E1" s="831"/>
      <c r="F1" s="831"/>
      <c r="G1" s="831"/>
      <c r="H1" s="831"/>
      <c r="I1" s="831"/>
      <c r="J1" s="831"/>
      <c r="K1" s="831"/>
      <c r="L1" s="832"/>
    </row>
    <row r="2" spans="1:12">
      <c r="A2" s="833"/>
      <c r="B2" s="834"/>
      <c r="C2" s="834"/>
      <c r="D2" s="834"/>
      <c r="E2" s="834"/>
      <c r="F2" s="834"/>
      <c r="G2" s="834"/>
      <c r="H2" s="834"/>
      <c r="I2" s="834"/>
      <c r="J2" s="834"/>
      <c r="K2" s="834"/>
      <c r="L2" s="835"/>
    </row>
    <row r="3" spans="1:12">
      <c r="A3" s="836" t="s">
        <v>492</v>
      </c>
      <c r="B3" s="837"/>
      <c r="C3" s="837"/>
      <c r="D3" s="837"/>
      <c r="E3" s="837"/>
      <c r="F3" s="837"/>
      <c r="G3" s="837"/>
      <c r="H3" s="837"/>
      <c r="I3" s="837"/>
      <c r="J3" s="837"/>
      <c r="K3" s="837"/>
      <c r="L3" s="838"/>
    </row>
    <row r="4" spans="1:12" ht="15" customHeight="1">
      <c r="A4" s="447" t="s">
        <v>96</v>
      </c>
      <c r="B4" s="442"/>
      <c r="C4" s="442"/>
      <c r="D4" s="442" t="str">
        <f>'BOM 04 22Master'!F5</f>
        <v>Burgeon IT Services Pvt.Ltd.</v>
      </c>
      <c r="E4" s="443"/>
      <c r="F4" s="448" t="s">
        <v>104</v>
      </c>
      <c r="G4" s="442"/>
      <c r="H4" s="442"/>
      <c r="I4" s="442"/>
      <c r="J4" s="442"/>
      <c r="K4" s="442"/>
      <c r="L4" s="449"/>
    </row>
    <row r="5" spans="1:12">
      <c r="A5" s="444"/>
      <c r="B5" s="347" t="str">
        <f>'BOM 04 22Master'!F6</f>
        <v>Siri Mansion LIGB 436 Dr.A S Rao Nagar,Hyderabad</v>
      </c>
      <c r="C5" s="347"/>
      <c r="D5" s="347"/>
      <c r="E5" s="31"/>
      <c r="F5" s="347"/>
      <c r="G5" s="347"/>
      <c r="H5" s="347"/>
      <c r="I5" s="347"/>
      <c r="J5" s="347"/>
      <c r="K5" s="31"/>
      <c r="L5" s="14"/>
    </row>
    <row r="6" spans="1:12">
      <c r="A6" s="445"/>
      <c r="B6" s="33">
        <f>'BOM 04 22Master'!F7</f>
        <v>0</v>
      </c>
      <c r="C6" s="33"/>
      <c r="D6" s="33"/>
      <c r="E6" s="34"/>
      <c r="F6" s="33"/>
      <c r="G6" s="33"/>
      <c r="H6" s="33"/>
      <c r="I6" s="33"/>
      <c r="J6" s="33"/>
      <c r="K6" s="34"/>
      <c r="L6" s="14"/>
    </row>
    <row r="7" spans="1:12">
      <c r="A7" s="447" t="s">
        <v>80</v>
      </c>
      <c r="B7" s="442"/>
      <c r="C7" s="442"/>
      <c r="D7" s="442" t="str">
        <f>'BOM 04 22Master'!F8</f>
        <v>IT SUPPORTIVE SERVICES&amp;MUMBAI</v>
      </c>
      <c r="E7" s="443"/>
      <c r="F7" s="448" t="s">
        <v>67</v>
      </c>
      <c r="G7" s="442"/>
      <c r="H7" s="442"/>
      <c r="I7" s="442"/>
      <c r="J7" s="442"/>
      <c r="K7" s="442"/>
      <c r="L7" s="449"/>
    </row>
    <row r="8" spans="1:12">
      <c r="A8" s="444"/>
      <c r="B8" s="347"/>
      <c r="C8" s="347"/>
      <c r="D8" s="347"/>
      <c r="E8" s="31"/>
      <c r="F8" s="35" t="str">
        <f>'BOM 04 22Master'!AP10</f>
        <v>INFOSYS  LTD.85-C Mittal Towers</v>
      </c>
      <c r="G8" s="347"/>
      <c r="H8" s="347"/>
      <c r="I8" s="347"/>
      <c r="J8" s="347"/>
      <c r="K8" s="347"/>
      <c r="L8" s="450"/>
    </row>
    <row r="9" spans="1:12">
      <c r="A9" s="444"/>
      <c r="B9" s="347"/>
      <c r="C9" s="347"/>
      <c r="D9" s="347"/>
      <c r="E9" s="31"/>
      <c r="F9" s="30" t="str">
        <f>'BOM 04 22Master'!AP11</f>
        <v>8th flour Nariman Point,Maharashtra,400021</v>
      </c>
      <c r="G9" s="347"/>
      <c r="H9" s="347"/>
      <c r="I9" s="347"/>
      <c r="J9" s="347"/>
      <c r="K9" s="347"/>
      <c r="L9" s="450"/>
    </row>
    <row r="10" spans="1:12">
      <c r="A10" s="445"/>
      <c r="B10" s="33"/>
      <c r="C10" s="33"/>
      <c r="D10" s="33"/>
      <c r="E10" s="34"/>
      <c r="F10" s="32"/>
      <c r="G10" s="33"/>
      <c r="H10" s="33"/>
      <c r="I10" s="33"/>
      <c r="J10" s="33"/>
      <c r="K10" s="33"/>
      <c r="L10" s="446"/>
    </row>
    <row r="11" spans="1:12">
      <c r="A11" s="839" t="s">
        <v>5</v>
      </c>
      <c r="B11" s="829" t="s">
        <v>68</v>
      </c>
      <c r="C11" s="867" t="s">
        <v>69</v>
      </c>
      <c r="D11" s="451" t="s">
        <v>39</v>
      </c>
      <c r="E11" s="868" t="s">
        <v>70</v>
      </c>
      <c r="F11" s="828" t="s">
        <v>97</v>
      </c>
      <c r="G11" s="828" t="s">
        <v>98</v>
      </c>
      <c r="H11" s="828" t="s">
        <v>99</v>
      </c>
      <c r="I11" s="828" t="s">
        <v>100</v>
      </c>
      <c r="J11" s="828" t="s">
        <v>101</v>
      </c>
      <c r="K11" s="829" t="s">
        <v>102</v>
      </c>
      <c r="L11" s="869" t="s">
        <v>40</v>
      </c>
    </row>
    <row r="12" spans="1:12" ht="107.1" customHeight="1">
      <c r="A12" s="839"/>
      <c r="B12" s="829"/>
      <c r="C12" s="867"/>
      <c r="D12" s="417"/>
      <c r="E12" s="868"/>
      <c r="F12" s="828"/>
      <c r="G12" s="828"/>
      <c r="H12" s="828"/>
      <c r="I12" s="828"/>
      <c r="J12" s="828"/>
      <c r="K12" s="829"/>
      <c r="L12" s="863"/>
    </row>
    <row r="13" spans="1:12">
      <c r="A13" s="455">
        <v>1</v>
      </c>
      <c r="B13" s="456">
        <v>2</v>
      </c>
      <c r="C13" s="456">
        <v>3</v>
      </c>
      <c r="D13" s="39">
        <v>4</v>
      </c>
      <c r="E13" s="456">
        <v>5</v>
      </c>
      <c r="F13" s="456">
        <v>6</v>
      </c>
      <c r="G13" s="456">
        <v>7</v>
      </c>
      <c r="H13" s="456">
        <v>8</v>
      </c>
      <c r="I13" s="456">
        <v>9</v>
      </c>
      <c r="J13" s="456">
        <v>10</v>
      </c>
      <c r="K13" s="456">
        <v>11</v>
      </c>
      <c r="L13" s="457">
        <v>12</v>
      </c>
    </row>
    <row r="14" spans="1:12">
      <c r="A14" s="466"/>
      <c r="B14" s="383"/>
      <c r="C14" s="383"/>
      <c r="D14" s="383"/>
      <c r="E14" s="383"/>
      <c r="F14" s="383"/>
      <c r="G14" s="383"/>
      <c r="H14" s="383"/>
      <c r="I14" s="383"/>
      <c r="J14" s="383"/>
      <c r="K14" s="383"/>
      <c r="L14" s="467"/>
    </row>
    <row r="15" spans="1:12">
      <c r="A15" s="466"/>
      <c r="B15" s="468"/>
      <c r="C15" s="468"/>
      <c r="D15" s="468"/>
      <c r="E15" s="468"/>
      <c r="F15" s="383"/>
      <c r="G15" s="383"/>
      <c r="H15" s="383"/>
      <c r="I15" s="383"/>
      <c r="J15" s="383"/>
      <c r="K15" s="383"/>
      <c r="L15" s="467"/>
    </row>
    <row r="16" spans="1:12">
      <c r="A16" s="466"/>
      <c r="B16" s="383"/>
      <c r="C16" s="383"/>
      <c r="D16" s="383"/>
      <c r="E16" s="383"/>
      <c r="F16" s="383"/>
      <c r="G16" s="383"/>
      <c r="H16" s="383"/>
      <c r="I16" s="383"/>
      <c r="J16" s="383"/>
      <c r="K16" s="383"/>
      <c r="L16" s="467"/>
    </row>
    <row r="17" spans="1:12">
      <c r="A17" s="466"/>
      <c r="B17" s="383"/>
      <c r="C17" s="383"/>
      <c r="D17" s="383"/>
      <c r="E17" s="383"/>
      <c r="F17" s="383"/>
      <c r="G17" s="383"/>
      <c r="H17" s="383"/>
      <c r="I17" s="383"/>
      <c r="J17" s="383"/>
      <c r="K17" s="383"/>
      <c r="L17" s="467"/>
    </row>
    <row r="18" spans="1:12">
      <c r="A18" s="466"/>
      <c r="B18" s="383"/>
      <c r="C18" s="383"/>
      <c r="D18" s="383"/>
      <c r="E18" s="383"/>
      <c r="F18" s="383"/>
      <c r="G18" s="383"/>
      <c r="H18" s="383"/>
      <c r="I18" s="383"/>
      <c r="J18" s="383"/>
      <c r="K18" s="383"/>
      <c r="L18" s="467"/>
    </row>
    <row r="19" spans="1:12">
      <c r="A19" s="466"/>
      <c r="B19" s="383"/>
      <c r="C19" s="383"/>
      <c r="D19" s="383"/>
      <c r="E19" s="383"/>
      <c r="F19" s="383"/>
      <c r="G19" s="383"/>
      <c r="H19" s="383"/>
      <c r="I19" s="383"/>
      <c r="J19" s="383"/>
      <c r="K19" s="383"/>
      <c r="L19" s="467"/>
    </row>
    <row r="20" spans="1:12">
      <c r="A20" s="466"/>
      <c r="B20" s="383"/>
      <c r="C20" s="383"/>
      <c r="D20" s="383"/>
      <c r="E20" s="383"/>
      <c r="F20" s="383"/>
      <c r="G20" s="383"/>
      <c r="H20" s="383"/>
      <c r="I20" s="383"/>
      <c r="J20" s="383"/>
      <c r="K20" s="383"/>
      <c r="L20" s="467"/>
    </row>
    <row r="21" spans="1:12">
      <c r="A21" s="466"/>
      <c r="B21" s="864" t="s">
        <v>103</v>
      </c>
      <c r="C21" s="865"/>
      <c r="D21" s="865"/>
      <c r="E21" s="866"/>
      <c r="F21" s="593">
        <f>'BOM 04 22Master'!D10</f>
        <v>44652</v>
      </c>
      <c r="G21" s="383"/>
      <c r="H21" s="383"/>
      <c r="I21" s="383"/>
      <c r="J21" s="383"/>
      <c r="K21" s="383"/>
      <c r="L21" s="467"/>
    </row>
    <row r="22" spans="1:12">
      <c r="A22" s="466"/>
      <c r="B22" s="383"/>
      <c r="C22" s="383"/>
      <c r="D22" s="383"/>
      <c r="E22" s="383"/>
      <c r="F22" s="383"/>
      <c r="G22" s="383"/>
      <c r="H22" s="383"/>
      <c r="I22" s="383"/>
      <c r="J22" s="383"/>
      <c r="K22" s="383"/>
      <c r="L22" s="467"/>
    </row>
    <row r="23" spans="1:12">
      <c r="A23" s="466"/>
      <c r="B23" s="383"/>
      <c r="C23" s="383"/>
      <c r="D23" s="383"/>
      <c r="E23" s="383"/>
      <c r="F23" s="383"/>
      <c r="G23" s="383"/>
      <c r="H23" s="383"/>
      <c r="I23" s="383"/>
      <c r="J23" s="383"/>
      <c r="K23" s="383"/>
      <c r="L23" s="467"/>
    </row>
    <row r="24" spans="1:12">
      <c r="A24" s="466"/>
      <c r="B24" s="383"/>
      <c r="C24" s="383"/>
      <c r="D24" s="383"/>
      <c r="E24" s="383"/>
      <c r="F24" s="383"/>
      <c r="G24" s="383"/>
      <c r="H24" s="383"/>
      <c r="I24" s="383"/>
      <c r="J24" s="383"/>
      <c r="K24" s="383"/>
      <c r="L24" s="467"/>
    </row>
    <row r="25" spans="1:12">
      <c r="A25" s="466"/>
      <c r="B25" s="853"/>
      <c r="C25" s="853"/>
      <c r="D25" s="853"/>
      <c r="E25" s="853"/>
      <c r="F25" s="462"/>
      <c r="G25" s="383"/>
      <c r="H25" s="383"/>
      <c r="I25" s="383"/>
      <c r="J25" s="383"/>
      <c r="K25" s="383"/>
      <c r="L25" s="467"/>
    </row>
    <row r="26" spans="1:12">
      <c r="A26" s="466"/>
      <c r="B26" s="383"/>
      <c r="C26" s="383"/>
      <c r="D26" s="383"/>
      <c r="E26" s="383"/>
      <c r="F26" s="440"/>
      <c r="G26" s="383"/>
      <c r="H26" s="383"/>
      <c r="I26" s="383"/>
      <c r="J26" s="383"/>
      <c r="K26" s="383"/>
      <c r="L26" s="467"/>
    </row>
    <row r="27" spans="1:12">
      <c r="A27" s="269"/>
      <c r="B27" s="309"/>
      <c r="C27" s="309"/>
      <c r="D27" s="309"/>
      <c r="E27" s="309"/>
      <c r="F27" s="440"/>
      <c r="G27" s="309"/>
      <c r="H27" s="309"/>
      <c r="I27" s="309"/>
      <c r="J27" s="309"/>
      <c r="K27" s="309"/>
      <c r="L27" s="254"/>
    </row>
    <row r="28" spans="1:12">
      <c r="A28" s="269"/>
      <c r="B28" s="309"/>
      <c r="C28" s="309"/>
      <c r="D28" s="309"/>
      <c r="E28" s="309"/>
      <c r="F28" s="440"/>
      <c r="G28" s="309"/>
      <c r="H28" s="309"/>
      <c r="I28" s="309"/>
      <c r="J28" s="309"/>
      <c r="K28" s="309"/>
      <c r="L28" s="254"/>
    </row>
    <row r="29" spans="1:12">
      <c r="A29" s="269"/>
      <c r="B29" s="309"/>
      <c r="C29" s="309"/>
      <c r="D29" s="309"/>
      <c r="E29" s="309"/>
      <c r="F29" s="309"/>
      <c r="G29" s="309"/>
      <c r="H29" s="309"/>
      <c r="I29" s="309"/>
      <c r="J29" s="309"/>
      <c r="K29" s="309"/>
      <c r="L29" s="254"/>
    </row>
    <row r="30" spans="1:12">
      <c r="A30" s="269"/>
      <c r="B30" s="853"/>
      <c r="C30" s="853"/>
      <c r="D30" s="853"/>
      <c r="E30" s="853"/>
      <c r="F30" s="462"/>
      <c r="G30" s="309"/>
      <c r="H30" s="309"/>
      <c r="I30" s="309"/>
      <c r="J30" s="309"/>
      <c r="K30" s="309"/>
      <c r="L30" s="254"/>
    </row>
    <row r="31" spans="1:12">
      <c r="A31" s="13"/>
      <c r="B31" s="351"/>
      <c r="C31" s="351"/>
      <c r="D31" s="351"/>
      <c r="E31" s="351"/>
      <c r="F31" s="351"/>
      <c r="G31" s="351"/>
      <c r="H31" s="351"/>
      <c r="I31" s="351"/>
      <c r="J31" s="351"/>
      <c r="K31" s="351"/>
      <c r="L31" s="14"/>
    </row>
    <row r="32" spans="1:12" s="360" customFormat="1">
      <c r="A32" s="13"/>
      <c r="B32" s="351"/>
      <c r="C32" s="351"/>
      <c r="D32" s="351"/>
      <c r="E32" s="351"/>
      <c r="F32" s="351"/>
      <c r="G32" s="351"/>
      <c r="H32" s="351"/>
      <c r="I32" s="351"/>
      <c r="J32" s="351"/>
      <c r="K32" s="351"/>
      <c r="L32" s="14"/>
    </row>
    <row r="33" spans="1:12" s="360" customFormat="1">
      <c r="A33" s="13"/>
      <c r="B33" s="351"/>
      <c r="C33" s="351"/>
      <c r="D33" s="351"/>
      <c r="E33" s="351"/>
      <c r="F33" s="351"/>
      <c r="G33" s="351"/>
      <c r="H33" s="351"/>
      <c r="I33" s="351"/>
      <c r="J33" s="351"/>
      <c r="K33" s="351"/>
      <c r="L33" s="14"/>
    </row>
    <row r="34" spans="1:12" s="360" customFormat="1">
      <c r="A34" s="13"/>
      <c r="B34" s="351"/>
      <c r="C34" s="351"/>
      <c r="D34" s="351"/>
      <c r="E34" s="351"/>
      <c r="F34" s="351"/>
      <c r="G34" s="351"/>
      <c r="H34" s="351"/>
      <c r="I34" s="351"/>
      <c r="J34" s="351"/>
      <c r="K34" s="351"/>
      <c r="L34" s="14"/>
    </row>
    <row r="35" spans="1:12">
      <c r="A35" s="13"/>
      <c r="B35" s="351"/>
      <c r="C35" s="351"/>
      <c r="D35" s="351"/>
      <c r="E35" s="351"/>
      <c r="F35" s="351"/>
      <c r="G35" s="351"/>
      <c r="H35" s="351"/>
      <c r="I35" s="351"/>
      <c r="J35" s="351"/>
      <c r="K35" s="351"/>
      <c r="L35" s="14"/>
    </row>
    <row r="36" spans="1:12">
      <c r="A36" s="13"/>
      <c r="B36" s="351"/>
      <c r="C36" s="351"/>
      <c r="D36" s="351"/>
      <c r="E36" s="351"/>
      <c r="F36" s="351"/>
      <c r="G36" s="351"/>
      <c r="H36" s="351"/>
      <c r="I36" s="351"/>
      <c r="J36" s="351"/>
      <c r="K36" s="351"/>
      <c r="L36" s="14"/>
    </row>
    <row r="37" spans="1:12">
      <c r="A37" s="13"/>
      <c r="B37" s="351"/>
      <c r="C37" s="351"/>
      <c r="D37" s="351"/>
      <c r="E37" s="351"/>
      <c r="F37" s="351"/>
      <c r="G37" s="351"/>
      <c r="H37" s="351"/>
      <c r="I37" s="351"/>
      <c r="J37" s="351"/>
      <c r="K37" s="351"/>
      <c r="L37" s="14"/>
    </row>
    <row r="38" spans="1:12" ht="15.75" thickBot="1">
      <c r="A38" s="25"/>
      <c r="B38" s="23"/>
      <c r="C38" s="23"/>
      <c r="D38" s="23"/>
      <c r="E38" s="23"/>
      <c r="F38" s="23"/>
      <c r="G38" s="23" t="s">
        <v>38</v>
      </c>
      <c r="H38" s="23"/>
      <c r="I38" s="23"/>
      <c r="J38" s="23"/>
      <c r="K38" s="23"/>
      <c r="L38" s="24"/>
    </row>
  </sheetData>
  <protectedRanges>
    <protectedRange password="CA4D" sqref="A1:L3 A11:L13 A4:E4 A6:E10 A5 E5" name="Range1"/>
    <protectedRange password="CA4D" sqref="F5:K6 F4:L4" name="Range1_2"/>
    <protectedRange password="CA4D" sqref="F7:L10" name="Range1_4"/>
    <protectedRange password="CA4D" sqref="B5:D5" name="Range1_1"/>
  </protectedRanges>
  <mergeCells count="16">
    <mergeCell ref="B25:E25"/>
    <mergeCell ref="B30:E30"/>
    <mergeCell ref="B21:E21"/>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75"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32"/>
  <sheetViews>
    <sheetView topLeftCell="B10" workbookViewId="0">
      <selection activeCell="F15" sqref="F15"/>
    </sheetView>
  </sheetViews>
  <sheetFormatPr defaultRowHeight="15"/>
  <cols>
    <col min="1" max="1" width="7" customWidth="1"/>
    <col min="2" max="2" width="13.7109375" customWidth="1"/>
    <col min="3" max="3" width="15.5703125" customWidth="1"/>
    <col min="4" max="4" width="10.7109375" customWidth="1"/>
    <col min="5" max="5" width="15" customWidth="1"/>
    <col min="7" max="7" width="11.42578125" customWidth="1"/>
    <col min="10" max="10" width="7.5703125" customWidth="1"/>
    <col min="12" max="12" width="11.140625" customWidth="1"/>
    <col min="13" max="13" width="11.5703125" customWidth="1"/>
    <col min="14" max="14" width="11.7109375" customWidth="1"/>
  </cols>
  <sheetData>
    <row r="1" spans="1:18" ht="14.45" customHeight="1">
      <c r="A1" s="870" t="s">
        <v>503</v>
      </c>
      <c r="B1" s="871"/>
      <c r="C1" s="871"/>
      <c r="D1" s="871"/>
      <c r="E1" s="871"/>
      <c r="F1" s="871"/>
      <c r="G1" s="871"/>
      <c r="H1" s="871"/>
      <c r="I1" s="871"/>
      <c r="J1" s="871"/>
      <c r="K1" s="871"/>
      <c r="L1" s="871"/>
      <c r="M1" s="871"/>
      <c r="N1" s="871"/>
      <c r="O1" s="871"/>
      <c r="P1" s="871"/>
      <c r="Q1" s="871"/>
      <c r="R1" s="872"/>
    </row>
    <row r="2" spans="1:18" ht="14.45" customHeight="1">
      <c r="A2" s="873"/>
      <c r="B2" s="874"/>
      <c r="C2" s="874"/>
      <c r="D2" s="874"/>
      <c r="E2" s="874"/>
      <c r="F2" s="874"/>
      <c r="G2" s="874"/>
      <c r="H2" s="874"/>
      <c r="I2" s="874"/>
      <c r="J2" s="874"/>
      <c r="K2" s="874"/>
      <c r="L2" s="874"/>
      <c r="M2" s="874"/>
      <c r="N2" s="874"/>
      <c r="O2" s="874"/>
      <c r="P2" s="874"/>
      <c r="Q2" s="874"/>
      <c r="R2" s="875"/>
    </row>
    <row r="3" spans="1:18">
      <c r="A3" s="876" t="s">
        <v>504</v>
      </c>
      <c r="B3" s="877"/>
      <c r="C3" s="877"/>
      <c r="D3" s="877"/>
      <c r="E3" s="877"/>
      <c r="F3" s="877"/>
      <c r="G3" s="877"/>
      <c r="H3" s="877"/>
      <c r="I3" s="877"/>
      <c r="J3" s="877"/>
      <c r="K3" s="877"/>
      <c r="L3" s="877"/>
      <c r="M3" s="877"/>
      <c r="N3" s="877"/>
      <c r="O3" s="877"/>
      <c r="P3" s="877"/>
      <c r="Q3" s="877"/>
      <c r="R3" s="878"/>
    </row>
    <row r="4" spans="1:18" ht="15" customHeight="1">
      <c r="A4" s="876" t="s">
        <v>505</v>
      </c>
      <c r="B4" s="877"/>
      <c r="C4" s="877"/>
      <c r="D4" s="877"/>
      <c r="E4" s="877"/>
      <c r="F4" s="877"/>
      <c r="G4" s="877"/>
      <c r="H4" s="877"/>
      <c r="I4" s="877"/>
      <c r="J4" s="877"/>
      <c r="K4" s="877"/>
      <c r="L4" s="877"/>
      <c r="M4" s="877"/>
      <c r="N4" s="877"/>
      <c r="O4" s="877"/>
      <c r="P4" s="877"/>
      <c r="Q4" s="877"/>
      <c r="R4" s="878"/>
    </row>
    <row r="5" spans="1:18">
      <c r="A5" s="469"/>
      <c r="B5" s="877" t="s">
        <v>506</v>
      </c>
      <c r="C5" s="877"/>
      <c r="D5" s="877"/>
      <c r="E5" s="877"/>
      <c r="F5" s="877"/>
      <c r="G5" s="877"/>
      <c r="H5" s="877"/>
      <c r="I5" s="877"/>
      <c r="J5" s="877"/>
      <c r="K5" s="877"/>
      <c r="L5" s="877"/>
      <c r="M5" s="877"/>
      <c r="N5" s="877"/>
      <c r="O5" s="877"/>
      <c r="P5" s="877"/>
      <c r="Q5" s="877"/>
      <c r="R5" s="878"/>
    </row>
    <row r="6" spans="1:18">
      <c r="A6" s="879"/>
      <c r="B6" s="880"/>
      <c r="C6" s="880"/>
      <c r="D6" s="881"/>
      <c r="E6" s="880"/>
      <c r="F6" s="307"/>
      <c r="G6" s="308"/>
      <c r="H6" s="308"/>
      <c r="I6" s="300"/>
      <c r="J6" s="300"/>
      <c r="K6" s="300"/>
      <c r="L6" s="300"/>
      <c r="M6" s="300"/>
      <c r="N6" s="300"/>
      <c r="O6" s="300"/>
      <c r="P6" s="308"/>
      <c r="Q6" s="308"/>
      <c r="R6" s="341"/>
    </row>
    <row r="7" spans="1:18">
      <c r="A7" s="882" t="s">
        <v>5</v>
      </c>
      <c r="B7" s="885" t="s">
        <v>507</v>
      </c>
      <c r="C7" s="885" t="s">
        <v>508</v>
      </c>
      <c r="D7" s="888" t="s">
        <v>509</v>
      </c>
      <c r="E7" s="885" t="s">
        <v>39</v>
      </c>
      <c r="F7" s="885" t="s">
        <v>105</v>
      </c>
      <c r="G7" s="353"/>
      <c r="H7" s="888" t="s">
        <v>107</v>
      </c>
      <c r="I7" s="893" t="s">
        <v>510</v>
      </c>
      <c r="J7" s="894"/>
      <c r="K7" s="894"/>
      <c r="L7" s="894"/>
      <c r="M7" s="412"/>
      <c r="N7" s="412"/>
      <c r="O7" s="412"/>
      <c r="P7" s="897" t="s">
        <v>511</v>
      </c>
      <c r="Q7" s="898" t="s">
        <v>108</v>
      </c>
      <c r="R7" s="891" t="s">
        <v>512</v>
      </c>
    </row>
    <row r="8" spans="1:18" ht="171.75">
      <c r="A8" s="883"/>
      <c r="B8" s="886"/>
      <c r="C8" s="886"/>
      <c r="D8" s="889"/>
      <c r="E8" s="886"/>
      <c r="F8" s="886"/>
      <c r="G8" s="886" t="s">
        <v>106</v>
      </c>
      <c r="H8" s="889"/>
      <c r="I8" s="895"/>
      <c r="J8" s="896"/>
      <c r="K8" s="896"/>
      <c r="L8" s="896"/>
      <c r="M8" s="413"/>
      <c r="N8" s="354" t="s">
        <v>513</v>
      </c>
      <c r="O8" s="354" t="s">
        <v>514</v>
      </c>
      <c r="P8" s="897"/>
      <c r="Q8" s="898"/>
      <c r="R8" s="892"/>
    </row>
    <row r="9" spans="1:18" ht="35.1" customHeight="1">
      <c r="A9" s="884"/>
      <c r="B9" s="887"/>
      <c r="C9" s="887"/>
      <c r="D9" s="890"/>
      <c r="E9" s="887"/>
      <c r="F9" s="887"/>
      <c r="G9" s="887"/>
      <c r="H9" s="890"/>
      <c r="I9" s="355" t="s">
        <v>515</v>
      </c>
      <c r="J9" s="356" t="s">
        <v>516</v>
      </c>
      <c r="K9" s="418" t="s">
        <v>517</v>
      </c>
      <c r="L9" s="418" t="s">
        <v>518</v>
      </c>
      <c r="M9" s="418" t="s">
        <v>201</v>
      </c>
      <c r="N9" s="418"/>
      <c r="O9" s="418"/>
      <c r="P9" s="311"/>
      <c r="Q9" s="311"/>
      <c r="R9" s="470"/>
    </row>
    <row r="10" spans="1:18" ht="18" customHeight="1">
      <c r="A10" s="471">
        <v>1</v>
      </c>
      <c r="B10" s="357">
        <v>2</v>
      </c>
      <c r="C10" s="357">
        <v>3</v>
      </c>
      <c r="D10" s="357">
        <v>4</v>
      </c>
      <c r="E10" s="357">
        <v>5</v>
      </c>
      <c r="F10" s="357">
        <v>6</v>
      </c>
      <c r="G10" s="358">
        <v>7</v>
      </c>
      <c r="H10" s="358">
        <v>8</v>
      </c>
      <c r="I10" s="357">
        <v>9</v>
      </c>
      <c r="J10" s="357">
        <v>10</v>
      </c>
      <c r="K10" s="357">
        <v>11</v>
      </c>
      <c r="L10" s="357">
        <v>12</v>
      </c>
      <c r="M10" s="357">
        <v>13</v>
      </c>
      <c r="N10" s="357">
        <v>14</v>
      </c>
      <c r="O10" s="357">
        <v>15</v>
      </c>
      <c r="P10" s="357">
        <v>16</v>
      </c>
      <c r="Q10" s="357">
        <v>17</v>
      </c>
      <c r="R10" s="472">
        <v>18</v>
      </c>
    </row>
    <row r="11" spans="1:18" ht="20.100000000000001" customHeight="1">
      <c r="A11" s="365"/>
      <c r="B11" s="359"/>
      <c r="C11" s="359"/>
      <c r="D11" s="359"/>
      <c r="E11" s="359"/>
      <c r="F11" s="330"/>
      <c r="G11" s="330"/>
      <c r="H11" s="330"/>
      <c r="I11" s="330"/>
      <c r="J11" s="330"/>
      <c r="K11" s="330"/>
      <c r="L11" s="330"/>
      <c r="M11" s="330"/>
      <c r="N11" s="330"/>
      <c r="O11" s="330"/>
      <c r="P11" s="330"/>
      <c r="Q11" s="330"/>
      <c r="R11" s="473"/>
    </row>
    <row r="12" spans="1:18">
      <c r="A12" s="365"/>
      <c r="B12" s="330"/>
      <c r="C12" s="330"/>
      <c r="D12" s="330"/>
      <c r="E12" s="330"/>
      <c r="F12" s="330"/>
      <c r="G12" s="330"/>
      <c r="H12" s="330"/>
      <c r="I12" s="330"/>
      <c r="J12" s="330"/>
      <c r="K12" s="330"/>
      <c r="L12" s="330"/>
      <c r="M12" s="330"/>
      <c r="N12" s="330"/>
      <c r="O12" s="330"/>
      <c r="P12" s="330"/>
      <c r="Q12" s="330"/>
      <c r="R12" s="473"/>
    </row>
    <row r="13" spans="1:18">
      <c r="A13" s="365"/>
      <c r="B13" s="330"/>
      <c r="C13" s="330"/>
      <c r="D13" s="330"/>
      <c r="E13" s="330"/>
      <c r="F13" s="330"/>
      <c r="G13" s="330"/>
      <c r="H13" s="330"/>
      <c r="I13" s="330"/>
      <c r="J13" s="330"/>
      <c r="K13" s="330"/>
      <c r="L13" s="330"/>
      <c r="M13" s="330"/>
      <c r="N13" s="330"/>
      <c r="O13" s="330"/>
      <c r="P13" s="330"/>
      <c r="Q13" s="330"/>
      <c r="R13" s="473"/>
    </row>
    <row r="14" spans="1:18">
      <c r="A14" s="474"/>
      <c r="B14" s="359"/>
      <c r="C14" s="359"/>
      <c r="D14" s="359"/>
      <c r="E14" s="359"/>
      <c r="F14" s="359"/>
      <c r="G14" s="359"/>
      <c r="H14" s="359"/>
      <c r="I14" s="359"/>
      <c r="J14" s="359"/>
      <c r="K14" s="359"/>
      <c r="L14" s="359"/>
      <c r="M14" s="359"/>
      <c r="N14" s="359"/>
      <c r="O14" s="359"/>
      <c r="P14" s="359"/>
      <c r="Q14" s="359"/>
      <c r="R14" s="475"/>
    </row>
    <row r="15" spans="1:18">
      <c r="A15" s="365"/>
      <c r="B15" s="330" t="s">
        <v>109</v>
      </c>
      <c r="C15" s="330"/>
      <c r="D15" s="330"/>
      <c r="E15" s="330"/>
      <c r="F15" s="594">
        <f>'BOM 04 22Master'!D10</f>
        <v>44652</v>
      </c>
      <c r="G15" s="330"/>
      <c r="H15" s="330"/>
      <c r="I15" s="330"/>
      <c r="J15" s="330"/>
      <c r="K15" s="330"/>
      <c r="L15" s="330"/>
      <c r="M15" s="330"/>
      <c r="N15" s="330"/>
      <c r="O15" s="330"/>
      <c r="P15" s="330"/>
      <c r="Q15" s="330"/>
      <c r="R15" s="473"/>
    </row>
    <row r="16" spans="1:18">
      <c r="A16" s="269"/>
      <c r="B16" s="309"/>
      <c r="C16" s="309"/>
      <c r="D16" s="309"/>
      <c r="E16" s="309"/>
      <c r="F16" s="383"/>
      <c r="G16" s="309"/>
      <c r="H16" s="309"/>
      <c r="I16" s="309"/>
      <c r="J16" s="309"/>
      <c r="K16" s="309"/>
      <c r="L16" s="309"/>
      <c r="M16" s="309"/>
      <c r="N16" s="309"/>
      <c r="O16" s="309"/>
      <c r="P16" s="309"/>
      <c r="Q16" s="309"/>
      <c r="R16" s="254"/>
    </row>
    <row r="17" spans="1:18">
      <c r="A17" s="269"/>
      <c r="B17" s="309"/>
      <c r="C17" s="309"/>
      <c r="D17" s="309"/>
      <c r="E17" s="309"/>
      <c r="F17" s="383"/>
      <c r="G17" s="309"/>
      <c r="H17" s="309"/>
      <c r="I17" s="309"/>
      <c r="J17" s="309"/>
      <c r="K17" s="309"/>
      <c r="L17" s="309"/>
      <c r="M17" s="309"/>
      <c r="N17" s="309"/>
      <c r="O17" s="309"/>
      <c r="P17" s="309"/>
      <c r="Q17" s="309"/>
      <c r="R17" s="254"/>
    </row>
    <row r="18" spans="1:18">
      <c r="A18" s="269"/>
      <c r="B18" s="309"/>
      <c r="C18" s="309"/>
      <c r="D18" s="309"/>
      <c r="E18" s="309"/>
      <c r="F18" s="383"/>
      <c r="G18" s="309"/>
      <c r="H18" s="309"/>
      <c r="I18" s="309"/>
      <c r="J18" s="309"/>
      <c r="K18" s="309"/>
      <c r="L18" s="309"/>
      <c r="M18" s="309"/>
      <c r="N18" s="309"/>
      <c r="O18" s="309"/>
      <c r="P18" s="309"/>
      <c r="Q18" s="309"/>
      <c r="R18" s="254"/>
    </row>
    <row r="19" spans="1:18">
      <c r="A19" s="269"/>
      <c r="B19" s="330"/>
      <c r="C19" s="309"/>
      <c r="D19" s="309"/>
      <c r="E19" s="309"/>
      <c r="F19" s="462"/>
      <c r="G19" s="309"/>
      <c r="H19" s="309"/>
      <c r="I19" s="309"/>
      <c r="J19" s="309"/>
      <c r="K19" s="309"/>
      <c r="L19" s="309"/>
      <c r="M19" s="309"/>
      <c r="N19" s="309"/>
      <c r="O19" s="309"/>
      <c r="P19" s="309"/>
      <c r="Q19" s="309"/>
      <c r="R19" s="254"/>
    </row>
    <row r="20" spans="1:18">
      <c r="A20" s="269"/>
      <c r="B20" s="309"/>
      <c r="C20" s="309"/>
      <c r="D20" s="309"/>
      <c r="E20" s="309"/>
      <c r="F20" s="440"/>
      <c r="G20" s="309"/>
      <c r="H20" s="309"/>
      <c r="I20" s="309"/>
      <c r="J20" s="309"/>
      <c r="K20" s="309"/>
      <c r="L20" s="309"/>
      <c r="M20" s="309"/>
      <c r="N20" s="309"/>
      <c r="O20" s="309"/>
      <c r="P20" s="309"/>
      <c r="Q20" s="309"/>
      <c r="R20" s="254"/>
    </row>
    <row r="21" spans="1:18">
      <c r="A21" s="269"/>
      <c r="B21" s="309"/>
      <c r="C21" s="309"/>
      <c r="D21" s="309"/>
      <c r="E21" s="309"/>
      <c r="F21" s="440"/>
      <c r="G21" s="309"/>
      <c r="H21" s="309"/>
      <c r="I21" s="309"/>
      <c r="J21" s="309"/>
      <c r="K21" s="309"/>
      <c r="L21" s="309"/>
      <c r="M21" s="309"/>
      <c r="N21" s="309"/>
      <c r="O21" s="309"/>
      <c r="P21" s="309"/>
      <c r="Q21" s="309"/>
      <c r="R21" s="254"/>
    </row>
    <row r="22" spans="1:18">
      <c r="A22" s="269"/>
      <c r="B22" s="309"/>
      <c r="C22" s="309"/>
      <c r="D22" s="309"/>
      <c r="E22" s="309"/>
      <c r="F22" s="440"/>
      <c r="G22" s="309"/>
      <c r="H22" s="309"/>
      <c r="I22" s="309"/>
      <c r="J22" s="309"/>
      <c r="K22" s="309"/>
      <c r="L22" s="309"/>
      <c r="M22" s="309"/>
      <c r="N22" s="309"/>
      <c r="O22" s="309"/>
      <c r="P22" s="309"/>
      <c r="Q22" s="309"/>
      <c r="R22" s="254"/>
    </row>
    <row r="23" spans="1:18">
      <c r="A23" s="269"/>
      <c r="B23" s="309"/>
      <c r="C23" s="309"/>
      <c r="D23" s="309"/>
      <c r="E23" s="309"/>
      <c r="F23" s="309"/>
      <c r="G23" s="309"/>
      <c r="H23" s="309"/>
      <c r="I23" s="309"/>
      <c r="J23" s="309"/>
      <c r="K23" s="309"/>
      <c r="L23" s="309"/>
      <c r="M23" s="309"/>
      <c r="N23" s="309"/>
      <c r="O23" s="309"/>
      <c r="P23" s="309"/>
      <c r="Q23" s="309"/>
      <c r="R23" s="254"/>
    </row>
    <row r="24" spans="1:18">
      <c r="A24" s="269"/>
      <c r="B24" s="330"/>
      <c r="C24" s="309"/>
      <c r="D24" s="309"/>
      <c r="E24" s="309"/>
      <c r="F24" s="462"/>
      <c r="G24" s="309"/>
      <c r="H24" s="309"/>
      <c r="I24" s="309"/>
      <c r="J24" s="309"/>
      <c r="K24" s="309"/>
      <c r="L24" s="309"/>
      <c r="M24" s="309"/>
      <c r="N24" s="309"/>
      <c r="O24" s="309"/>
      <c r="P24" s="309"/>
      <c r="Q24" s="309"/>
      <c r="R24" s="254"/>
    </row>
    <row r="25" spans="1:18">
      <c r="A25" s="269"/>
      <c r="B25" s="309"/>
      <c r="C25" s="309"/>
      <c r="D25" s="309"/>
      <c r="E25" s="309"/>
      <c r="F25" s="309"/>
      <c r="G25" s="309"/>
      <c r="H25" s="309"/>
      <c r="I25" s="309"/>
      <c r="J25" s="309"/>
      <c r="K25" s="309"/>
      <c r="L25" s="309"/>
      <c r="M25" s="309"/>
      <c r="N25" s="309"/>
      <c r="O25" s="309"/>
      <c r="P25" s="309"/>
      <c r="Q25" s="309"/>
      <c r="R25" s="254"/>
    </row>
    <row r="26" spans="1:18" s="360" customFormat="1">
      <c r="A26" s="13"/>
      <c r="B26" s="351"/>
      <c r="C26" s="351"/>
      <c r="D26" s="351"/>
      <c r="E26" s="351"/>
      <c r="F26" s="351"/>
      <c r="G26" s="351"/>
      <c r="H26" s="351"/>
      <c r="I26" s="351"/>
      <c r="J26" s="351"/>
      <c r="K26" s="351"/>
      <c r="L26" s="351"/>
      <c r="M26" s="351"/>
      <c r="N26" s="351"/>
      <c r="O26" s="351"/>
      <c r="P26" s="351"/>
      <c r="Q26" s="351"/>
      <c r="R26" s="14"/>
    </row>
    <row r="27" spans="1:18" s="360" customFormat="1">
      <c r="A27" s="13"/>
      <c r="B27" s="351"/>
      <c r="C27" s="351"/>
      <c r="D27" s="351"/>
      <c r="E27" s="351"/>
      <c r="F27" s="351"/>
      <c r="G27" s="351"/>
      <c r="H27" s="351"/>
      <c r="I27" s="351"/>
      <c r="J27" s="351"/>
      <c r="K27" s="351"/>
      <c r="L27" s="351"/>
      <c r="M27" s="351"/>
      <c r="N27" s="351"/>
      <c r="O27" s="351"/>
      <c r="P27" s="351"/>
      <c r="Q27" s="351"/>
      <c r="R27" s="14"/>
    </row>
    <row r="28" spans="1:18" s="360" customFormat="1">
      <c r="A28" s="13"/>
      <c r="B28" s="351"/>
      <c r="C28" s="351"/>
      <c r="D28" s="351"/>
      <c r="E28" s="351"/>
      <c r="F28" s="351"/>
      <c r="G28" s="351"/>
      <c r="H28" s="351"/>
      <c r="I28" s="351"/>
      <c r="J28" s="351"/>
      <c r="K28" s="351"/>
      <c r="L28" s="351"/>
      <c r="M28" s="351"/>
      <c r="N28" s="351"/>
      <c r="O28" s="351"/>
      <c r="P28" s="351"/>
      <c r="Q28" s="351"/>
      <c r="R28" s="14"/>
    </row>
    <row r="29" spans="1:18" s="360" customFormat="1">
      <c r="A29" s="13"/>
      <c r="B29" s="351"/>
      <c r="C29" s="351"/>
      <c r="D29" s="351"/>
      <c r="E29" s="351"/>
      <c r="F29" s="351"/>
      <c r="G29" s="351"/>
      <c r="H29" s="351"/>
      <c r="I29" s="351"/>
      <c r="J29" s="351"/>
      <c r="K29" s="351"/>
      <c r="L29" s="351"/>
      <c r="M29" s="351"/>
      <c r="N29" s="351"/>
      <c r="O29" s="351"/>
      <c r="P29" s="351"/>
      <c r="Q29" s="351"/>
      <c r="R29" s="14"/>
    </row>
    <row r="30" spans="1:18">
      <c r="A30" s="13"/>
      <c r="B30" s="351"/>
      <c r="C30" s="351"/>
      <c r="D30" s="351"/>
      <c r="E30" s="351"/>
      <c r="F30" s="351"/>
      <c r="G30" s="351"/>
      <c r="H30" s="351"/>
      <c r="I30" s="351"/>
      <c r="J30" s="351"/>
      <c r="K30" s="351"/>
      <c r="L30" s="351"/>
      <c r="M30" s="351"/>
      <c r="N30" s="351"/>
      <c r="O30" s="351"/>
      <c r="P30" s="351"/>
      <c r="Q30" s="351"/>
      <c r="R30" s="14"/>
    </row>
    <row r="31" spans="1:18">
      <c r="A31" s="13"/>
      <c r="B31" s="351"/>
      <c r="C31" s="351"/>
      <c r="D31" s="351"/>
      <c r="E31" s="351"/>
      <c r="F31" s="351"/>
      <c r="G31" s="351"/>
      <c r="H31" s="351"/>
      <c r="I31" s="351"/>
      <c r="J31" s="351"/>
      <c r="K31" s="351"/>
      <c r="L31" s="351"/>
      <c r="M31" s="351"/>
      <c r="N31" s="351"/>
      <c r="O31" s="351"/>
      <c r="P31" s="351"/>
      <c r="Q31" s="351"/>
      <c r="R31" s="14"/>
    </row>
    <row r="32" spans="1:18" ht="15.75" thickBot="1">
      <c r="A32" s="25"/>
      <c r="B32" s="23"/>
      <c r="C32" s="23"/>
      <c r="D32" s="23"/>
      <c r="E32" s="23"/>
      <c r="F32" s="23"/>
      <c r="G32" s="23"/>
      <c r="H32" s="23"/>
      <c r="I32" s="23"/>
      <c r="J32" s="23" t="s">
        <v>38</v>
      </c>
      <c r="K32" s="23"/>
      <c r="L32" s="23"/>
      <c r="M32" s="23"/>
      <c r="N32" s="23"/>
      <c r="O32" s="23"/>
      <c r="P32" s="23"/>
      <c r="Q32" s="23"/>
      <c r="R32" s="24"/>
    </row>
  </sheetData>
  <protectedRanges>
    <protectedRange password="CA4D" sqref="A6:E6 A9:R9 A7:A8 A1:R5 C7:R8" name="Range1_5"/>
    <protectedRange password="CA4D" sqref="F6:R6" name="Range1_4_1"/>
    <protectedRange password="CA4D" sqref="B7:B8" name="Range1_3_1"/>
  </protectedRanges>
  <mergeCells count="17">
    <mergeCell ref="R7:R8"/>
    <mergeCell ref="G8:G9"/>
    <mergeCell ref="F7:F9"/>
    <mergeCell ref="H7:H9"/>
    <mergeCell ref="I7:L8"/>
    <mergeCell ref="P7:P8"/>
    <mergeCell ref="Q7:Q8"/>
    <mergeCell ref="A7:A9"/>
    <mergeCell ref="B7:B9"/>
    <mergeCell ref="C7:C9"/>
    <mergeCell ref="D7:D9"/>
    <mergeCell ref="E7:E9"/>
    <mergeCell ref="A1:R2"/>
    <mergeCell ref="A3:R3"/>
    <mergeCell ref="A4:R4"/>
    <mergeCell ref="B5:R5"/>
    <mergeCell ref="A6:E6"/>
  </mergeCells>
  <pageMargins left="0.70866141732283472" right="0.70866141732283472" top="0.74803149606299213" bottom="0.74803149606299213" header="0.31496062992125984" footer="0.31496062992125984"/>
  <pageSetup scale="60" orientation="landscape"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22"/>
  <sheetViews>
    <sheetView workbookViewId="0">
      <selection activeCell="K13" sqref="K13"/>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2" t="str">
        <f>'BOM 04 22Master'!F5</f>
        <v>Burgeon IT Services Pvt.Ltd.</v>
      </c>
      <c r="E1" s="2" t="s">
        <v>183</v>
      </c>
    </row>
    <row r="2" spans="2:7">
      <c r="B2" s="146" t="s">
        <v>5</v>
      </c>
      <c r="C2" s="146" t="s">
        <v>144</v>
      </c>
      <c r="D2" s="146" t="s">
        <v>136</v>
      </c>
      <c r="E2" s="146" t="s">
        <v>181</v>
      </c>
      <c r="F2" s="146" t="s">
        <v>182</v>
      </c>
      <c r="G2" s="146" t="s">
        <v>40</v>
      </c>
    </row>
    <row r="3" spans="2:7">
      <c r="B3" s="11">
        <v>1</v>
      </c>
      <c r="C3" s="27" t="e">
        <f>'BOM 04 22Master'!#REF!</f>
        <v>#REF!</v>
      </c>
      <c r="D3" s="27" t="e">
        <f>'BOM 04 22Master'!#REF!</f>
        <v>#REF!</v>
      </c>
      <c r="E3" s="11"/>
      <c r="F3" s="11"/>
      <c r="G3" s="11"/>
    </row>
    <row r="4" spans="2:7">
      <c r="B4" s="11">
        <v>2</v>
      </c>
      <c r="C4" s="27" t="e">
        <f>'BOM 04 22Master'!#REF!</f>
        <v>#REF!</v>
      </c>
      <c r="D4" s="27" t="e">
        <f>'BOM 04 22Master'!#REF!</f>
        <v>#REF!</v>
      </c>
      <c r="E4" s="11"/>
      <c r="F4" s="11"/>
      <c r="G4" s="11"/>
    </row>
    <row r="5" spans="2:7">
      <c r="B5" s="11">
        <v>3</v>
      </c>
      <c r="C5" s="27" t="e">
        <f>'BOM 04 22Master'!#REF!</f>
        <v>#REF!</v>
      </c>
      <c r="D5" s="27" t="e">
        <f>'BOM 04 22Master'!#REF!</f>
        <v>#REF!</v>
      </c>
      <c r="E5" s="11"/>
      <c r="F5" s="11"/>
      <c r="G5" s="11"/>
    </row>
    <row r="6" spans="2:7">
      <c r="B6" s="11">
        <v>4</v>
      </c>
      <c r="C6" s="27" t="e">
        <f>'BOM 04 22Master'!#REF!</f>
        <v>#REF!</v>
      </c>
      <c r="D6" s="27" t="e">
        <f>'BOM 04 22Master'!#REF!</f>
        <v>#REF!</v>
      </c>
      <c r="E6" s="11"/>
      <c r="F6" s="11"/>
      <c r="G6" s="11"/>
    </row>
    <row r="7" spans="2:7">
      <c r="B7" s="11">
        <v>5</v>
      </c>
      <c r="C7" s="27" t="e">
        <f>'BOM 04 22Master'!#REF!</f>
        <v>#REF!</v>
      </c>
      <c r="D7" s="27" t="e">
        <f>'BOM 04 22Master'!#REF!</f>
        <v>#REF!</v>
      </c>
      <c r="E7" s="11"/>
      <c r="F7" s="11"/>
      <c r="G7" s="11"/>
    </row>
    <row r="8" spans="2:7">
      <c r="B8" s="11">
        <v>6</v>
      </c>
      <c r="C8" s="27" t="e">
        <f>'BOM 04 22Master'!#REF!</f>
        <v>#REF!</v>
      </c>
      <c r="D8" s="27" t="e">
        <f>'BOM 04 22Master'!#REF!</f>
        <v>#REF!</v>
      </c>
      <c r="E8" s="11"/>
      <c r="F8" s="11"/>
      <c r="G8" s="11"/>
    </row>
    <row r="9" spans="2:7">
      <c r="B9" s="11">
        <v>7</v>
      </c>
      <c r="C9" s="27" t="e">
        <f>'BOM 04 22Master'!#REF!</f>
        <v>#REF!</v>
      </c>
      <c r="D9" s="27" t="e">
        <f>'BOM 04 22Master'!#REF!</f>
        <v>#REF!</v>
      </c>
      <c r="E9" s="11"/>
      <c r="F9" s="11"/>
      <c r="G9" s="11"/>
    </row>
    <row r="10" spans="2:7">
      <c r="B10" s="11">
        <v>8</v>
      </c>
      <c r="C10" s="27" t="e">
        <f>'BOM 04 22Master'!#REF!</f>
        <v>#REF!</v>
      </c>
      <c r="D10" s="27" t="e">
        <f>'BOM 04 22Master'!#REF!</f>
        <v>#REF!</v>
      </c>
      <c r="E10" s="11"/>
      <c r="F10" s="11"/>
      <c r="G10" s="11"/>
    </row>
    <row r="11" spans="2:7">
      <c r="B11" s="11">
        <v>9</v>
      </c>
      <c r="C11" s="27" t="e">
        <f>'BOM 04 22Master'!#REF!</f>
        <v>#REF!</v>
      </c>
      <c r="D11" s="27" t="e">
        <f>'BOM 04 22Master'!#REF!</f>
        <v>#REF!</v>
      </c>
      <c r="E11" s="11"/>
      <c r="F11" s="11"/>
      <c r="G11" s="11"/>
    </row>
    <row r="12" spans="2:7">
      <c r="B12" s="11">
        <v>10</v>
      </c>
      <c r="C12" s="27" t="e">
        <f>'BOM 04 22Master'!#REF!</f>
        <v>#REF!</v>
      </c>
      <c r="D12" s="27" t="e">
        <f>'BOM 04 22Master'!#REF!</f>
        <v>#REF!</v>
      </c>
      <c r="E12" s="11"/>
      <c r="F12" s="11"/>
      <c r="G12" s="11"/>
    </row>
    <row r="13" spans="2:7">
      <c r="B13" s="11">
        <v>11</v>
      </c>
      <c r="C13" s="27" t="e">
        <f>'BOM 04 22Master'!#REF!</f>
        <v>#REF!</v>
      </c>
      <c r="D13" s="27" t="e">
        <f>'BOM 04 22Master'!#REF!</f>
        <v>#REF!</v>
      </c>
      <c r="E13" s="11"/>
      <c r="F13" s="11"/>
      <c r="G13" s="11"/>
    </row>
    <row r="14" spans="2:7">
      <c r="B14" s="11">
        <v>12</v>
      </c>
      <c r="C14" s="27" t="e">
        <f>'BOM 04 22Master'!#REF!</f>
        <v>#REF!</v>
      </c>
      <c r="D14" s="27" t="e">
        <f>'BOM 04 22Master'!#REF!</f>
        <v>#REF!</v>
      </c>
      <c r="E14" s="11"/>
      <c r="F14" s="11"/>
      <c r="G14" s="11"/>
    </row>
    <row r="15" spans="2:7">
      <c r="B15" s="11">
        <v>13</v>
      </c>
      <c r="C15" s="27" t="e">
        <f>'BOM 04 22Master'!#REF!</f>
        <v>#REF!</v>
      </c>
      <c r="D15" s="27" t="e">
        <f>'BOM 04 22Master'!#REF!</f>
        <v>#REF!</v>
      </c>
      <c r="E15" s="11"/>
      <c r="F15" s="11"/>
      <c r="G15" s="11"/>
    </row>
    <row r="16" spans="2:7">
      <c r="B16" s="11">
        <v>14</v>
      </c>
      <c r="C16" s="27" t="e">
        <f>'BOM 04 22Master'!#REF!</f>
        <v>#REF!</v>
      </c>
      <c r="D16" s="27" t="e">
        <f>'BOM 04 22Master'!#REF!</f>
        <v>#REF!</v>
      </c>
      <c r="E16" s="11"/>
      <c r="F16" s="11"/>
      <c r="G16" s="11"/>
    </row>
    <row r="17" spans="2:7">
      <c r="B17" s="11">
        <v>15</v>
      </c>
      <c r="C17" s="27" t="e">
        <f>'BOM 04 22Master'!#REF!</f>
        <v>#REF!</v>
      </c>
      <c r="D17" s="27" t="e">
        <f>'BOM 04 22Master'!#REF!</f>
        <v>#REF!</v>
      </c>
      <c r="E17" s="11"/>
      <c r="F17" s="11"/>
      <c r="G17" s="11"/>
    </row>
    <row r="18" spans="2:7">
      <c r="B18" s="11">
        <v>16</v>
      </c>
      <c r="C18" s="27" t="e">
        <f>'BOM 04 22Master'!#REF!</f>
        <v>#REF!</v>
      </c>
      <c r="D18" s="27" t="e">
        <f>'BOM 04 22Master'!#REF!</f>
        <v>#REF!</v>
      </c>
      <c r="E18" s="11"/>
      <c r="F18" s="11"/>
      <c r="G18" s="11"/>
    </row>
    <row r="19" spans="2:7">
      <c r="B19" s="11">
        <v>17</v>
      </c>
      <c r="C19" s="27" t="e">
        <f>'BOM 04 22Master'!#REF!</f>
        <v>#REF!</v>
      </c>
      <c r="D19" s="27" t="e">
        <f>'BOM 04 22Master'!#REF!</f>
        <v>#REF!</v>
      </c>
      <c r="E19" s="11"/>
      <c r="F19" s="11"/>
      <c r="G19" s="11"/>
    </row>
    <row r="20" spans="2:7">
      <c r="B20" s="11">
        <v>18</v>
      </c>
      <c r="C20" s="27" t="e">
        <f>'BOM 04 22Master'!#REF!</f>
        <v>#REF!</v>
      </c>
      <c r="D20" s="27" t="e">
        <f>'BOM 04 22Master'!#REF!</f>
        <v>#REF!</v>
      </c>
      <c r="E20" s="11"/>
      <c r="F20" s="11"/>
      <c r="G20" s="11"/>
    </row>
    <row r="21" spans="2:7">
      <c r="B21" s="11">
        <v>19</v>
      </c>
      <c r="C21" s="27" t="e">
        <f>'BOM 04 22Master'!#REF!</f>
        <v>#REF!</v>
      </c>
      <c r="D21" s="27" t="e">
        <f>'BOM 04 22Master'!#REF!</f>
        <v>#REF!</v>
      </c>
      <c r="E21" s="11"/>
      <c r="F21" s="11"/>
      <c r="G21" s="11"/>
    </row>
    <row r="22" spans="2:7">
      <c r="B22" s="11">
        <v>20</v>
      </c>
      <c r="C22" s="27" t="e">
        <f>'BOM 04 22Master'!#REF!</f>
        <v>#REF!</v>
      </c>
      <c r="D22" s="27" t="e">
        <f>'BOM 04 22Master'!#REF!</f>
        <v>#REF!</v>
      </c>
      <c r="E22" s="11"/>
      <c r="F22" s="11"/>
      <c r="G22" s="11"/>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63"/>
  <sheetViews>
    <sheetView topLeftCell="A4" workbookViewId="0">
      <selection activeCell="M390" sqref="M390"/>
    </sheetView>
  </sheetViews>
  <sheetFormatPr defaultRowHeight="15"/>
  <cols>
    <col min="6" max="6" width="16.85546875" customWidth="1"/>
    <col min="10" max="10" width="14.5703125" customWidth="1"/>
    <col min="12" max="12" width="22.7109375" customWidth="1"/>
  </cols>
  <sheetData>
    <row r="1" spans="1:12" ht="29.25" customHeight="1">
      <c r="A1" s="50"/>
      <c r="B1" s="756" t="s">
        <v>185</v>
      </c>
      <c r="C1" s="757"/>
      <c r="D1" s="757"/>
      <c r="E1" s="757"/>
      <c r="F1" s="757"/>
      <c r="G1" s="757"/>
      <c r="H1" s="757"/>
      <c r="I1" s="757"/>
      <c r="J1" s="757"/>
      <c r="K1" s="757"/>
      <c r="L1" s="758"/>
    </row>
    <row r="2" spans="1:12" ht="23.25">
      <c r="A2" s="13"/>
      <c r="B2" s="759" t="s">
        <v>186</v>
      </c>
      <c r="C2" s="759"/>
      <c r="D2" s="759"/>
      <c r="E2" s="759"/>
      <c r="F2" s="759"/>
      <c r="G2" s="759"/>
      <c r="H2" s="759"/>
      <c r="I2" s="759"/>
      <c r="J2" s="759"/>
      <c r="K2" s="759"/>
      <c r="L2" s="760"/>
    </row>
    <row r="3" spans="1:12" ht="12.75" customHeight="1" thickBot="1">
      <c r="A3" s="25"/>
      <c r="B3" s="761" t="s">
        <v>187</v>
      </c>
      <c r="C3" s="761"/>
      <c r="D3" s="761"/>
      <c r="E3" s="761"/>
      <c r="F3" s="761"/>
      <c r="G3" s="761"/>
      <c r="H3" s="761"/>
      <c r="I3" s="761"/>
      <c r="J3" s="761"/>
      <c r="K3" s="761"/>
      <c r="L3" s="762"/>
    </row>
    <row r="4" spans="1:12">
      <c r="A4" s="13"/>
      <c r="B4" s="763" t="s">
        <v>112</v>
      </c>
      <c r="C4" s="763"/>
      <c r="D4" s="763"/>
      <c r="E4" s="763"/>
      <c r="F4" s="763"/>
      <c r="H4" s="764" t="s">
        <v>113</v>
      </c>
      <c r="I4" s="764"/>
      <c r="J4" s="764"/>
      <c r="K4" s="764"/>
      <c r="L4" s="765"/>
    </row>
    <row r="5" spans="1:12" ht="15.75" thickBot="1">
      <c r="A5" s="13"/>
      <c r="B5" s="763"/>
      <c r="C5" s="763"/>
      <c r="D5" s="763"/>
      <c r="E5" s="763"/>
      <c r="F5" s="763"/>
      <c r="H5" s="764"/>
      <c r="I5" s="764"/>
      <c r="J5" s="764"/>
      <c r="K5" s="764"/>
      <c r="L5" s="765"/>
    </row>
    <row r="6" spans="1:12">
      <c r="A6" s="13"/>
      <c r="B6" s="50"/>
      <c r="C6" s="51"/>
      <c r="D6" s="51"/>
      <c r="E6" s="51"/>
      <c r="F6" s="52"/>
      <c r="H6" s="50"/>
      <c r="I6" s="51"/>
      <c r="J6" s="51"/>
      <c r="K6" s="51"/>
      <c r="L6" s="52"/>
    </row>
    <row r="7" spans="1:12">
      <c r="A7" s="13"/>
      <c r="B7" s="53" t="e">
        <f>#REF!</f>
        <v>#REF!</v>
      </c>
      <c r="F7" s="14"/>
      <c r="H7" s="53" t="e">
        <f>#REF!</f>
        <v>#REF!</v>
      </c>
      <c r="L7" s="14"/>
    </row>
    <row r="8" spans="1:12">
      <c r="A8" s="13"/>
      <c r="B8" s="13"/>
      <c r="F8" s="14"/>
      <c r="H8" s="13"/>
      <c r="L8" s="14"/>
    </row>
    <row r="9" spans="1:12">
      <c r="A9" s="13"/>
      <c r="B9" s="53" t="e">
        <f>#REF!</f>
        <v>#REF!</v>
      </c>
      <c r="F9" s="14"/>
      <c r="H9" s="53" t="e">
        <f>#REF!</f>
        <v>#REF!</v>
      </c>
      <c r="L9" s="14"/>
    </row>
    <row r="10" spans="1:12" ht="15.75" thickBot="1">
      <c r="A10" s="13"/>
      <c r="B10" s="25"/>
      <c r="C10" s="23"/>
      <c r="D10" s="23"/>
      <c r="E10" s="23"/>
      <c r="F10" s="24"/>
      <c r="H10" s="25"/>
      <c r="I10" s="23"/>
      <c r="J10" s="23"/>
      <c r="K10" s="23"/>
      <c r="L10" s="24"/>
    </row>
    <row r="11" spans="1:12">
      <c r="A11" s="13"/>
      <c r="J11" t="s">
        <v>114</v>
      </c>
      <c r="L11" s="14"/>
    </row>
    <row r="12" spans="1:12">
      <c r="A12" s="13"/>
      <c r="B12" s="753" t="s">
        <v>115</v>
      </c>
      <c r="C12" s="753"/>
      <c r="D12" s="753"/>
      <c r="E12" s="753"/>
      <c r="F12" s="753"/>
      <c r="H12" s="753" t="s">
        <v>4</v>
      </c>
      <c r="I12" s="753"/>
      <c r="J12" s="753"/>
      <c r="K12" s="753"/>
      <c r="L12" s="754"/>
    </row>
    <row r="13" spans="1:12" ht="15.75" thickBot="1">
      <c r="A13" s="13"/>
      <c r="L13" s="14"/>
    </row>
    <row r="14" spans="1:12">
      <c r="A14" s="13"/>
      <c r="B14" s="50"/>
      <c r="C14" s="51"/>
      <c r="D14" s="51"/>
      <c r="E14" s="51"/>
      <c r="F14" s="52"/>
      <c r="H14" s="54"/>
      <c r="I14" s="55"/>
      <c r="J14" s="55"/>
      <c r="K14" s="55"/>
      <c r="L14" s="56"/>
    </row>
    <row r="15" spans="1:12">
      <c r="A15" s="13"/>
      <c r="B15" s="13"/>
      <c r="F15" s="14"/>
      <c r="H15" s="53" t="e">
        <f>#REF!</f>
        <v>#REF!</v>
      </c>
      <c r="I15" s="2"/>
      <c r="J15" s="2"/>
      <c r="K15" s="2"/>
      <c r="L15" s="57"/>
    </row>
    <row r="16" spans="1:12">
      <c r="A16" s="13"/>
      <c r="B16" s="53" t="e">
        <f>#REF!</f>
        <v>#REF!</v>
      </c>
      <c r="F16" s="14"/>
      <c r="H16" s="53"/>
      <c r="I16" s="2"/>
      <c r="J16" s="2"/>
      <c r="K16" s="2"/>
      <c r="L16" s="57"/>
    </row>
    <row r="17" spans="1:12">
      <c r="A17" s="13"/>
      <c r="B17" s="13"/>
      <c r="F17" s="14"/>
      <c r="H17" s="53" t="e">
        <f>#REF!</f>
        <v>#REF!</v>
      </c>
      <c r="I17" s="2"/>
      <c r="J17" s="2"/>
      <c r="K17" s="2"/>
      <c r="L17" s="57"/>
    </row>
    <row r="18" spans="1:12" ht="15.75" thickBot="1">
      <c r="A18" s="13"/>
      <c r="B18" s="25"/>
      <c r="C18" s="23"/>
      <c r="D18" s="23"/>
      <c r="E18" s="23"/>
      <c r="F18" s="24"/>
      <c r="H18" s="58"/>
      <c r="I18" s="59"/>
      <c r="J18" s="59"/>
      <c r="K18" s="59"/>
      <c r="L18" s="60"/>
    </row>
    <row r="19" spans="1:12" ht="27.95" customHeight="1">
      <c r="A19" s="61"/>
      <c r="B19" s="742" t="s">
        <v>188</v>
      </c>
      <c r="C19" s="742"/>
      <c r="D19" s="742"/>
      <c r="E19" s="742"/>
      <c r="F19" s="742"/>
      <c r="G19" s="742"/>
      <c r="H19" s="743" t="e">
        <f>'BOM 04 22Master'!#REF!</f>
        <v>#REF!</v>
      </c>
      <c r="I19" s="744"/>
      <c r="J19" s="744"/>
      <c r="K19" s="744"/>
      <c r="L19" s="745"/>
    </row>
    <row r="20" spans="1:12" ht="27.95" customHeight="1">
      <c r="A20" s="61"/>
      <c r="B20" s="755" t="s">
        <v>189</v>
      </c>
      <c r="C20" s="755"/>
      <c r="D20" s="755"/>
      <c r="E20" s="755"/>
      <c r="F20" s="755"/>
      <c r="G20" s="755"/>
      <c r="H20" s="743" t="e">
        <f>'BOM 04 22Master'!#REF!</f>
        <v>#REF!</v>
      </c>
      <c r="I20" s="744"/>
      <c r="J20" s="744"/>
      <c r="K20" s="744"/>
      <c r="L20" s="745"/>
    </row>
    <row r="21" spans="1:12" ht="27.95" customHeight="1">
      <c r="A21" s="61"/>
      <c r="B21" s="742" t="s">
        <v>190</v>
      </c>
      <c r="C21" s="742"/>
      <c r="D21" s="742"/>
      <c r="E21" s="742"/>
      <c r="F21" s="742"/>
      <c r="G21" s="742"/>
      <c r="H21" s="743" t="e">
        <f>'BOM 04 22Master'!#REF!</f>
        <v>#REF!</v>
      </c>
      <c r="I21" s="744"/>
      <c r="J21" s="744"/>
      <c r="K21" s="744"/>
      <c r="L21" s="745"/>
    </row>
    <row r="22" spans="1:12" ht="27.95" customHeight="1">
      <c r="A22" s="61"/>
      <c r="B22" s="742" t="s">
        <v>191</v>
      </c>
      <c r="C22" s="742"/>
      <c r="D22" s="742"/>
      <c r="E22" s="742"/>
      <c r="F22" s="742"/>
      <c r="G22" s="742"/>
      <c r="H22" s="916" t="e">
        <f>'BOM 04 22Master'!#REF!</f>
        <v>#REF!</v>
      </c>
      <c r="I22" s="744"/>
      <c r="J22" s="744"/>
      <c r="K22" s="744"/>
      <c r="L22" s="745"/>
    </row>
    <row r="23" spans="1:12" ht="27.95" customHeight="1">
      <c r="A23" s="61"/>
      <c r="B23" s="62" t="s">
        <v>192</v>
      </c>
      <c r="C23" s="63"/>
      <c r="D23" s="63"/>
      <c r="E23" s="63"/>
      <c r="F23" s="63"/>
      <c r="G23" s="63"/>
      <c r="H23" s="913" t="s">
        <v>193</v>
      </c>
      <c r="I23" s="914"/>
      <c r="J23" s="914"/>
      <c r="K23" s="914"/>
      <c r="L23" s="915"/>
    </row>
    <row r="24" spans="1:12" ht="27.95" customHeight="1">
      <c r="A24" s="61"/>
      <c r="B24" s="62" t="s">
        <v>194</v>
      </c>
      <c r="C24" s="63"/>
      <c r="D24" s="63"/>
      <c r="E24" s="63"/>
      <c r="F24" s="63"/>
      <c r="G24" s="63"/>
      <c r="H24" s="64"/>
      <c r="I24" s="66"/>
      <c r="J24" s="167"/>
      <c r="K24" s="66"/>
      <c r="L24" s="71"/>
    </row>
    <row r="25" spans="1:12" ht="27.95" customHeight="1">
      <c r="A25" s="61"/>
      <c r="B25" s="749" t="s">
        <v>195</v>
      </c>
      <c r="C25" s="749"/>
      <c r="D25" s="749"/>
      <c r="E25" s="749"/>
      <c r="F25" s="749"/>
      <c r="G25" s="749"/>
      <c r="H25" s="750" t="e">
        <f>'BOM 04 22Master'!#REF!</f>
        <v>#REF!</v>
      </c>
      <c r="I25" s="751"/>
      <c r="J25" s="751"/>
      <c r="K25" s="751"/>
      <c r="L25" s="752"/>
    </row>
    <row r="26" spans="1:12" ht="27.95" customHeight="1">
      <c r="A26" s="61"/>
      <c r="B26" s="742"/>
      <c r="C26" s="742"/>
      <c r="D26" s="742"/>
      <c r="E26" s="742"/>
      <c r="F26" s="742"/>
      <c r="G26" s="742"/>
      <c r="H26" s="766" t="e">
        <f>'BOM 04 22Master'!#REF!</f>
        <v>#REF!</v>
      </c>
      <c r="I26" s="744"/>
      <c r="J26" s="744"/>
      <c r="K26" s="744"/>
      <c r="L26" s="745"/>
    </row>
    <row r="27" spans="1:12" ht="27.95" customHeight="1">
      <c r="A27" s="13"/>
      <c r="B27" s="742"/>
      <c r="C27" s="742"/>
      <c r="D27" s="742"/>
      <c r="E27" s="742"/>
      <c r="F27" s="742"/>
      <c r="G27" s="742"/>
      <c r="H27" s="743" t="e">
        <f>'BOM 04 22Master'!#REF!</f>
        <v>#REF!</v>
      </c>
      <c r="I27" s="744"/>
      <c r="J27" s="744"/>
      <c r="K27" s="744"/>
      <c r="L27" s="745"/>
    </row>
    <row r="28" spans="1:12" ht="27.95" customHeight="1">
      <c r="A28" s="13"/>
      <c r="B28" s="62" t="s">
        <v>196</v>
      </c>
      <c r="C28" s="63"/>
      <c r="D28" s="63"/>
      <c r="E28" s="63"/>
      <c r="F28" s="63"/>
      <c r="G28" s="67"/>
      <c r="H28" s="906" t="e">
        <f>'BOM 04 22Master'!#REF!</f>
        <v>#REF!</v>
      </c>
      <c r="I28" s="779"/>
      <c r="J28" s="779"/>
      <c r="K28" s="779"/>
      <c r="L28" s="907"/>
    </row>
    <row r="29" spans="1:12" ht="27.95" customHeight="1">
      <c r="A29" s="13"/>
      <c r="B29" s="62"/>
      <c r="C29" s="63"/>
      <c r="D29" s="63"/>
      <c r="E29" s="63"/>
      <c r="F29" s="63"/>
      <c r="G29" s="67"/>
      <c r="H29" s="906" t="e">
        <f>'BOM 04 22Master'!#REF!</f>
        <v>#REF!</v>
      </c>
      <c r="I29" s="779"/>
      <c r="J29" s="779"/>
      <c r="K29" s="779"/>
      <c r="L29" s="907"/>
    </row>
    <row r="30" spans="1:12" ht="27.95" customHeight="1">
      <c r="A30" s="13"/>
      <c r="B30" s="62"/>
      <c r="C30" s="63"/>
      <c r="D30" s="63"/>
      <c r="E30" s="63"/>
      <c r="F30" s="63"/>
      <c r="G30" s="67"/>
      <c r="H30" s="906" t="e">
        <f>'BOM 04 22Master'!#REF!</f>
        <v>#REF!</v>
      </c>
      <c r="I30" s="779"/>
      <c r="J30" s="779"/>
      <c r="K30" s="779"/>
      <c r="L30" s="907"/>
    </row>
    <row r="31" spans="1:12" ht="27.95" customHeight="1">
      <c r="A31" s="13"/>
      <c r="B31" s="62" t="s">
        <v>203</v>
      </c>
      <c r="C31" s="63"/>
      <c r="D31" s="63"/>
      <c r="E31" s="63"/>
      <c r="F31" s="63"/>
      <c r="G31" s="67"/>
      <c r="H31" s="64"/>
      <c r="I31" s="66"/>
      <c r="J31" s="66"/>
      <c r="K31" s="66"/>
      <c r="L31" s="71"/>
    </row>
    <row r="32" spans="1:12" ht="27.95" customHeight="1">
      <c r="A32" s="13"/>
      <c r="B32" s="74" t="s">
        <v>204</v>
      </c>
      <c r="C32" s="148"/>
      <c r="D32" s="148"/>
      <c r="E32" s="148"/>
      <c r="F32" s="148"/>
      <c r="G32" s="149"/>
      <c r="H32" s="150"/>
      <c r="I32" s="151"/>
      <c r="J32" s="152"/>
      <c r="K32" s="151"/>
      <c r="L32" s="153"/>
    </row>
    <row r="33" spans="1:12" ht="49.5" customHeight="1">
      <c r="A33" s="13"/>
      <c r="B33" s="62" t="s">
        <v>207</v>
      </c>
      <c r="C33" s="63"/>
      <c r="D33" s="66"/>
      <c r="E33" s="160" t="s">
        <v>209</v>
      </c>
      <c r="F33" s="45"/>
      <c r="G33" s="908" t="s">
        <v>208</v>
      </c>
      <c r="H33" s="909"/>
      <c r="I33" s="164" t="s">
        <v>205</v>
      </c>
      <c r="J33" s="162" t="s">
        <v>210</v>
      </c>
      <c r="K33" s="908" t="s">
        <v>206</v>
      </c>
      <c r="L33" s="910"/>
    </row>
    <row r="34" spans="1:12" ht="27.95" customHeight="1">
      <c r="A34" s="13"/>
      <c r="B34" s="163">
        <v>1</v>
      </c>
      <c r="C34" s="63"/>
      <c r="D34" s="63"/>
      <c r="E34" s="166">
        <v>2</v>
      </c>
      <c r="F34" s="67"/>
      <c r="G34" s="166">
        <v>3</v>
      </c>
      <c r="H34" s="182"/>
      <c r="I34" s="182">
        <v>4</v>
      </c>
      <c r="J34" s="85">
        <v>5</v>
      </c>
      <c r="K34" s="69"/>
      <c r="L34" s="70">
        <v>6</v>
      </c>
    </row>
    <row r="35" spans="1:12" ht="27.95" customHeight="1">
      <c r="A35" s="13"/>
      <c r="B35" s="280" t="e">
        <f>'BOM 04 22Master'!#REF!</f>
        <v>#REF!</v>
      </c>
      <c r="C35" s="178"/>
      <c r="D35" s="179"/>
      <c r="E35" s="181" t="s">
        <v>366</v>
      </c>
      <c r="F35" s="179"/>
      <c r="G35" s="181" t="s">
        <v>367</v>
      </c>
      <c r="H35" s="45"/>
      <c r="I35" s="11" t="s">
        <v>368</v>
      </c>
      <c r="J35" s="279">
        <v>1</v>
      </c>
      <c r="K35" s="911" t="s">
        <v>37</v>
      </c>
      <c r="L35" s="917"/>
    </row>
    <row r="36" spans="1:12" ht="27.95" customHeight="1">
      <c r="A36" s="13"/>
      <c r="B36" s="62"/>
      <c r="C36" s="178"/>
      <c r="D36" s="179"/>
      <c r="E36" s="180"/>
      <c r="F36" s="179"/>
      <c r="G36" s="180"/>
      <c r="H36" s="45"/>
      <c r="I36" s="11"/>
      <c r="J36" s="11"/>
      <c r="K36" s="181"/>
      <c r="L36" s="45"/>
    </row>
    <row r="37" spans="1:12" ht="26.25" customHeight="1">
      <c r="A37" s="13"/>
      <c r="B37" s="62"/>
      <c r="C37" s="178"/>
      <c r="D37" s="179"/>
      <c r="E37" s="180"/>
      <c r="F37" s="179"/>
      <c r="G37" s="180"/>
      <c r="H37" s="45"/>
      <c r="I37" s="11"/>
      <c r="J37" s="11"/>
      <c r="K37" s="181"/>
      <c r="L37" s="45"/>
    </row>
    <row r="38" spans="1:12" ht="27.75" customHeight="1">
      <c r="A38" s="13"/>
      <c r="B38" s="48"/>
      <c r="C38" s="17"/>
      <c r="D38" s="49"/>
      <c r="E38" s="180"/>
      <c r="F38" s="179"/>
      <c r="G38" s="180"/>
      <c r="H38" s="45"/>
      <c r="I38" s="11"/>
      <c r="J38" s="11"/>
      <c r="K38" s="181"/>
      <c r="L38" s="45"/>
    </row>
    <row r="39" spans="1:12">
      <c r="A39" s="13"/>
      <c r="B39" t="s">
        <v>211</v>
      </c>
      <c r="L39" s="14"/>
    </row>
    <row r="40" spans="1:12">
      <c r="A40" s="13"/>
      <c r="B40" t="s">
        <v>212</v>
      </c>
      <c r="L40" s="14"/>
    </row>
    <row r="41" spans="1:12">
      <c r="A41" s="13"/>
      <c r="B41" t="s">
        <v>213</v>
      </c>
      <c r="L41" s="14"/>
    </row>
    <row r="42" spans="1:12">
      <c r="A42" s="13"/>
      <c r="L42" s="14"/>
    </row>
    <row r="43" spans="1:12">
      <c r="A43" s="13"/>
      <c r="I43" t="s">
        <v>214</v>
      </c>
      <c r="L43" s="14"/>
    </row>
    <row r="44" spans="1:12" ht="18.75">
      <c r="A44" s="13"/>
      <c r="F44" s="168" t="s">
        <v>197</v>
      </c>
      <c r="L44" s="14"/>
    </row>
    <row r="45" spans="1:12">
      <c r="A45" s="13" t="s">
        <v>198</v>
      </c>
      <c r="K45" s="218" t="e">
        <f>'BOM 04 22Master'!#REF!</f>
        <v>#REF!</v>
      </c>
      <c r="L45" s="14"/>
    </row>
    <row r="46" spans="1:12">
      <c r="A46" s="13" t="s">
        <v>199</v>
      </c>
      <c r="L46" s="14"/>
    </row>
    <row r="47" spans="1:12">
      <c r="A47" s="13"/>
      <c r="L47" s="14"/>
    </row>
    <row r="48" spans="1:12">
      <c r="A48" s="13"/>
      <c r="L48" s="14"/>
    </row>
    <row r="49" spans="1:12">
      <c r="A49" s="13"/>
      <c r="F49" t="s">
        <v>200</v>
      </c>
      <c r="L49" s="14"/>
    </row>
    <row r="50" spans="1:12">
      <c r="A50" s="13" t="s">
        <v>201</v>
      </c>
      <c r="B50" t="s">
        <v>365</v>
      </c>
      <c r="F50" t="str">
        <f>'BOM 04 22Master'!AP5</f>
        <v>Burgeon IT Services Pvt.Ltd.</v>
      </c>
      <c r="L50" s="14"/>
    </row>
    <row r="51" spans="1:12">
      <c r="A51" s="13" t="s">
        <v>202</v>
      </c>
      <c r="B51" s="278" t="e">
        <f>'BOM 04 22Master'!#REF!</f>
        <v>#REF!</v>
      </c>
      <c r="F51" t="str">
        <f>'BOM 04 22Master'!AP6</f>
        <v>Siri Mansion LIGB 436 Dr.A S Rao Nagar,Hyderabad</v>
      </c>
      <c r="L51" s="14"/>
    </row>
    <row r="52" spans="1:12" ht="15.75" thickBot="1">
      <c r="A52" s="25"/>
      <c r="B52" s="23"/>
      <c r="C52" s="23"/>
      <c r="D52" s="23"/>
      <c r="E52" s="23"/>
      <c r="F52" s="23"/>
      <c r="G52" s="23"/>
      <c r="H52" s="23"/>
      <c r="I52" s="23"/>
      <c r="J52" s="23"/>
      <c r="K52" s="23"/>
      <c r="L52" s="24"/>
    </row>
    <row r="53" spans="1:12" ht="27.95" customHeight="1">
      <c r="A53" s="50"/>
      <c r="B53" s="756" t="s">
        <v>185</v>
      </c>
      <c r="C53" s="757"/>
      <c r="D53" s="757"/>
      <c r="E53" s="757"/>
      <c r="F53" s="757"/>
      <c r="G53" s="757"/>
      <c r="H53" s="757"/>
      <c r="I53" s="757"/>
      <c r="J53" s="757"/>
      <c r="K53" s="757"/>
      <c r="L53" s="758"/>
    </row>
    <row r="54" spans="1:12" ht="27.95" customHeight="1">
      <c r="A54" s="13"/>
      <c r="B54" s="759" t="s">
        <v>186</v>
      </c>
      <c r="C54" s="759"/>
      <c r="D54" s="759"/>
      <c r="E54" s="759"/>
      <c r="F54" s="759"/>
      <c r="G54" s="759"/>
      <c r="H54" s="759"/>
      <c r="I54" s="759"/>
      <c r="J54" s="759"/>
      <c r="K54" s="759"/>
      <c r="L54" s="760"/>
    </row>
    <row r="55" spans="1:12" ht="27.95" customHeight="1" thickBot="1">
      <c r="A55" s="25"/>
      <c r="B55" s="761" t="s">
        <v>187</v>
      </c>
      <c r="C55" s="761"/>
      <c r="D55" s="761"/>
      <c r="E55" s="761"/>
      <c r="F55" s="761"/>
      <c r="G55" s="761"/>
      <c r="H55" s="761"/>
      <c r="I55" s="761"/>
      <c r="J55" s="761"/>
      <c r="K55" s="761"/>
      <c r="L55" s="762"/>
    </row>
    <row r="56" spans="1:12" ht="27.95" customHeight="1">
      <c r="A56" s="13"/>
      <c r="B56" s="763" t="s">
        <v>112</v>
      </c>
      <c r="C56" s="763"/>
      <c r="D56" s="763"/>
      <c r="E56" s="763"/>
      <c r="F56" s="763"/>
      <c r="H56" s="764" t="s">
        <v>113</v>
      </c>
      <c r="I56" s="764"/>
      <c r="J56" s="764"/>
      <c r="K56" s="764"/>
      <c r="L56" s="765"/>
    </row>
    <row r="57" spans="1:12" ht="27.95" customHeight="1" thickBot="1">
      <c r="A57" s="13"/>
      <c r="B57" s="763"/>
      <c r="C57" s="763"/>
      <c r="D57" s="763"/>
      <c r="E57" s="763"/>
      <c r="F57" s="763"/>
      <c r="H57" s="764"/>
      <c r="I57" s="764"/>
      <c r="J57" s="764"/>
      <c r="K57" s="764"/>
      <c r="L57" s="765"/>
    </row>
    <row r="58" spans="1:12" ht="27.95" customHeight="1">
      <c r="A58" s="13"/>
      <c r="B58" s="50"/>
      <c r="C58" s="51"/>
      <c r="D58" s="51"/>
      <c r="E58" s="51"/>
      <c r="F58" s="52"/>
      <c r="H58" s="50"/>
      <c r="I58" s="51"/>
      <c r="J58" s="51"/>
      <c r="K58" s="51"/>
      <c r="L58" s="52"/>
    </row>
    <row r="59" spans="1:12">
      <c r="A59" s="13"/>
      <c r="B59" s="53" t="str">
        <f>'BOM 04 22Master'!F5</f>
        <v>Burgeon IT Services Pvt.Ltd.</v>
      </c>
      <c r="F59" s="14"/>
      <c r="H59" s="53" t="str">
        <f>'BOM 04 22Master'!AP5</f>
        <v>Burgeon IT Services Pvt.Ltd.</v>
      </c>
      <c r="L59" s="14"/>
    </row>
    <row r="60" spans="1:12">
      <c r="A60" s="13"/>
      <c r="B60" s="13"/>
      <c r="F60" s="14"/>
      <c r="H60" s="13"/>
      <c r="L60" s="14"/>
    </row>
    <row r="61" spans="1:12">
      <c r="A61" s="13"/>
      <c r="B61" s="53" t="str">
        <f>'BOM 04 22Master'!F6</f>
        <v>Siri Mansion LIGB 436 Dr.A S Rao Nagar,Hyderabad</v>
      </c>
      <c r="F61" s="14"/>
      <c r="H61" s="53" t="str">
        <f>'BOM 04 22Master'!AP6</f>
        <v>Siri Mansion LIGB 436 Dr.A S Rao Nagar,Hyderabad</v>
      </c>
      <c r="L61" s="14"/>
    </row>
    <row r="62" spans="1:12" ht="15.75" thickBot="1">
      <c r="A62" s="13"/>
      <c r="B62" s="25"/>
      <c r="C62" s="23"/>
      <c r="D62" s="23"/>
      <c r="E62" s="23"/>
      <c r="F62" s="24"/>
      <c r="H62" s="25"/>
      <c r="I62" s="23"/>
      <c r="J62" s="23"/>
      <c r="K62" s="23"/>
      <c r="L62" s="24"/>
    </row>
    <row r="63" spans="1:12">
      <c r="A63" s="13"/>
      <c r="J63" t="s">
        <v>114</v>
      </c>
      <c r="L63" s="14"/>
    </row>
    <row r="64" spans="1:12">
      <c r="A64" s="13"/>
      <c r="B64" s="753" t="s">
        <v>115</v>
      </c>
      <c r="C64" s="753"/>
      <c r="D64" s="753"/>
      <c r="E64" s="753"/>
      <c r="F64" s="753"/>
      <c r="H64" s="753" t="s">
        <v>4</v>
      </c>
      <c r="I64" s="753"/>
      <c r="J64" s="753"/>
      <c r="K64" s="753"/>
      <c r="L64" s="754"/>
    </row>
    <row r="65" spans="1:12" ht="15.75" thickBot="1">
      <c r="A65" s="13"/>
      <c r="L65" s="14"/>
    </row>
    <row r="66" spans="1:12">
      <c r="A66" s="13"/>
      <c r="B66" s="50"/>
      <c r="C66" s="51"/>
      <c r="D66" s="51"/>
      <c r="E66" s="51"/>
      <c r="F66" s="52"/>
      <c r="H66" s="54"/>
      <c r="I66" s="55"/>
      <c r="J66" s="55"/>
      <c r="K66" s="55"/>
      <c r="L66" s="56"/>
    </row>
    <row r="67" spans="1:12">
      <c r="A67" s="13"/>
      <c r="B67" s="13"/>
      <c r="F67" s="14"/>
      <c r="H67" s="53" t="str">
        <f>'BOM 04 22Master'!AP10</f>
        <v>INFOSYS  LTD.85-C Mittal Towers</v>
      </c>
      <c r="I67" s="2"/>
      <c r="J67" s="2"/>
      <c r="K67" s="2"/>
      <c r="L67" s="57"/>
    </row>
    <row r="68" spans="1:12">
      <c r="A68" s="13"/>
      <c r="B68" s="53" t="str">
        <f>'BOM 04 22Master'!F8</f>
        <v>IT SUPPORTIVE SERVICES&amp;MUMBAI</v>
      </c>
      <c r="F68" s="14"/>
      <c r="H68" s="53"/>
      <c r="I68" s="2"/>
      <c r="J68" s="2"/>
      <c r="K68" s="2"/>
      <c r="L68" s="57"/>
    </row>
    <row r="69" spans="1:12">
      <c r="A69" s="13"/>
      <c r="B69" s="13"/>
      <c r="F69" s="14"/>
      <c r="H69" s="53" t="str">
        <f>'BOM 04 22Master'!AP11</f>
        <v>8th flour Nariman Point,Maharashtra,400021</v>
      </c>
      <c r="I69" s="2"/>
      <c r="J69" s="2"/>
      <c r="K69" s="2"/>
      <c r="L69" s="57"/>
    </row>
    <row r="70" spans="1:12" ht="15.75" thickBot="1">
      <c r="A70" s="13"/>
      <c r="B70" s="25"/>
      <c r="C70" s="23"/>
      <c r="D70" s="23"/>
      <c r="E70" s="23"/>
      <c r="F70" s="24"/>
      <c r="H70" s="58"/>
      <c r="I70" s="59"/>
      <c r="J70" s="59"/>
      <c r="K70" s="59"/>
      <c r="L70" s="60"/>
    </row>
    <row r="71" spans="1:12">
      <c r="A71" s="61"/>
      <c r="B71" s="742" t="s">
        <v>188</v>
      </c>
      <c r="C71" s="742"/>
      <c r="D71" s="742"/>
      <c r="E71" s="742"/>
      <c r="F71" s="742"/>
      <c r="G71" s="742"/>
      <c r="H71" s="743" t="e">
        <f>'BOM 04 22Master'!#REF!</f>
        <v>#REF!</v>
      </c>
      <c r="I71" s="744"/>
      <c r="J71" s="744"/>
      <c r="K71" s="744"/>
      <c r="L71" s="745"/>
    </row>
    <row r="72" spans="1:12">
      <c r="A72" s="61"/>
      <c r="B72" s="755" t="s">
        <v>189</v>
      </c>
      <c r="C72" s="755"/>
      <c r="D72" s="755"/>
      <c r="E72" s="755"/>
      <c r="F72" s="755"/>
      <c r="G72" s="755"/>
      <c r="H72" s="743" t="e">
        <f>'BOM 04 22Master'!#REF!</f>
        <v>#REF!</v>
      </c>
      <c r="I72" s="744"/>
      <c r="J72" s="744"/>
      <c r="K72" s="744"/>
      <c r="L72" s="745"/>
    </row>
    <row r="73" spans="1:12">
      <c r="A73" s="61"/>
      <c r="B73" s="742" t="s">
        <v>190</v>
      </c>
      <c r="C73" s="742"/>
      <c r="D73" s="742"/>
      <c r="E73" s="742"/>
      <c r="F73" s="742"/>
      <c r="G73" s="742"/>
      <c r="H73" s="743" t="e">
        <f>'BOM 04 22Master'!#REF!</f>
        <v>#REF!</v>
      </c>
      <c r="I73" s="744"/>
      <c r="J73" s="744"/>
      <c r="K73" s="744"/>
      <c r="L73" s="745"/>
    </row>
    <row r="74" spans="1:12">
      <c r="A74" s="61"/>
      <c r="B74" s="742" t="s">
        <v>191</v>
      </c>
      <c r="C74" s="742"/>
      <c r="D74" s="742"/>
      <c r="E74" s="742"/>
      <c r="F74" s="742"/>
      <c r="G74" s="742"/>
      <c r="H74" s="916" t="e">
        <f>'BOM 04 22Master'!#REF!</f>
        <v>#REF!</v>
      </c>
      <c r="I74" s="744"/>
      <c r="J74" s="744"/>
      <c r="K74" s="744"/>
      <c r="L74" s="745"/>
    </row>
    <row r="75" spans="1:12">
      <c r="A75" s="61"/>
      <c r="B75" s="62" t="s">
        <v>192</v>
      </c>
      <c r="C75" s="63"/>
      <c r="D75" s="63"/>
      <c r="E75" s="63"/>
      <c r="F75" s="63"/>
      <c r="G75" s="63"/>
      <c r="H75" s="913" t="s">
        <v>193</v>
      </c>
      <c r="I75" s="914"/>
      <c r="J75" s="914"/>
      <c r="K75" s="914"/>
      <c r="L75" s="915"/>
    </row>
    <row r="76" spans="1:12">
      <c r="A76" s="61"/>
      <c r="B76" s="62" t="s">
        <v>194</v>
      </c>
      <c r="C76" s="63"/>
      <c r="D76" s="63"/>
      <c r="E76" s="63"/>
      <c r="F76" s="63"/>
      <c r="G76" s="63"/>
      <c r="H76" s="64"/>
      <c r="I76" s="66"/>
      <c r="J76" s="167"/>
      <c r="K76" s="66"/>
      <c r="L76" s="71"/>
    </row>
    <row r="77" spans="1:12">
      <c r="A77" s="61"/>
      <c r="B77" s="749" t="s">
        <v>195</v>
      </c>
      <c r="C77" s="749"/>
      <c r="D77" s="749"/>
      <c r="E77" s="749"/>
      <c r="F77" s="749"/>
      <c r="G77" s="749"/>
      <c r="H77" s="750" t="e">
        <f>'BOM 04 22Master'!#REF!</f>
        <v>#REF!</v>
      </c>
      <c r="I77" s="751"/>
      <c r="J77" s="751"/>
      <c r="K77" s="751"/>
      <c r="L77" s="752"/>
    </row>
    <row r="78" spans="1:12">
      <c r="A78" s="61"/>
      <c r="B78" s="742"/>
      <c r="C78" s="742"/>
      <c r="D78" s="742"/>
      <c r="E78" s="742"/>
      <c r="F78" s="742"/>
      <c r="G78" s="742"/>
      <c r="H78" s="766" t="e">
        <f>'BOM 04 22Master'!#REF!</f>
        <v>#REF!</v>
      </c>
      <c r="I78" s="744"/>
      <c r="J78" s="744"/>
      <c r="K78" s="744"/>
      <c r="L78" s="745"/>
    </row>
    <row r="79" spans="1:12">
      <c r="A79" s="13"/>
      <c r="B79" s="742"/>
      <c r="C79" s="742"/>
      <c r="D79" s="742"/>
      <c r="E79" s="742"/>
      <c r="F79" s="742"/>
      <c r="G79" s="742"/>
      <c r="H79" s="743" t="e">
        <f>'BOM 04 22Master'!#REF!</f>
        <v>#REF!</v>
      </c>
      <c r="I79" s="744"/>
      <c r="J79" s="744"/>
      <c r="K79" s="744"/>
      <c r="L79" s="745"/>
    </row>
    <row r="80" spans="1:12" ht="15" customHeight="1">
      <c r="A80" s="13"/>
      <c r="B80" s="62" t="s">
        <v>196</v>
      </c>
      <c r="C80" s="63"/>
      <c r="D80" s="63"/>
      <c r="E80" s="63"/>
      <c r="F80" s="63"/>
      <c r="G80" s="67"/>
      <c r="H80" s="906" t="e">
        <f>'BOM 04 22Master'!#REF!</f>
        <v>#REF!</v>
      </c>
      <c r="I80" s="779"/>
      <c r="J80" s="779"/>
      <c r="K80" s="779"/>
      <c r="L80" s="907"/>
    </row>
    <row r="81" spans="1:12">
      <c r="A81" s="13"/>
      <c r="B81" s="62"/>
      <c r="C81" s="63"/>
      <c r="D81" s="63"/>
      <c r="E81" s="63"/>
      <c r="F81" s="63"/>
      <c r="G81" s="67"/>
      <c r="H81" s="906" t="e">
        <f>'BOM 04 22Master'!#REF!</f>
        <v>#REF!</v>
      </c>
      <c r="I81" s="779"/>
      <c r="J81" s="779"/>
      <c r="K81" s="779"/>
      <c r="L81" s="907"/>
    </row>
    <row r="82" spans="1:12">
      <c r="A82" s="13"/>
      <c r="B82" s="62"/>
      <c r="C82" s="63"/>
      <c r="D82" s="63"/>
      <c r="E82" s="63"/>
      <c r="F82" s="63"/>
      <c r="G82" s="67"/>
      <c r="H82" s="906" t="e">
        <f>'BOM 04 22Master'!#REF!</f>
        <v>#REF!</v>
      </c>
      <c r="I82" s="779"/>
      <c r="J82" s="779"/>
      <c r="K82" s="779"/>
      <c r="L82" s="907"/>
    </row>
    <row r="83" spans="1:12">
      <c r="A83" s="13"/>
      <c r="B83" s="62" t="s">
        <v>203</v>
      </c>
      <c r="C83" s="63"/>
      <c r="D83" s="63"/>
      <c r="E83" s="63"/>
      <c r="F83" s="63"/>
      <c r="G83" s="67"/>
      <c r="H83" s="64"/>
      <c r="I83" s="66"/>
      <c r="J83" s="66"/>
      <c r="K83" s="66"/>
      <c r="L83" s="71"/>
    </row>
    <row r="84" spans="1:12">
      <c r="A84" s="13"/>
      <c r="B84" s="74" t="s">
        <v>204</v>
      </c>
      <c r="C84" s="148"/>
      <c r="D84" s="148"/>
      <c r="E84" s="148"/>
      <c r="F84" s="148"/>
      <c r="G84" s="149"/>
      <c r="H84" s="150"/>
      <c r="I84" s="151"/>
      <c r="J84" s="152"/>
      <c r="K84" s="151"/>
      <c r="L84" s="153"/>
    </row>
    <row r="85" spans="1:12" ht="45">
      <c r="A85" s="13"/>
      <c r="B85" s="62" t="s">
        <v>207</v>
      </c>
      <c r="C85" s="63"/>
      <c r="D85" s="66"/>
      <c r="E85" s="160" t="s">
        <v>209</v>
      </c>
      <c r="F85" s="45"/>
      <c r="G85" s="908" t="s">
        <v>208</v>
      </c>
      <c r="H85" s="909"/>
      <c r="I85" s="164" t="s">
        <v>205</v>
      </c>
      <c r="J85" s="162" t="s">
        <v>210</v>
      </c>
      <c r="K85" s="908" t="s">
        <v>206</v>
      </c>
      <c r="L85" s="910"/>
    </row>
    <row r="86" spans="1:12">
      <c r="A86" s="13"/>
      <c r="B86" s="163">
        <v>1</v>
      </c>
      <c r="C86" s="63"/>
      <c r="D86" s="63"/>
      <c r="E86" s="166">
        <v>2</v>
      </c>
      <c r="F86" s="67"/>
      <c r="G86" s="166">
        <v>3</v>
      </c>
      <c r="H86" s="182"/>
      <c r="I86" s="182">
        <v>4</v>
      </c>
      <c r="J86" s="85">
        <v>5</v>
      </c>
      <c r="K86" s="69"/>
      <c r="L86" s="70">
        <v>6</v>
      </c>
    </row>
    <row r="87" spans="1:12">
      <c r="A87" s="13"/>
      <c r="B87" s="280" t="e">
        <f>'BOM 04 22Master'!#REF!</f>
        <v>#REF!</v>
      </c>
      <c r="C87" s="178"/>
      <c r="D87" s="179"/>
      <c r="E87" s="181" t="s">
        <v>366</v>
      </c>
      <c r="F87" s="179"/>
      <c r="G87" s="181" t="s">
        <v>367</v>
      </c>
      <c r="H87" s="45"/>
      <c r="I87" s="11" t="s">
        <v>368</v>
      </c>
      <c r="J87" s="279">
        <v>1</v>
      </c>
      <c r="K87" s="911" t="s">
        <v>37</v>
      </c>
      <c r="L87" s="917"/>
    </row>
    <row r="88" spans="1:12">
      <c r="A88" s="13"/>
      <c r="B88" s="62"/>
      <c r="C88" s="178"/>
      <c r="D88" s="179"/>
      <c r="E88" s="180"/>
      <c r="F88" s="179"/>
      <c r="G88" s="180"/>
      <c r="H88" s="45"/>
      <c r="I88" s="11"/>
      <c r="J88" s="11"/>
      <c r="K88" s="181"/>
      <c r="L88" s="45"/>
    </row>
    <row r="89" spans="1:12">
      <c r="A89" s="13"/>
      <c r="B89" s="62"/>
      <c r="C89" s="178"/>
      <c r="D89" s="179"/>
      <c r="E89" s="180"/>
      <c r="F89" s="179"/>
      <c r="G89" s="180"/>
      <c r="H89" s="45"/>
      <c r="I89" s="11"/>
      <c r="J89" s="11"/>
      <c r="K89" s="181"/>
      <c r="L89" s="45"/>
    </row>
    <row r="90" spans="1:12">
      <c r="A90" s="13"/>
      <c r="B90" s="48"/>
      <c r="C90" s="17"/>
      <c r="D90" s="49"/>
      <c r="E90" s="180"/>
      <c r="F90" s="179"/>
      <c r="G90" s="180"/>
      <c r="H90" s="45"/>
      <c r="I90" s="11"/>
      <c r="J90" s="11"/>
      <c r="K90" s="181"/>
      <c r="L90" s="45"/>
    </row>
    <row r="91" spans="1:12">
      <c r="A91" s="13"/>
      <c r="B91" t="s">
        <v>211</v>
      </c>
      <c r="L91" s="14"/>
    </row>
    <row r="92" spans="1:12">
      <c r="A92" s="13"/>
      <c r="B92" t="s">
        <v>212</v>
      </c>
      <c r="L92" s="14"/>
    </row>
    <row r="93" spans="1:12">
      <c r="A93" s="13"/>
      <c r="B93" t="s">
        <v>213</v>
      </c>
      <c r="L93" s="14"/>
    </row>
    <row r="94" spans="1:12">
      <c r="A94" s="13"/>
      <c r="L94" s="14"/>
    </row>
    <row r="95" spans="1:12" ht="27.95" customHeight="1">
      <c r="A95" s="13"/>
      <c r="I95" t="s">
        <v>214</v>
      </c>
      <c r="L95" s="14"/>
    </row>
    <row r="96" spans="1:12" ht="27.95" customHeight="1">
      <c r="A96" s="13"/>
      <c r="F96" s="168" t="s">
        <v>197</v>
      </c>
      <c r="L96" s="14"/>
    </row>
    <row r="97" spans="1:12" ht="27.95" customHeight="1">
      <c r="A97" s="13" t="s">
        <v>198</v>
      </c>
      <c r="K97" s="218" t="e">
        <f>'BOM 04 22Master'!#REF!</f>
        <v>#REF!</v>
      </c>
      <c r="L97" s="14"/>
    </row>
    <row r="98" spans="1:12" ht="27.95" customHeight="1">
      <c r="A98" s="13" t="s">
        <v>199</v>
      </c>
      <c r="L98" s="14"/>
    </row>
    <row r="99" spans="1:12" ht="27.95" customHeight="1">
      <c r="A99" s="13"/>
      <c r="L99" s="14"/>
    </row>
    <row r="100" spans="1:12" ht="27.95" customHeight="1">
      <c r="A100" s="13"/>
      <c r="L100" s="14"/>
    </row>
    <row r="101" spans="1:12" ht="27.95" customHeight="1">
      <c r="A101" s="13"/>
      <c r="F101" t="s">
        <v>200</v>
      </c>
      <c r="L101" s="14"/>
    </row>
    <row r="102" spans="1:12" ht="27.95" customHeight="1">
      <c r="A102" s="13" t="s">
        <v>201</v>
      </c>
      <c r="B102" t="s">
        <v>365</v>
      </c>
      <c r="F102" t="str">
        <f>'BOM 04 22Master'!F5</f>
        <v>Burgeon IT Services Pvt.Ltd.</v>
      </c>
      <c r="L102" s="14"/>
    </row>
    <row r="103" spans="1:12" ht="27.95" customHeight="1">
      <c r="A103" s="13" t="s">
        <v>202</v>
      </c>
      <c r="B103" s="278" t="e">
        <f>'BOM 04 22Master'!#REF!</f>
        <v>#REF!</v>
      </c>
      <c r="F103" t="str">
        <f>'BOM 04 22Master'!F6</f>
        <v>Siri Mansion LIGB 436 Dr.A S Rao Nagar,Hyderabad</v>
      </c>
      <c r="L103" s="14"/>
    </row>
    <row r="104" spans="1:12" ht="27.95" customHeight="1" thickBot="1">
      <c r="A104" s="25"/>
      <c r="B104" s="23"/>
      <c r="C104" s="23"/>
      <c r="D104" s="23"/>
      <c r="E104" s="23"/>
      <c r="F104" s="23"/>
      <c r="G104" s="23"/>
      <c r="H104" s="23"/>
      <c r="I104" s="23"/>
      <c r="J104" s="23"/>
      <c r="K104" s="23"/>
      <c r="L104" s="24"/>
    </row>
    <row r="105" spans="1:12" ht="27.95" customHeight="1">
      <c r="B105" s="169"/>
      <c r="C105" s="165"/>
      <c r="D105" s="165"/>
      <c r="E105" s="165"/>
      <c r="F105" s="165"/>
      <c r="G105" s="165"/>
      <c r="H105" s="899"/>
      <c r="I105" s="900"/>
      <c r="J105" s="900"/>
      <c r="K105" s="900"/>
      <c r="L105" s="900"/>
    </row>
    <row r="106" spans="1:12" ht="27.95" customHeight="1" thickBot="1">
      <c r="B106" s="169"/>
      <c r="C106" s="165"/>
      <c r="D106" s="165"/>
      <c r="E106" s="165"/>
      <c r="F106" s="165"/>
      <c r="G106" s="165"/>
      <c r="H106" s="899"/>
      <c r="I106" s="900"/>
      <c r="J106" s="900"/>
      <c r="K106" s="900"/>
      <c r="L106" s="900"/>
    </row>
    <row r="107" spans="1:12" ht="27.95" customHeight="1">
      <c r="A107" s="50"/>
      <c r="B107" s="756" t="s">
        <v>185</v>
      </c>
      <c r="C107" s="757"/>
      <c r="D107" s="757"/>
      <c r="E107" s="757"/>
      <c r="F107" s="757"/>
      <c r="G107" s="757"/>
      <c r="H107" s="757"/>
      <c r="I107" s="757"/>
      <c r="J107" s="757"/>
      <c r="K107" s="757"/>
      <c r="L107" s="758"/>
    </row>
    <row r="108" spans="1:12" ht="27.95" customHeight="1">
      <c r="A108" s="13"/>
      <c r="B108" s="759" t="s">
        <v>186</v>
      </c>
      <c r="C108" s="759"/>
      <c r="D108" s="759"/>
      <c r="E108" s="759"/>
      <c r="F108" s="759"/>
      <c r="G108" s="759"/>
      <c r="H108" s="759"/>
      <c r="I108" s="759"/>
      <c r="J108" s="759"/>
      <c r="K108" s="759"/>
      <c r="L108" s="760"/>
    </row>
    <row r="109" spans="1:12" ht="27.95" customHeight="1" thickBot="1">
      <c r="A109" s="25"/>
      <c r="B109" s="761" t="s">
        <v>187</v>
      </c>
      <c r="C109" s="761"/>
      <c r="D109" s="761"/>
      <c r="E109" s="761"/>
      <c r="F109" s="761"/>
      <c r="G109" s="761"/>
      <c r="H109" s="761"/>
      <c r="I109" s="761"/>
      <c r="J109" s="761"/>
      <c r="K109" s="761"/>
      <c r="L109" s="762"/>
    </row>
    <row r="110" spans="1:12" ht="27.95" customHeight="1">
      <c r="A110" s="13"/>
      <c r="B110" s="763" t="s">
        <v>112</v>
      </c>
      <c r="C110" s="763"/>
      <c r="D110" s="763"/>
      <c r="E110" s="763"/>
      <c r="F110" s="763"/>
      <c r="H110" s="764" t="s">
        <v>113</v>
      </c>
      <c r="I110" s="764"/>
      <c r="J110" s="764"/>
      <c r="K110" s="764"/>
      <c r="L110" s="765"/>
    </row>
    <row r="111" spans="1:12" ht="27.95" customHeight="1" thickBot="1">
      <c r="A111" s="13"/>
      <c r="B111" s="763"/>
      <c r="C111" s="763"/>
      <c r="D111" s="763"/>
      <c r="E111" s="763"/>
      <c r="F111" s="763"/>
      <c r="H111" s="764"/>
      <c r="I111" s="764"/>
      <c r="J111" s="764"/>
      <c r="K111" s="764"/>
      <c r="L111" s="765"/>
    </row>
    <row r="112" spans="1:12" ht="27.95" customHeight="1">
      <c r="A112" s="13"/>
      <c r="B112" s="50"/>
      <c r="C112" s="51"/>
      <c r="D112" s="51"/>
      <c r="E112" s="51"/>
      <c r="F112" s="52"/>
      <c r="H112" s="50"/>
      <c r="I112" s="51"/>
      <c r="J112" s="51"/>
      <c r="K112" s="51"/>
      <c r="L112" s="52"/>
    </row>
    <row r="113" spans="1:12">
      <c r="A113" s="13"/>
      <c r="B113" s="53" t="str">
        <f>'BOM 04 22Master'!F5</f>
        <v>Burgeon IT Services Pvt.Ltd.</v>
      </c>
      <c r="F113" s="14"/>
      <c r="H113" s="53" t="str">
        <f>'BOM 04 22Master'!AP5</f>
        <v>Burgeon IT Services Pvt.Ltd.</v>
      </c>
      <c r="L113" s="14"/>
    </row>
    <row r="114" spans="1:12">
      <c r="A114" s="13"/>
      <c r="B114" s="13"/>
      <c r="F114" s="14"/>
      <c r="H114" s="13"/>
      <c r="L114" s="14"/>
    </row>
    <row r="115" spans="1:12">
      <c r="A115" s="13"/>
      <c r="B115" s="53" t="str">
        <f>'BOM 04 22Master'!F6</f>
        <v>Siri Mansion LIGB 436 Dr.A S Rao Nagar,Hyderabad</v>
      </c>
      <c r="F115" s="14"/>
      <c r="H115" s="53" t="str">
        <f>'BOM 04 22Master'!AP6</f>
        <v>Siri Mansion LIGB 436 Dr.A S Rao Nagar,Hyderabad</v>
      </c>
      <c r="L115" s="14"/>
    </row>
    <row r="116" spans="1:12" ht="15.75" thickBot="1">
      <c r="A116" s="13"/>
      <c r="B116" s="25"/>
      <c r="C116" s="23"/>
      <c r="D116" s="23"/>
      <c r="E116" s="23"/>
      <c r="F116" s="24"/>
      <c r="H116" s="25"/>
      <c r="I116" s="23"/>
      <c r="J116" s="23"/>
      <c r="K116" s="23"/>
      <c r="L116" s="24"/>
    </row>
    <row r="117" spans="1:12">
      <c r="A117" s="13"/>
      <c r="J117" t="s">
        <v>114</v>
      </c>
      <c r="L117" s="14"/>
    </row>
    <row r="118" spans="1:12">
      <c r="A118" s="13"/>
      <c r="B118" s="753" t="s">
        <v>115</v>
      </c>
      <c r="C118" s="753"/>
      <c r="D118" s="753"/>
      <c r="E118" s="753"/>
      <c r="F118" s="753"/>
      <c r="H118" s="753" t="s">
        <v>4</v>
      </c>
      <c r="I118" s="753"/>
      <c r="J118" s="753"/>
      <c r="K118" s="753"/>
      <c r="L118" s="754"/>
    </row>
    <row r="119" spans="1:12" ht="15.75" thickBot="1">
      <c r="A119" s="13"/>
      <c r="L119" s="14"/>
    </row>
    <row r="120" spans="1:12">
      <c r="A120" s="13"/>
      <c r="B120" s="50"/>
      <c r="C120" s="51"/>
      <c r="D120" s="51"/>
      <c r="E120" s="51"/>
      <c r="F120" s="52"/>
      <c r="H120" s="54"/>
      <c r="I120" s="55"/>
      <c r="J120" s="55"/>
      <c r="K120" s="55"/>
      <c r="L120" s="56"/>
    </row>
    <row r="121" spans="1:12">
      <c r="A121" s="13"/>
      <c r="B121" s="13"/>
      <c r="F121" s="14"/>
      <c r="H121" s="53" t="str">
        <f>'BOM 04 22Master'!AP10</f>
        <v>INFOSYS  LTD.85-C Mittal Towers</v>
      </c>
      <c r="I121" s="2"/>
      <c r="J121" s="2"/>
      <c r="K121" s="2"/>
      <c r="L121" s="57"/>
    </row>
    <row r="122" spans="1:12">
      <c r="A122" s="13"/>
      <c r="B122" s="53" t="str">
        <f>'BOM 04 22Master'!F8</f>
        <v>IT SUPPORTIVE SERVICES&amp;MUMBAI</v>
      </c>
      <c r="F122" s="14"/>
      <c r="H122" s="53"/>
      <c r="I122" s="2"/>
      <c r="J122" s="2"/>
      <c r="K122" s="2"/>
      <c r="L122" s="57"/>
    </row>
    <row r="123" spans="1:12">
      <c r="A123" s="13"/>
      <c r="B123" s="13"/>
      <c r="F123" s="14"/>
      <c r="H123" s="53" t="str">
        <f>'BOM 04 22Master'!AP11</f>
        <v>8th flour Nariman Point,Maharashtra,400021</v>
      </c>
      <c r="I123" s="2"/>
      <c r="J123" s="2"/>
      <c r="K123" s="2"/>
      <c r="L123" s="57"/>
    </row>
    <row r="124" spans="1:12" ht="15.75" thickBot="1">
      <c r="A124" s="13"/>
      <c r="B124" s="25"/>
      <c r="C124" s="23"/>
      <c r="D124" s="23"/>
      <c r="E124" s="23"/>
      <c r="F124" s="24"/>
      <c r="H124" s="58"/>
      <c r="I124" s="59"/>
      <c r="J124" s="59"/>
      <c r="K124" s="59"/>
      <c r="L124" s="60"/>
    </row>
    <row r="125" spans="1:12">
      <c r="A125" s="61"/>
      <c r="B125" s="742" t="s">
        <v>188</v>
      </c>
      <c r="C125" s="742"/>
      <c r="D125" s="742"/>
      <c r="E125" s="742"/>
      <c r="F125" s="742"/>
      <c r="G125" s="742"/>
      <c r="H125" s="743" t="e">
        <f>'BOM 04 22Master'!#REF!</f>
        <v>#REF!</v>
      </c>
      <c r="I125" s="744"/>
      <c r="J125" s="744"/>
      <c r="K125" s="744"/>
      <c r="L125" s="745"/>
    </row>
    <row r="126" spans="1:12">
      <c r="A126" s="61"/>
      <c r="B126" s="755" t="s">
        <v>189</v>
      </c>
      <c r="C126" s="755"/>
      <c r="D126" s="755"/>
      <c r="E126" s="755"/>
      <c r="F126" s="755"/>
      <c r="G126" s="755"/>
      <c r="H126" s="743" t="e">
        <f>'BOM 04 22Master'!#REF!</f>
        <v>#REF!</v>
      </c>
      <c r="I126" s="744"/>
      <c r="J126" s="744"/>
      <c r="K126" s="744"/>
      <c r="L126" s="745"/>
    </row>
    <row r="127" spans="1:12">
      <c r="A127" s="61"/>
      <c r="B127" s="742" t="s">
        <v>190</v>
      </c>
      <c r="C127" s="742"/>
      <c r="D127" s="742"/>
      <c r="E127" s="742"/>
      <c r="F127" s="742"/>
      <c r="G127" s="742"/>
      <c r="H127" s="743" t="e">
        <f>'BOM 04 22Master'!#REF!</f>
        <v>#REF!</v>
      </c>
      <c r="I127" s="744"/>
      <c r="J127" s="744"/>
      <c r="K127" s="744"/>
      <c r="L127" s="745"/>
    </row>
    <row r="128" spans="1:12">
      <c r="A128" s="61"/>
      <c r="B128" s="742" t="s">
        <v>191</v>
      </c>
      <c r="C128" s="742"/>
      <c r="D128" s="742"/>
      <c r="E128" s="742"/>
      <c r="F128" s="742"/>
      <c r="G128" s="742"/>
      <c r="H128" s="916" t="e">
        <f>'BOM 04 22Master'!#REF!</f>
        <v>#REF!</v>
      </c>
      <c r="I128" s="744"/>
      <c r="J128" s="744"/>
      <c r="K128" s="744"/>
      <c r="L128" s="745"/>
    </row>
    <row r="129" spans="1:12">
      <c r="A129" s="61"/>
      <c r="B129" s="62" t="s">
        <v>192</v>
      </c>
      <c r="C129" s="63"/>
      <c r="D129" s="63"/>
      <c r="E129" s="63"/>
      <c r="F129" s="63"/>
      <c r="G129" s="63"/>
      <c r="H129" s="913" t="s">
        <v>193</v>
      </c>
      <c r="I129" s="914"/>
      <c r="J129" s="914"/>
      <c r="K129" s="914"/>
      <c r="L129" s="915"/>
    </row>
    <row r="130" spans="1:12">
      <c r="A130" s="61"/>
      <c r="B130" s="62" t="s">
        <v>194</v>
      </c>
      <c r="C130" s="63"/>
      <c r="D130" s="63"/>
      <c r="E130" s="63"/>
      <c r="F130" s="63"/>
      <c r="G130" s="63"/>
      <c r="H130" s="64"/>
      <c r="I130" s="66"/>
      <c r="J130" s="167"/>
      <c r="K130" s="66"/>
      <c r="L130" s="71"/>
    </row>
    <row r="131" spans="1:12">
      <c r="A131" s="61"/>
      <c r="B131" s="749" t="s">
        <v>195</v>
      </c>
      <c r="C131" s="749"/>
      <c r="D131" s="749"/>
      <c r="E131" s="749"/>
      <c r="F131" s="749"/>
      <c r="G131" s="749"/>
      <c r="H131" s="750" t="e">
        <f>'BOM 04 22Master'!#REF!</f>
        <v>#REF!</v>
      </c>
      <c r="I131" s="751"/>
      <c r="J131" s="751"/>
      <c r="K131" s="751"/>
      <c r="L131" s="752"/>
    </row>
    <row r="132" spans="1:12">
      <c r="A132" s="61"/>
      <c r="B132" s="742"/>
      <c r="C132" s="742"/>
      <c r="D132" s="742"/>
      <c r="E132" s="742"/>
      <c r="F132" s="742"/>
      <c r="G132" s="742"/>
      <c r="H132" s="766" t="e">
        <f>'BOM 04 22Master'!#REF!</f>
        <v>#REF!</v>
      </c>
      <c r="I132" s="744"/>
      <c r="J132" s="744"/>
      <c r="K132" s="744"/>
      <c r="L132" s="745"/>
    </row>
    <row r="133" spans="1:12">
      <c r="A133" s="13"/>
      <c r="B133" s="742"/>
      <c r="C133" s="742"/>
      <c r="D133" s="742"/>
      <c r="E133" s="742"/>
      <c r="F133" s="742"/>
      <c r="G133" s="742"/>
      <c r="H133" s="743" t="e">
        <f>'BOM 04 22Master'!#REF!</f>
        <v>#REF!</v>
      </c>
      <c r="I133" s="744"/>
      <c r="J133" s="744"/>
      <c r="K133" s="744"/>
      <c r="L133" s="745"/>
    </row>
    <row r="134" spans="1:12">
      <c r="A134" s="13"/>
      <c r="B134" s="62" t="s">
        <v>196</v>
      </c>
      <c r="C134" s="63"/>
      <c r="D134" s="63"/>
      <c r="E134" s="63"/>
      <c r="F134" s="63"/>
      <c r="G134" s="67"/>
      <c r="H134" s="906" t="e">
        <f>'BOM 04 22Master'!#REF!</f>
        <v>#REF!</v>
      </c>
      <c r="I134" s="779"/>
      <c r="J134" s="779"/>
      <c r="K134" s="779"/>
      <c r="L134" s="907"/>
    </row>
    <row r="135" spans="1:12">
      <c r="A135" s="13"/>
      <c r="B135" s="62"/>
      <c r="C135" s="63"/>
      <c r="D135" s="63"/>
      <c r="E135" s="63"/>
      <c r="F135" s="63"/>
      <c r="G135" s="67"/>
      <c r="H135" s="906" t="e">
        <f>'BOM 04 22Master'!#REF!</f>
        <v>#REF!</v>
      </c>
      <c r="I135" s="779"/>
      <c r="J135" s="779"/>
      <c r="K135" s="779"/>
      <c r="L135" s="907"/>
    </row>
    <row r="136" spans="1:12">
      <c r="A136" s="13"/>
      <c r="B136" s="62"/>
      <c r="C136" s="63"/>
      <c r="D136" s="63"/>
      <c r="E136" s="63"/>
      <c r="F136" s="63"/>
      <c r="G136" s="67"/>
      <c r="H136" s="906" t="e">
        <f>'BOM 04 22Master'!#REF!</f>
        <v>#REF!</v>
      </c>
      <c r="I136" s="779"/>
      <c r="J136" s="779"/>
      <c r="K136" s="779"/>
      <c r="L136" s="907"/>
    </row>
    <row r="137" spans="1:12">
      <c r="A137" s="13"/>
      <c r="B137" s="62" t="s">
        <v>203</v>
      </c>
      <c r="C137" s="63"/>
      <c r="D137" s="63"/>
      <c r="E137" s="63"/>
      <c r="F137" s="63"/>
      <c r="G137" s="67"/>
      <c r="H137" s="64"/>
      <c r="I137" s="66"/>
      <c r="J137" s="66"/>
      <c r="K137" s="66"/>
      <c r="L137" s="71"/>
    </row>
    <row r="138" spans="1:12">
      <c r="A138" s="13"/>
      <c r="B138" s="74" t="s">
        <v>204</v>
      </c>
      <c r="C138" s="148"/>
      <c r="D138" s="148"/>
      <c r="E138" s="148"/>
      <c r="F138" s="148"/>
      <c r="G138" s="149"/>
      <c r="H138" s="150"/>
      <c r="I138" s="151"/>
      <c r="J138" s="152"/>
      <c r="K138" s="151"/>
      <c r="L138" s="153"/>
    </row>
    <row r="139" spans="1:12" ht="45">
      <c r="A139" s="13"/>
      <c r="B139" s="62" t="s">
        <v>207</v>
      </c>
      <c r="C139" s="63"/>
      <c r="D139" s="66"/>
      <c r="E139" s="160" t="s">
        <v>209</v>
      </c>
      <c r="F139" s="45"/>
      <c r="G139" s="908" t="s">
        <v>208</v>
      </c>
      <c r="H139" s="909"/>
      <c r="I139" s="164" t="s">
        <v>205</v>
      </c>
      <c r="J139" s="162" t="s">
        <v>210</v>
      </c>
      <c r="K139" s="908" t="s">
        <v>206</v>
      </c>
      <c r="L139" s="910"/>
    </row>
    <row r="140" spans="1:12">
      <c r="A140" s="13"/>
      <c r="B140" s="163">
        <v>1</v>
      </c>
      <c r="C140" s="63"/>
      <c r="D140" s="63"/>
      <c r="E140" s="166">
        <v>2</v>
      </c>
      <c r="F140" s="67"/>
      <c r="G140" s="166">
        <v>3</v>
      </c>
      <c r="H140" s="182"/>
      <c r="I140" s="182">
        <v>4</v>
      </c>
      <c r="J140" s="85">
        <v>5</v>
      </c>
      <c r="K140" s="69"/>
      <c r="L140" s="70">
        <v>6</v>
      </c>
    </row>
    <row r="141" spans="1:12">
      <c r="A141" s="13"/>
      <c r="B141" s="280" t="e">
        <f>'BOM 04 22Master'!#REF!</f>
        <v>#REF!</v>
      </c>
      <c r="C141" s="178"/>
      <c r="D141" s="179"/>
      <c r="E141" s="181" t="s">
        <v>366</v>
      </c>
      <c r="F141" s="179"/>
      <c r="G141" s="181" t="s">
        <v>367</v>
      </c>
      <c r="H141" s="45"/>
      <c r="I141" s="11" t="s">
        <v>368</v>
      </c>
      <c r="J141" s="279">
        <v>1</v>
      </c>
      <c r="K141" s="911" t="s">
        <v>37</v>
      </c>
      <c r="L141" s="917"/>
    </row>
    <row r="142" spans="1:12">
      <c r="A142" s="13"/>
      <c r="B142" s="62"/>
      <c r="C142" s="178"/>
      <c r="D142" s="179"/>
      <c r="E142" s="180"/>
      <c r="F142" s="179"/>
      <c r="G142" s="180"/>
      <c r="H142" s="45"/>
      <c r="I142" s="11"/>
      <c r="J142" s="11"/>
      <c r="K142" s="181"/>
      <c r="L142" s="45"/>
    </row>
    <row r="143" spans="1:12">
      <c r="A143" s="13"/>
      <c r="B143" s="62"/>
      <c r="C143" s="178"/>
      <c r="D143" s="179"/>
      <c r="E143" s="180"/>
      <c r="F143" s="179"/>
      <c r="G143" s="180"/>
      <c r="H143" s="45"/>
      <c r="I143" s="11"/>
      <c r="J143" s="11"/>
      <c r="K143" s="181"/>
      <c r="L143" s="45"/>
    </row>
    <row r="144" spans="1:12">
      <c r="A144" s="13"/>
      <c r="B144" s="48"/>
      <c r="C144" s="17"/>
      <c r="D144" s="49"/>
      <c r="E144" s="180"/>
      <c r="F144" s="179"/>
      <c r="G144" s="180"/>
      <c r="H144" s="45"/>
      <c r="I144" s="11"/>
      <c r="J144" s="11"/>
      <c r="K144" s="181"/>
      <c r="L144" s="45"/>
    </row>
    <row r="145" spans="1:12">
      <c r="A145" s="13"/>
      <c r="B145" t="s">
        <v>211</v>
      </c>
      <c r="L145" s="14"/>
    </row>
    <row r="146" spans="1:12">
      <c r="A146" s="13"/>
      <c r="B146" t="s">
        <v>212</v>
      </c>
      <c r="L146" s="14"/>
    </row>
    <row r="147" spans="1:12">
      <c r="A147" s="13"/>
      <c r="B147" t="s">
        <v>213</v>
      </c>
      <c r="L147" s="14"/>
    </row>
    <row r="148" spans="1:12" ht="27.95" customHeight="1">
      <c r="A148" s="13"/>
      <c r="L148" s="14"/>
    </row>
    <row r="149" spans="1:12" ht="27.95" customHeight="1">
      <c r="A149" s="13"/>
      <c r="I149" t="s">
        <v>214</v>
      </c>
      <c r="L149" s="14"/>
    </row>
    <row r="150" spans="1:12" ht="27.95" customHeight="1">
      <c r="A150" s="13"/>
      <c r="F150" s="168" t="s">
        <v>197</v>
      </c>
      <c r="L150" s="14"/>
    </row>
    <row r="151" spans="1:12" ht="27.95" customHeight="1">
      <c r="A151" s="13" t="s">
        <v>198</v>
      </c>
      <c r="K151" s="218" t="e">
        <f>'BOM 04 22Master'!#REF!</f>
        <v>#REF!</v>
      </c>
      <c r="L151" s="14"/>
    </row>
    <row r="152" spans="1:12" ht="27.95" customHeight="1">
      <c r="A152" s="13" t="s">
        <v>199</v>
      </c>
      <c r="L152" s="14"/>
    </row>
    <row r="153" spans="1:12" ht="27.95" customHeight="1">
      <c r="A153" s="13"/>
      <c r="L153" s="14"/>
    </row>
    <row r="154" spans="1:12" ht="27.95" customHeight="1">
      <c r="A154" s="13"/>
      <c r="L154" s="14"/>
    </row>
    <row r="155" spans="1:12" ht="27.95" customHeight="1">
      <c r="A155" s="13"/>
      <c r="F155" t="s">
        <v>200</v>
      </c>
      <c r="L155" s="14"/>
    </row>
    <row r="156" spans="1:12" ht="27.95" customHeight="1">
      <c r="A156" s="13" t="s">
        <v>201</v>
      </c>
      <c r="B156" t="s">
        <v>365</v>
      </c>
      <c r="F156" t="str">
        <f>'BOM 04 22Master'!F5</f>
        <v>Burgeon IT Services Pvt.Ltd.</v>
      </c>
      <c r="L156" s="14"/>
    </row>
    <row r="157" spans="1:12" ht="27.95" customHeight="1">
      <c r="A157" s="13" t="s">
        <v>202</v>
      </c>
      <c r="B157" s="278" t="e">
        <f>'BOM 04 22Master'!#REF!</f>
        <v>#REF!</v>
      </c>
      <c r="F157" t="str">
        <f>'BOM 04 22Master'!F6</f>
        <v>Siri Mansion LIGB 436 Dr.A S Rao Nagar,Hyderabad</v>
      </c>
      <c r="L157" s="14"/>
    </row>
    <row r="158" spans="1:12" ht="27.95" customHeight="1" thickBot="1">
      <c r="A158" s="25"/>
      <c r="B158" s="23"/>
      <c r="C158" s="23"/>
      <c r="D158" s="23"/>
      <c r="E158" s="23"/>
      <c r="F158" s="23"/>
      <c r="G158" s="23"/>
      <c r="H158" s="23"/>
      <c r="I158" s="23"/>
      <c r="J158" s="23"/>
      <c r="K158" s="23"/>
      <c r="L158" s="24"/>
    </row>
    <row r="159" spans="1:12" ht="27.95" customHeight="1" thickBot="1">
      <c r="B159" s="169"/>
      <c r="C159" s="165"/>
      <c r="D159" s="165"/>
      <c r="E159" s="165"/>
      <c r="F159" s="165"/>
      <c r="G159" s="165"/>
      <c r="H159" s="154"/>
      <c r="I159" s="154"/>
      <c r="J159" s="155"/>
      <c r="K159" s="154"/>
      <c r="L159" s="154"/>
    </row>
    <row r="160" spans="1:12" ht="27.95" customHeight="1">
      <c r="A160" s="50"/>
      <c r="B160" s="756" t="s">
        <v>185</v>
      </c>
      <c r="C160" s="757"/>
      <c r="D160" s="757"/>
      <c r="E160" s="757"/>
      <c r="F160" s="757"/>
      <c r="G160" s="757"/>
      <c r="H160" s="757"/>
      <c r="I160" s="757"/>
      <c r="J160" s="757"/>
      <c r="K160" s="757"/>
      <c r="L160" s="758"/>
    </row>
    <row r="161" spans="1:12" ht="27.95" customHeight="1">
      <c r="A161" s="13"/>
      <c r="B161" s="759" t="s">
        <v>186</v>
      </c>
      <c r="C161" s="759"/>
      <c r="D161" s="759"/>
      <c r="E161" s="759"/>
      <c r="F161" s="759"/>
      <c r="G161" s="759"/>
      <c r="H161" s="759"/>
      <c r="I161" s="759"/>
      <c r="J161" s="759"/>
      <c r="K161" s="759"/>
      <c r="L161" s="760"/>
    </row>
    <row r="162" spans="1:12" ht="27.95" customHeight="1" thickBot="1">
      <c r="A162" s="25"/>
      <c r="B162" s="761" t="s">
        <v>187</v>
      </c>
      <c r="C162" s="761"/>
      <c r="D162" s="761"/>
      <c r="E162" s="761"/>
      <c r="F162" s="761"/>
      <c r="G162" s="761"/>
      <c r="H162" s="761"/>
      <c r="I162" s="761"/>
      <c r="J162" s="761"/>
      <c r="K162" s="761"/>
      <c r="L162" s="762"/>
    </row>
    <row r="163" spans="1:12" ht="27.95" customHeight="1">
      <c r="A163" s="13"/>
      <c r="B163" s="763" t="s">
        <v>112</v>
      </c>
      <c r="C163" s="763"/>
      <c r="D163" s="763"/>
      <c r="E163" s="763"/>
      <c r="F163" s="763"/>
      <c r="H163" s="764" t="s">
        <v>113</v>
      </c>
      <c r="I163" s="764"/>
      <c r="J163" s="764"/>
      <c r="K163" s="764"/>
      <c r="L163" s="765"/>
    </row>
    <row r="164" spans="1:12" ht="27.95" customHeight="1" thickBot="1">
      <c r="A164" s="13"/>
      <c r="B164" s="763"/>
      <c r="C164" s="763"/>
      <c r="D164" s="763"/>
      <c r="E164" s="763"/>
      <c r="F164" s="763"/>
      <c r="H164" s="764"/>
      <c r="I164" s="764"/>
      <c r="J164" s="764"/>
      <c r="K164" s="764"/>
      <c r="L164" s="765"/>
    </row>
    <row r="165" spans="1:12" ht="27.95" customHeight="1">
      <c r="A165" s="13"/>
      <c r="B165" s="50"/>
      <c r="C165" s="51"/>
      <c r="D165" s="51"/>
      <c r="E165" s="51"/>
      <c r="F165" s="52"/>
      <c r="H165" s="50"/>
      <c r="I165" s="51"/>
      <c r="J165" s="51"/>
      <c r="K165" s="51"/>
      <c r="L165" s="52"/>
    </row>
    <row r="166" spans="1:12">
      <c r="A166" s="13"/>
      <c r="B166" s="53" t="str">
        <f>'BOM 04 22Master'!F5</f>
        <v>Burgeon IT Services Pvt.Ltd.</v>
      </c>
      <c r="F166" s="14"/>
      <c r="H166" s="53" t="str">
        <f>'BOM 04 22Master'!AP5</f>
        <v>Burgeon IT Services Pvt.Ltd.</v>
      </c>
      <c r="L166" s="14"/>
    </row>
    <row r="167" spans="1:12">
      <c r="A167" s="13"/>
      <c r="B167" s="13"/>
      <c r="F167" s="14"/>
      <c r="H167" s="13"/>
      <c r="L167" s="14"/>
    </row>
    <row r="168" spans="1:12">
      <c r="A168" s="13"/>
      <c r="B168" s="53" t="str">
        <f>'BOM 04 22Master'!F6</f>
        <v>Siri Mansion LIGB 436 Dr.A S Rao Nagar,Hyderabad</v>
      </c>
      <c r="F168" s="14"/>
      <c r="H168" s="53" t="str">
        <f>'BOM 04 22Master'!AP6</f>
        <v>Siri Mansion LIGB 436 Dr.A S Rao Nagar,Hyderabad</v>
      </c>
      <c r="L168" s="14"/>
    </row>
    <row r="169" spans="1:12" ht="15.75" thickBot="1">
      <c r="A169" s="13"/>
      <c r="B169" s="25"/>
      <c r="C169" s="23"/>
      <c r="D169" s="23"/>
      <c r="E169" s="23"/>
      <c r="F169" s="24"/>
      <c r="H169" s="25"/>
      <c r="I169" s="23"/>
      <c r="J169" s="23"/>
      <c r="K169" s="23"/>
      <c r="L169" s="24"/>
    </row>
    <row r="170" spans="1:12">
      <c r="A170" s="13"/>
      <c r="J170" t="s">
        <v>114</v>
      </c>
      <c r="L170" s="14"/>
    </row>
    <row r="171" spans="1:12">
      <c r="A171" s="13"/>
      <c r="B171" s="753" t="s">
        <v>115</v>
      </c>
      <c r="C171" s="753"/>
      <c r="D171" s="753"/>
      <c r="E171" s="753"/>
      <c r="F171" s="753"/>
      <c r="H171" s="753" t="s">
        <v>4</v>
      </c>
      <c r="I171" s="753"/>
      <c r="J171" s="753"/>
      <c r="K171" s="753"/>
      <c r="L171" s="754"/>
    </row>
    <row r="172" spans="1:12" ht="15.75" thickBot="1">
      <c r="A172" s="13"/>
      <c r="L172" s="14"/>
    </row>
    <row r="173" spans="1:12">
      <c r="A173" s="13"/>
      <c r="B173" s="50"/>
      <c r="C173" s="51"/>
      <c r="D173" s="51"/>
      <c r="E173" s="51"/>
      <c r="F173" s="52"/>
      <c r="H173" s="54"/>
      <c r="I173" s="55"/>
      <c r="J173" s="55"/>
      <c r="K173" s="55"/>
      <c r="L173" s="56"/>
    </row>
    <row r="174" spans="1:12">
      <c r="A174" s="13"/>
      <c r="B174" s="13"/>
      <c r="F174" s="14"/>
      <c r="H174" s="53" t="str">
        <f>'BOM 04 22Master'!AP10</f>
        <v>INFOSYS  LTD.85-C Mittal Towers</v>
      </c>
      <c r="I174" s="2"/>
      <c r="J174" s="2"/>
      <c r="K174" s="2"/>
      <c r="L174" s="57"/>
    </row>
    <row r="175" spans="1:12">
      <c r="A175" s="13"/>
      <c r="B175" s="53" t="str">
        <f>'BOM 04 22Master'!F8</f>
        <v>IT SUPPORTIVE SERVICES&amp;MUMBAI</v>
      </c>
      <c r="F175" s="14"/>
      <c r="H175" s="53"/>
      <c r="I175" s="2"/>
      <c r="J175" s="2"/>
      <c r="K175" s="2"/>
      <c r="L175" s="57"/>
    </row>
    <row r="176" spans="1:12">
      <c r="A176" s="13"/>
      <c r="B176" s="13"/>
      <c r="F176" s="14"/>
      <c r="H176" s="53" t="str">
        <f>'BOM 04 22Master'!AP11</f>
        <v>8th flour Nariman Point,Maharashtra,400021</v>
      </c>
      <c r="I176" s="2"/>
      <c r="J176" s="2"/>
      <c r="K176" s="2"/>
      <c r="L176" s="57"/>
    </row>
    <row r="177" spans="1:12" ht="15.75" thickBot="1">
      <c r="A177" s="13"/>
      <c r="B177" s="25"/>
      <c r="C177" s="23"/>
      <c r="D177" s="23"/>
      <c r="E177" s="23"/>
      <c r="F177" s="24"/>
      <c r="H177" s="58"/>
      <c r="I177" s="59"/>
      <c r="J177" s="59"/>
      <c r="K177" s="59"/>
      <c r="L177" s="60"/>
    </row>
    <row r="178" spans="1:12">
      <c r="A178" s="61"/>
      <c r="B178" s="742" t="s">
        <v>188</v>
      </c>
      <c r="C178" s="742"/>
      <c r="D178" s="742"/>
      <c r="E178" s="742"/>
      <c r="F178" s="742"/>
      <c r="G178" s="742"/>
      <c r="H178" s="743" t="e">
        <f>'BOM 04 22Master'!#REF!</f>
        <v>#REF!</v>
      </c>
      <c r="I178" s="744"/>
      <c r="J178" s="744"/>
      <c r="K178" s="744"/>
      <c r="L178" s="745"/>
    </row>
    <row r="179" spans="1:12">
      <c r="A179" s="61"/>
      <c r="B179" s="755" t="s">
        <v>189</v>
      </c>
      <c r="C179" s="755"/>
      <c r="D179" s="755"/>
      <c r="E179" s="755"/>
      <c r="F179" s="755"/>
      <c r="G179" s="755"/>
      <c r="H179" s="743" t="e">
        <f>'BOM 04 22Master'!#REF!</f>
        <v>#REF!</v>
      </c>
      <c r="I179" s="744"/>
      <c r="J179" s="744"/>
      <c r="K179" s="744"/>
      <c r="L179" s="745"/>
    </row>
    <row r="180" spans="1:12">
      <c r="A180" s="61"/>
      <c r="B180" s="742" t="s">
        <v>190</v>
      </c>
      <c r="C180" s="742"/>
      <c r="D180" s="742"/>
      <c r="E180" s="742"/>
      <c r="F180" s="742"/>
      <c r="G180" s="742"/>
      <c r="H180" s="743" t="e">
        <f>'BOM 04 22Master'!#REF!</f>
        <v>#REF!</v>
      </c>
      <c r="I180" s="744"/>
      <c r="J180" s="744"/>
      <c r="K180" s="744"/>
      <c r="L180" s="745"/>
    </row>
    <row r="181" spans="1:12">
      <c r="A181" s="61"/>
      <c r="B181" s="742" t="s">
        <v>191</v>
      </c>
      <c r="C181" s="742"/>
      <c r="D181" s="742"/>
      <c r="E181" s="742"/>
      <c r="F181" s="742"/>
      <c r="G181" s="742"/>
      <c r="H181" s="916" t="e">
        <f>'BOM 04 22Master'!#REF!</f>
        <v>#REF!</v>
      </c>
      <c r="I181" s="744"/>
      <c r="J181" s="744"/>
      <c r="K181" s="744"/>
      <c r="L181" s="745"/>
    </row>
    <row r="182" spans="1:12">
      <c r="A182" s="61"/>
      <c r="B182" s="62" t="s">
        <v>192</v>
      </c>
      <c r="C182" s="63"/>
      <c r="D182" s="63"/>
      <c r="E182" s="63"/>
      <c r="F182" s="63"/>
      <c r="G182" s="63"/>
      <c r="H182" s="913" t="s">
        <v>193</v>
      </c>
      <c r="I182" s="914"/>
      <c r="J182" s="914"/>
      <c r="K182" s="914"/>
      <c r="L182" s="915"/>
    </row>
    <row r="183" spans="1:12">
      <c r="A183" s="61"/>
      <c r="B183" s="62" t="s">
        <v>194</v>
      </c>
      <c r="C183" s="63"/>
      <c r="D183" s="63"/>
      <c r="E183" s="63"/>
      <c r="F183" s="63"/>
      <c r="G183" s="63"/>
      <c r="H183" s="64"/>
      <c r="I183" s="66"/>
      <c r="J183" s="167"/>
      <c r="K183" s="66"/>
      <c r="L183" s="71"/>
    </row>
    <row r="184" spans="1:12">
      <c r="A184" s="61"/>
      <c r="B184" s="749" t="s">
        <v>195</v>
      </c>
      <c r="C184" s="749"/>
      <c r="D184" s="749"/>
      <c r="E184" s="749"/>
      <c r="F184" s="749"/>
      <c r="G184" s="749"/>
      <c r="H184" s="750" t="e">
        <f>'BOM 04 22Master'!#REF!</f>
        <v>#REF!</v>
      </c>
      <c r="I184" s="751"/>
      <c r="J184" s="751"/>
      <c r="K184" s="751"/>
      <c r="L184" s="752"/>
    </row>
    <row r="185" spans="1:12">
      <c r="A185" s="61"/>
      <c r="B185" s="742"/>
      <c r="C185" s="742"/>
      <c r="D185" s="742"/>
      <c r="E185" s="742"/>
      <c r="F185" s="742"/>
      <c r="G185" s="742"/>
      <c r="H185" s="766" t="e">
        <f>'BOM 04 22Master'!#REF!</f>
        <v>#REF!</v>
      </c>
      <c r="I185" s="744"/>
      <c r="J185" s="744"/>
      <c r="K185" s="744"/>
      <c r="L185" s="745"/>
    </row>
    <row r="186" spans="1:12">
      <c r="A186" s="13"/>
      <c r="B186" s="742"/>
      <c r="C186" s="742"/>
      <c r="D186" s="742"/>
      <c r="E186" s="742"/>
      <c r="F186" s="742"/>
      <c r="G186" s="742"/>
      <c r="H186" s="743" t="e">
        <f>'BOM 04 22Master'!#REF!</f>
        <v>#REF!</v>
      </c>
      <c r="I186" s="744"/>
      <c r="J186" s="744"/>
      <c r="K186" s="744"/>
      <c r="L186" s="745"/>
    </row>
    <row r="187" spans="1:12">
      <c r="A187" s="13"/>
      <c r="B187" s="62" t="s">
        <v>196</v>
      </c>
      <c r="C187" s="63"/>
      <c r="D187" s="63"/>
      <c r="E187" s="63"/>
      <c r="F187" s="63"/>
      <c r="G187" s="67"/>
      <c r="H187" s="906" t="e">
        <f>'BOM 04 22Master'!#REF!</f>
        <v>#REF!</v>
      </c>
      <c r="I187" s="779"/>
      <c r="J187" s="779"/>
      <c r="K187" s="779"/>
      <c r="L187" s="907"/>
    </row>
    <row r="188" spans="1:12">
      <c r="A188" s="13"/>
      <c r="B188" s="62"/>
      <c r="C188" s="63"/>
      <c r="D188" s="63"/>
      <c r="E188" s="63"/>
      <c r="F188" s="63"/>
      <c r="G188" s="67"/>
      <c r="H188" s="906" t="e">
        <f>'BOM 04 22Master'!#REF!</f>
        <v>#REF!</v>
      </c>
      <c r="I188" s="779"/>
      <c r="J188" s="779"/>
      <c r="K188" s="779"/>
      <c r="L188" s="907"/>
    </row>
    <row r="189" spans="1:12">
      <c r="A189" s="13"/>
      <c r="B189" s="62"/>
      <c r="C189" s="63"/>
      <c r="D189" s="63"/>
      <c r="E189" s="63"/>
      <c r="F189" s="63"/>
      <c r="G189" s="67"/>
      <c r="H189" s="906" t="e">
        <f>'BOM 04 22Master'!#REF!</f>
        <v>#REF!</v>
      </c>
      <c r="I189" s="779"/>
      <c r="J189" s="779"/>
      <c r="K189" s="779"/>
      <c r="L189" s="907"/>
    </row>
    <row r="190" spans="1:12">
      <c r="A190" s="13"/>
      <c r="B190" s="62" t="s">
        <v>203</v>
      </c>
      <c r="C190" s="63"/>
      <c r="D190" s="63"/>
      <c r="E190" s="63"/>
      <c r="F190" s="63"/>
      <c r="G190" s="67"/>
      <c r="H190" s="64"/>
      <c r="I190" s="66"/>
      <c r="J190" s="66"/>
      <c r="K190" s="66"/>
      <c r="L190" s="71"/>
    </row>
    <row r="191" spans="1:12">
      <c r="A191" s="13"/>
      <c r="B191" s="74" t="s">
        <v>204</v>
      </c>
      <c r="C191" s="148"/>
      <c r="D191" s="148"/>
      <c r="E191" s="148"/>
      <c r="F191" s="148"/>
      <c r="G191" s="149"/>
      <c r="H191" s="150"/>
      <c r="I191" s="151"/>
      <c r="J191" s="152"/>
      <c r="K191" s="151"/>
      <c r="L191" s="153"/>
    </row>
    <row r="192" spans="1:12" ht="45">
      <c r="A192" s="13"/>
      <c r="B192" s="62" t="s">
        <v>207</v>
      </c>
      <c r="C192" s="63"/>
      <c r="D192" s="66"/>
      <c r="E192" s="160" t="s">
        <v>209</v>
      </c>
      <c r="F192" s="45"/>
      <c r="G192" s="908" t="s">
        <v>208</v>
      </c>
      <c r="H192" s="909"/>
      <c r="I192" s="164" t="s">
        <v>205</v>
      </c>
      <c r="J192" s="162" t="s">
        <v>210</v>
      </c>
      <c r="K192" s="908" t="s">
        <v>206</v>
      </c>
      <c r="L192" s="910"/>
    </row>
    <row r="193" spans="1:12">
      <c r="A193" s="13"/>
      <c r="B193" s="163">
        <v>1</v>
      </c>
      <c r="C193" s="63"/>
      <c r="D193" s="63"/>
      <c r="E193" s="166">
        <v>2</v>
      </c>
      <c r="F193" s="67"/>
      <c r="G193" s="166">
        <v>3</v>
      </c>
      <c r="H193" s="182"/>
      <c r="I193" s="182">
        <v>4</v>
      </c>
      <c r="J193" s="85">
        <v>5</v>
      </c>
      <c r="K193" s="69"/>
      <c r="L193" s="70">
        <v>6</v>
      </c>
    </row>
    <row r="194" spans="1:12">
      <c r="A194" s="13"/>
      <c r="B194" s="280" t="e">
        <f>'BOM 04 22Master'!#REF!</f>
        <v>#REF!</v>
      </c>
      <c r="C194" s="178"/>
      <c r="D194" s="179"/>
      <c r="E194" s="181" t="s">
        <v>366</v>
      </c>
      <c r="F194" s="179"/>
      <c r="G194" s="181" t="s">
        <v>367</v>
      </c>
      <c r="H194" s="45"/>
      <c r="I194" s="11" t="s">
        <v>368</v>
      </c>
      <c r="J194" s="279">
        <v>1</v>
      </c>
      <c r="K194" s="911" t="s">
        <v>37</v>
      </c>
      <c r="L194" s="917"/>
    </row>
    <row r="195" spans="1:12">
      <c r="A195" s="13"/>
      <c r="B195" s="62"/>
      <c r="C195" s="178"/>
      <c r="D195" s="179"/>
      <c r="E195" s="180"/>
      <c r="F195" s="179"/>
      <c r="G195" s="180"/>
      <c r="H195" s="45"/>
      <c r="I195" s="11"/>
      <c r="J195" s="11"/>
      <c r="K195" s="181"/>
      <c r="L195" s="45"/>
    </row>
    <row r="196" spans="1:12">
      <c r="A196" s="13"/>
      <c r="B196" s="62"/>
      <c r="C196" s="178"/>
      <c r="D196" s="179"/>
      <c r="E196" s="180"/>
      <c r="F196" s="179"/>
      <c r="G196" s="180"/>
      <c r="H196" s="45"/>
      <c r="I196" s="11"/>
      <c r="J196" s="11"/>
      <c r="K196" s="181"/>
      <c r="L196" s="45"/>
    </row>
    <row r="197" spans="1:12">
      <c r="A197" s="13"/>
      <c r="B197" s="48"/>
      <c r="C197" s="17"/>
      <c r="D197" s="49"/>
      <c r="E197" s="180"/>
      <c r="F197" s="179"/>
      <c r="G197" s="180"/>
      <c r="H197" s="45"/>
      <c r="I197" s="11"/>
      <c r="J197" s="11"/>
      <c r="K197" s="181"/>
      <c r="L197" s="45"/>
    </row>
    <row r="198" spans="1:12">
      <c r="A198" s="13"/>
      <c r="B198" t="s">
        <v>211</v>
      </c>
      <c r="L198" s="14"/>
    </row>
    <row r="199" spans="1:12">
      <c r="A199" s="13"/>
      <c r="B199" t="s">
        <v>212</v>
      </c>
      <c r="L199" s="14"/>
    </row>
    <row r="200" spans="1:12">
      <c r="A200" s="13"/>
      <c r="B200" t="s">
        <v>213</v>
      </c>
      <c r="L200" s="14"/>
    </row>
    <row r="201" spans="1:12" ht="27.95" customHeight="1">
      <c r="A201" s="13"/>
      <c r="L201" s="14"/>
    </row>
    <row r="202" spans="1:12" ht="27.95" customHeight="1">
      <c r="A202" s="13"/>
      <c r="I202" t="s">
        <v>214</v>
      </c>
      <c r="L202" s="14"/>
    </row>
    <row r="203" spans="1:12" ht="27.95" customHeight="1">
      <c r="A203" s="13"/>
      <c r="F203" s="168" t="s">
        <v>197</v>
      </c>
      <c r="L203" s="14"/>
    </row>
    <row r="204" spans="1:12" ht="27.95" customHeight="1">
      <c r="A204" s="13" t="s">
        <v>198</v>
      </c>
      <c r="K204" s="218" t="e">
        <f>'BOM 04 22Master'!#REF!</f>
        <v>#REF!</v>
      </c>
      <c r="L204" s="14"/>
    </row>
    <row r="205" spans="1:12" ht="27.95" customHeight="1">
      <c r="A205" s="13" t="s">
        <v>199</v>
      </c>
      <c r="L205" s="14"/>
    </row>
    <row r="206" spans="1:12" ht="27.95" customHeight="1">
      <c r="A206" s="13"/>
      <c r="L206" s="14"/>
    </row>
    <row r="207" spans="1:12" ht="27.95" customHeight="1">
      <c r="A207" s="13"/>
      <c r="L207" s="14"/>
    </row>
    <row r="208" spans="1:12" ht="27.95" customHeight="1">
      <c r="A208" s="13"/>
      <c r="F208" t="s">
        <v>200</v>
      </c>
      <c r="L208" s="14"/>
    </row>
    <row r="209" spans="1:12" ht="27.95" customHeight="1">
      <c r="A209" s="13" t="s">
        <v>201</v>
      </c>
      <c r="B209" t="s">
        <v>365</v>
      </c>
      <c r="F209" t="str">
        <f>'BOM 04 22Master'!F5</f>
        <v>Burgeon IT Services Pvt.Ltd.</v>
      </c>
      <c r="L209" s="14"/>
    </row>
    <row r="210" spans="1:12" ht="27.95" customHeight="1">
      <c r="A210" s="13" t="s">
        <v>202</v>
      </c>
      <c r="B210" s="278" t="e">
        <f>'BOM 04 22Master'!#REF!</f>
        <v>#REF!</v>
      </c>
      <c r="F210" t="str">
        <f>'BOM 04 22Master'!F6</f>
        <v>Siri Mansion LIGB 436 Dr.A S Rao Nagar,Hyderabad</v>
      </c>
      <c r="L210" s="14"/>
    </row>
    <row r="211" spans="1:12" ht="27.95" customHeight="1" thickBot="1">
      <c r="A211" s="25"/>
      <c r="B211" s="23"/>
      <c r="C211" s="23"/>
      <c r="D211" s="23"/>
      <c r="E211" s="23"/>
      <c r="F211" s="23"/>
      <c r="G211" s="23"/>
      <c r="H211" s="23"/>
      <c r="I211" s="23"/>
      <c r="J211" s="23"/>
      <c r="K211" s="23"/>
      <c r="L211" s="24"/>
    </row>
    <row r="212" spans="1:12" ht="27.95" customHeight="1" thickBot="1">
      <c r="B212" s="169"/>
      <c r="C212" s="165"/>
      <c r="D212" s="165"/>
      <c r="E212" s="165"/>
      <c r="F212" s="165"/>
      <c r="G212" s="165"/>
      <c r="H212" s="154"/>
      <c r="I212" s="154"/>
      <c r="J212" s="155"/>
      <c r="K212" s="154"/>
      <c r="L212" s="154"/>
    </row>
    <row r="213" spans="1:12" ht="27.95" customHeight="1">
      <c r="A213" s="50"/>
      <c r="B213" s="756" t="s">
        <v>185</v>
      </c>
      <c r="C213" s="757"/>
      <c r="D213" s="757"/>
      <c r="E213" s="757"/>
      <c r="F213" s="757"/>
      <c r="G213" s="757"/>
      <c r="H213" s="757"/>
      <c r="I213" s="757"/>
      <c r="J213" s="757"/>
      <c r="K213" s="757"/>
      <c r="L213" s="758"/>
    </row>
    <row r="214" spans="1:12" ht="27.95" customHeight="1">
      <c r="A214" s="13"/>
      <c r="B214" s="759" t="s">
        <v>186</v>
      </c>
      <c r="C214" s="759"/>
      <c r="D214" s="759"/>
      <c r="E214" s="759"/>
      <c r="F214" s="759"/>
      <c r="G214" s="759"/>
      <c r="H214" s="759"/>
      <c r="I214" s="759"/>
      <c r="J214" s="759"/>
      <c r="K214" s="759"/>
      <c r="L214" s="760"/>
    </row>
    <row r="215" spans="1:12" ht="27.95" customHeight="1" thickBot="1">
      <c r="A215" s="25"/>
      <c r="B215" s="761" t="s">
        <v>187</v>
      </c>
      <c r="C215" s="761"/>
      <c r="D215" s="761"/>
      <c r="E215" s="761"/>
      <c r="F215" s="761"/>
      <c r="G215" s="761"/>
      <c r="H215" s="761"/>
      <c r="I215" s="761"/>
      <c r="J215" s="761"/>
      <c r="K215" s="761"/>
      <c r="L215" s="762"/>
    </row>
    <row r="216" spans="1:12" ht="27.95" customHeight="1">
      <c r="A216" s="13"/>
      <c r="B216" s="763" t="s">
        <v>112</v>
      </c>
      <c r="C216" s="763"/>
      <c r="D216" s="763"/>
      <c r="E216" s="763"/>
      <c r="F216" s="763"/>
      <c r="H216" s="764" t="s">
        <v>113</v>
      </c>
      <c r="I216" s="764"/>
      <c r="J216" s="764"/>
      <c r="K216" s="764"/>
      <c r="L216" s="765"/>
    </row>
    <row r="217" spans="1:12" ht="27.95" customHeight="1" thickBot="1">
      <c r="A217" s="13"/>
      <c r="B217" s="763"/>
      <c r="C217" s="763"/>
      <c r="D217" s="763"/>
      <c r="E217" s="763"/>
      <c r="F217" s="763"/>
      <c r="H217" s="764"/>
      <c r="I217" s="764"/>
      <c r="J217" s="764"/>
      <c r="K217" s="764"/>
      <c r="L217" s="765"/>
    </row>
    <row r="218" spans="1:12" ht="27.95" customHeight="1">
      <c r="A218" s="13"/>
      <c r="B218" s="50"/>
      <c r="C218" s="51"/>
      <c r="D218" s="51"/>
      <c r="E218" s="51"/>
      <c r="F218" s="52"/>
      <c r="H218" s="50"/>
      <c r="I218" s="51"/>
      <c r="J218" s="51"/>
      <c r="K218" s="51"/>
      <c r="L218" s="52"/>
    </row>
    <row r="219" spans="1:12">
      <c r="A219" s="13"/>
      <c r="B219" s="53" t="str">
        <f>'BOM 04 22Master'!F5</f>
        <v>Burgeon IT Services Pvt.Ltd.</v>
      </c>
      <c r="F219" s="14"/>
      <c r="H219" s="53" t="str">
        <f>'BOM 04 22Master'!AP5</f>
        <v>Burgeon IT Services Pvt.Ltd.</v>
      </c>
      <c r="L219" s="14"/>
    </row>
    <row r="220" spans="1:12">
      <c r="A220" s="13"/>
      <c r="B220" s="13"/>
      <c r="F220" s="14"/>
      <c r="H220" s="13"/>
      <c r="L220" s="14"/>
    </row>
    <row r="221" spans="1:12">
      <c r="A221" s="13"/>
      <c r="B221" s="53" t="str">
        <f>'BOM 04 22Master'!F6</f>
        <v>Siri Mansion LIGB 436 Dr.A S Rao Nagar,Hyderabad</v>
      </c>
      <c r="F221" s="14"/>
      <c r="H221" s="53" t="str">
        <f>'BOM 04 22Master'!AP6</f>
        <v>Siri Mansion LIGB 436 Dr.A S Rao Nagar,Hyderabad</v>
      </c>
      <c r="L221" s="14"/>
    </row>
    <row r="222" spans="1:12" ht="15.75" thickBot="1">
      <c r="A222" s="13"/>
      <c r="B222" s="25"/>
      <c r="C222" s="23"/>
      <c r="D222" s="23"/>
      <c r="E222" s="23"/>
      <c r="F222" s="24"/>
      <c r="H222" s="25"/>
      <c r="I222" s="23"/>
      <c r="J222" s="23"/>
      <c r="K222" s="23"/>
      <c r="L222" s="24"/>
    </row>
    <row r="223" spans="1:12">
      <c r="A223" s="13"/>
      <c r="J223" t="s">
        <v>114</v>
      </c>
      <c r="L223" s="14"/>
    </row>
    <row r="224" spans="1:12">
      <c r="A224" s="13"/>
      <c r="B224" s="753" t="s">
        <v>115</v>
      </c>
      <c r="C224" s="753"/>
      <c r="D224" s="753"/>
      <c r="E224" s="753"/>
      <c r="F224" s="753"/>
      <c r="H224" s="753" t="s">
        <v>4</v>
      </c>
      <c r="I224" s="753"/>
      <c r="J224" s="753"/>
      <c r="K224" s="753"/>
      <c r="L224" s="754"/>
    </row>
    <row r="225" spans="1:12" ht="15.75" thickBot="1">
      <c r="A225" s="13"/>
      <c r="L225" s="14"/>
    </row>
    <row r="226" spans="1:12">
      <c r="A226" s="13"/>
      <c r="B226" s="50"/>
      <c r="C226" s="51"/>
      <c r="D226" s="51"/>
      <c r="E226" s="51"/>
      <c r="F226" s="52"/>
      <c r="H226" s="54"/>
      <c r="I226" s="55"/>
      <c r="J226" s="55"/>
      <c r="K226" s="55"/>
      <c r="L226" s="56"/>
    </row>
    <row r="227" spans="1:12">
      <c r="A227" s="13"/>
      <c r="B227" s="13"/>
      <c r="F227" s="14"/>
      <c r="H227" s="53" t="str">
        <f>'BOM 04 22Master'!AP10</f>
        <v>INFOSYS  LTD.85-C Mittal Towers</v>
      </c>
      <c r="I227" s="2"/>
      <c r="J227" s="2"/>
      <c r="K227" s="2"/>
      <c r="L227" s="57"/>
    </row>
    <row r="228" spans="1:12">
      <c r="A228" s="13"/>
      <c r="B228" s="53" t="str">
        <f>'BOM 04 22Master'!F8</f>
        <v>IT SUPPORTIVE SERVICES&amp;MUMBAI</v>
      </c>
      <c r="F228" s="14"/>
      <c r="H228" s="53"/>
      <c r="I228" s="2"/>
      <c r="J228" s="2"/>
      <c r="K228" s="2"/>
      <c r="L228" s="57"/>
    </row>
    <row r="229" spans="1:12">
      <c r="A229" s="13"/>
      <c r="B229" s="13"/>
      <c r="F229" s="14"/>
      <c r="H229" s="53" t="str">
        <f>'BOM 04 22Master'!AP11</f>
        <v>8th flour Nariman Point,Maharashtra,400021</v>
      </c>
      <c r="I229" s="2"/>
      <c r="J229" s="2"/>
      <c r="K229" s="2"/>
      <c r="L229" s="57"/>
    </row>
    <row r="230" spans="1:12" ht="15.75" thickBot="1">
      <c r="A230" s="13"/>
      <c r="B230" s="25"/>
      <c r="C230" s="23"/>
      <c r="D230" s="23"/>
      <c r="E230" s="23"/>
      <c r="F230" s="24"/>
      <c r="H230" s="58"/>
      <c r="I230" s="59"/>
      <c r="J230" s="59"/>
      <c r="K230" s="59"/>
      <c r="L230" s="60"/>
    </row>
    <row r="231" spans="1:12">
      <c r="A231" s="61"/>
      <c r="B231" s="742" t="s">
        <v>188</v>
      </c>
      <c r="C231" s="742"/>
      <c r="D231" s="742"/>
      <c r="E231" s="742"/>
      <c r="F231" s="742"/>
      <c r="G231" s="742"/>
      <c r="H231" s="743" t="e">
        <f>'BOM 04 22Master'!#REF!</f>
        <v>#REF!</v>
      </c>
      <c r="I231" s="744"/>
      <c r="J231" s="744"/>
      <c r="K231" s="744"/>
      <c r="L231" s="745"/>
    </row>
    <row r="232" spans="1:12">
      <c r="A232" s="61"/>
      <c r="B232" s="755" t="s">
        <v>189</v>
      </c>
      <c r="C232" s="755"/>
      <c r="D232" s="755"/>
      <c r="E232" s="755"/>
      <c r="F232" s="755"/>
      <c r="G232" s="755"/>
      <c r="H232" s="743" t="e">
        <f>'BOM 04 22Master'!#REF!</f>
        <v>#REF!</v>
      </c>
      <c r="I232" s="744"/>
      <c r="J232" s="744"/>
      <c r="K232" s="744"/>
      <c r="L232" s="745"/>
    </row>
    <row r="233" spans="1:12">
      <c r="A233" s="61"/>
      <c r="B233" s="742" t="s">
        <v>190</v>
      </c>
      <c r="C233" s="742"/>
      <c r="D233" s="742"/>
      <c r="E233" s="742"/>
      <c r="F233" s="742"/>
      <c r="G233" s="742"/>
      <c r="H233" s="743" t="e">
        <f>'BOM 04 22Master'!#REF!</f>
        <v>#REF!</v>
      </c>
      <c r="I233" s="744"/>
      <c r="J233" s="744"/>
      <c r="K233" s="744"/>
      <c r="L233" s="745"/>
    </row>
    <row r="234" spans="1:12">
      <c r="A234" s="61"/>
      <c r="B234" s="742" t="s">
        <v>191</v>
      </c>
      <c r="C234" s="742"/>
      <c r="D234" s="742"/>
      <c r="E234" s="742"/>
      <c r="F234" s="742"/>
      <c r="G234" s="742"/>
      <c r="H234" s="916" t="e">
        <f>'BOM 04 22Master'!#REF!</f>
        <v>#REF!</v>
      </c>
      <c r="I234" s="744"/>
      <c r="J234" s="744"/>
      <c r="K234" s="744"/>
      <c r="L234" s="745"/>
    </row>
    <row r="235" spans="1:12">
      <c r="A235" s="61"/>
      <c r="B235" s="62" t="s">
        <v>192</v>
      </c>
      <c r="C235" s="63"/>
      <c r="D235" s="63"/>
      <c r="E235" s="63"/>
      <c r="F235" s="63"/>
      <c r="G235" s="63"/>
      <c r="H235" s="913" t="s">
        <v>193</v>
      </c>
      <c r="I235" s="914"/>
      <c r="J235" s="914"/>
      <c r="K235" s="914"/>
      <c r="L235" s="915"/>
    </row>
    <row r="236" spans="1:12">
      <c r="A236" s="61"/>
      <c r="B236" s="62" t="s">
        <v>194</v>
      </c>
      <c r="C236" s="63"/>
      <c r="D236" s="63"/>
      <c r="E236" s="63"/>
      <c r="F236" s="63"/>
      <c r="G236" s="63"/>
      <c r="H236" s="64"/>
      <c r="I236" s="66"/>
      <c r="J236" s="167"/>
      <c r="K236" s="66"/>
      <c r="L236" s="71"/>
    </row>
    <row r="237" spans="1:12">
      <c r="A237" s="61"/>
      <c r="B237" s="749" t="s">
        <v>195</v>
      </c>
      <c r="C237" s="749"/>
      <c r="D237" s="749"/>
      <c r="E237" s="749"/>
      <c r="F237" s="749"/>
      <c r="G237" s="749"/>
      <c r="H237" s="750" t="e">
        <f>'BOM 04 22Master'!#REF!</f>
        <v>#REF!</v>
      </c>
      <c r="I237" s="751"/>
      <c r="J237" s="751"/>
      <c r="K237" s="751"/>
      <c r="L237" s="752"/>
    </row>
    <row r="238" spans="1:12">
      <c r="A238" s="61"/>
      <c r="B238" s="742"/>
      <c r="C238" s="742"/>
      <c r="D238" s="742"/>
      <c r="E238" s="742"/>
      <c r="F238" s="742"/>
      <c r="G238" s="742"/>
      <c r="H238" s="766" t="e">
        <f>'BOM 04 22Master'!#REF!</f>
        <v>#REF!</v>
      </c>
      <c r="I238" s="744"/>
      <c r="J238" s="744"/>
      <c r="K238" s="744"/>
      <c r="L238" s="745"/>
    </row>
    <row r="239" spans="1:12">
      <c r="A239" s="13"/>
      <c r="B239" s="742"/>
      <c r="C239" s="742"/>
      <c r="D239" s="742"/>
      <c r="E239" s="742"/>
      <c r="F239" s="742"/>
      <c r="G239" s="742"/>
      <c r="H239" s="743" t="e">
        <f>'BOM 04 22Master'!#REF!</f>
        <v>#REF!</v>
      </c>
      <c r="I239" s="744"/>
      <c r="J239" s="744"/>
      <c r="K239" s="744"/>
      <c r="L239" s="745"/>
    </row>
    <row r="240" spans="1:12">
      <c r="A240" s="13"/>
      <c r="B240" s="62" t="s">
        <v>196</v>
      </c>
      <c r="C240" s="63"/>
      <c r="D240" s="63"/>
      <c r="E240" s="63"/>
      <c r="F240" s="63"/>
      <c r="G240" s="67"/>
      <c r="H240" s="906" t="e">
        <f>'BOM 04 22Master'!#REF!</f>
        <v>#REF!</v>
      </c>
      <c r="I240" s="779"/>
      <c r="J240" s="779"/>
      <c r="K240" s="779"/>
      <c r="L240" s="907"/>
    </row>
    <row r="241" spans="1:12">
      <c r="A241" s="13"/>
      <c r="B241" s="62"/>
      <c r="C241" s="63"/>
      <c r="D241" s="63"/>
      <c r="E241" s="63"/>
      <c r="F241" s="63"/>
      <c r="G241" s="67"/>
      <c r="H241" s="906" t="e">
        <f>'BOM 04 22Master'!#REF!</f>
        <v>#REF!</v>
      </c>
      <c r="I241" s="779"/>
      <c r="J241" s="779"/>
      <c r="K241" s="779"/>
      <c r="L241" s="907"/>
    </row>
    <row r="242" spans="1:12">
      <c r="A242" s="13"/>
      <c r="B242" s="62"/>
      <c r="C242" s="63"/>
      <c r="D242" s="63"/>
      <c r="E242" s="63"/>
      <c r="F242" s="63"/>
      <c r="G242" s="67"/>
      <c r="H242" s="906" t="e">
        <f>'BOM 04 22Master'!#REF!</f>
        <v>#REF!</v>
      </c>
      <c r="I242" s="779"/>
      <c r="J242" s="779"/>
      <c r="K242" s="779"/>
      <c r="L242" s="907"/>
    </row>
    <row r="243" spans="1:12">
      <c r="A243" s="13"/>
      <c r="B243" s="62" t="s">
        <v>203</v>
      </c>
      <c r="C243" s="63"/>
      <c r="D243" s="63"/>
      <c r="E243" s="63"/>
      <c r="F243" s="63"/>
      <c r="G243" s="67"/>
      <c r="H243" s="64"/>
      <c r="I243" s="66"/>
      <c r="J243" s="66"/>
      <c r="K243" s="66"/>
      <c r="L243" s="71"/>
    </row>
    <row r="244" spans="1:12">
      <c r="A244" s="13"/>
      <c r="B244" s="74" t="s">
        <v>204</v>
      </c>
      <c r="C244" s="148"/>
      <c r="D244" s="148"/>
      <c r="E244" s="148"/>
      <c r="F244" s="148"/>
      <c r="G244" s="149"/>
      <c r="H244" s="150"/>
      <c r="I244" s="151"/>
      <c r="J244" s="152"/>
      <c r="K244" s="151"/>
      <c r="L244" s="153"/>
    </row>
    <row r="245" spans="1:12" ht="45">
      <c r="A245" s="13"/>
      <c r="B245" s="62" t="s">
        <v>207</v>
      </c>
      <c r="C245" s="63"/>
      <c r="D245" s="66"/>
      <c r="E245" s="160" t="s">
        <v>209</v>
      </c>
      <c r="F245" s="45"/>
      <c r="G245" s="908" t="s">
        <v>208</v>
      </c>
      <c r="H245" s="909"/>
      <c r="I245" s="164" t="s">
        <v>205</v>
      </c>
      <c r="J245" s="162" t="s">
        <v>210</v>
      </c>
      <c r="K245" s="908" t="s">
        <v>206</v>
      </c>
      <c r="L245" s="910"/>
    </row>
    <row r="246" spans="1:12">
      <c r="A246" s="13"/>
      <c r="B246" s="163">
        <v>1</v>
      </c>
      <c r="C246" s="63"/>
      <c r="D246" s="63"/>
      <c r="E246" s="166">
        <v>2</v>
      </c>
      <c r="F246" s="67"/>
      <c r="G246" s="166">
        <v>3</v>
      </c>
      <c r="H246" s="182"/>
      <c r="I246" s="182">
        <v>4</v>
      </c>
      <c r="J246" s="85">
        <v>5</v>
      </c>
      <c r="K246" s="69"/>
      <c r="L246" s="70">
        <v>6</v>
      </c>
    </row>
    <row r="247" spans="1:12">
      <c r="A247" s="13"/>
      <c r="B247" s="280" t="e">
        <f>'BOM 04 22Master'!#REF!</f>
        <v>#REF!</v>
      </c>
      <c r="C247" s="178"/>
      <c r="D247" s="179"/>
      <c r="E247" s="181" t="s">
        <v>366</v>
      </c>
      <c r="F247" s="179"/>
      <c r="G247" s="181" t="s">
        <v>367</v>
      </c>
      <c r="H247" s="45"/>
      <c r="I247" s="11" t="s">
        <v>368</v>
      </c>
      <c r="J247" s="279">
        <v>1</v>
      </c>
      <c r="K247" s="911" t="s">
        <v>37</v>
      </c>
      <c r="L247" s="917"/>
    </row>
    <row r="248" spans="1:12">
      <c r="A248" s="13"/>
      <c r="B248" s="62"/>
      <c r="C248" s="178"/>
      <c r="D248" s="179"/>
      <c r="E248" s="180"/>
      <c r="F248" s="179"/>
      <c r="G248" s="180"/>
      <c r="H248" s="45"/>
      <c r="I248" s="11"/>
      <c r="J248" s="11"/>
      <c r="K248" s="181"/>
      <c r="L248" s="45"/>
    </row>
    <row r="249" spans="1:12">
      <c r="A249" s="13"/>
      <c r="B249" s="62"/>
      <c r="C249" s="178"/>
      <c r="D249" s="179"/>
      <c r="E249" s="180"/>
      <c r="F249" s="179"/>
      <c r="G249" s="180"/>
      <c r="H249" s="45"/>
      <c r="I249" s="11"/>
      <c r="J249" s="11"/>
      <c r="K249" s="181"/>
      <c r="L249" s="45"/>
    </row>
    <row r="250" spans="1:12">
      <c r="A250" s="13"/>
      <c r="B250" s="48"/>
      <c r="C250" s="17"/>
      <c r="D250" s="49"/>
      <c r="E250" s="180"/>
      <c r="F250" s="179"/>
      <c r="G250" s="180"/>
      <c r="H250" s="45"/>
      <c r="I250" s="11"/>
      <c r="J250" s="11"/>
      <c r="K250" s="181"/>
      <c r="L250" s="45"/>
    </row>
    <row r="251" spans="1:12">
      <c r="A251" s="13"/>
      <c r="B251" t="s">
        <v>211</v>
      </c>
      <c r="L251" s="14"/>
    </row>
    <row r="252" spans="1:12">
      <c r="A252" s="13"/>
      <c r="B252" t="s">
        <v>212</v>
      </c>
      <c r="L252" s="14"/>
    </row>
    <row r="253" spans="1:12">
      <c r="A253" s="13"/>
      <c r="B253" t="s">
        <v>213</v>
      </c>
      <c r="L253" s="14"/>
    </row>
    <row r="254" spans="1:12" ht="27.95" customHeight="1">
      <c r="A254" s="13"/>
      <c r="L254" s="14"/>
    </row>
    <row r="255" spans="1:12" ht="27.95" customHeight="1">
      <c r="A255" s="13"/>
      <c r="I255" t="s">
        <v>214</v>
      </c>
      <c r="L255" s="14"/>
    </row>
    <row r="256" spans="1:12" ht="27.95" customHeight="1">
      <c r="A256" s="13"/>
      <c r="F256" s="168" t="s">
        <v>197</v>
      </c>
      <c r="L256" s="14"/>
    </row>
    <row r="257" spans="1:12" ht="27.95" customHeight="1">
      <c r="A257" s="13" t="s">
        <v>198</v>
      </c>
      <c r="K257" s="218" t="e">
        <f>'BOM 04 22Master'!#REF!</f>
        <v>#REF!</v>
      </c>
      <c r="L257" s="14"/>
    </row>
    <row r="258" spans="1:12" ht="27.95" customHeight="1">
      <c r="A258" s="13" t="s">
        <v>199</v>
      </c>
      <c r="L258" s="14"/>
    </row>
    <row r="259" spans="1:12" ht="27.95" customHeight="1">
      <c r="A259" s="13"/>
      <c r="L259" s="14"/>
    </row>
    <row r="260" spans="1:12" ht="27.95" customHeight="1">
      <c r="A260" s="13"/>
      <c r="L260" s="14"/>
    </row>
    <row r="261" spans="1:12" ht="27.95" customHeight="1">
      <c r="A261" s="13"/>
      <c r="F261" t="s">
        <v>200</v>
      </c>
      <c r="L261" s="14"/>
    </row>
    <row r="262" spans="1:12" ht="27.95" customHeight="1">
      <c r="A262" s="13" t="s">
        <v>201</v>
      </c>
      <c r="B262" t="s">
        <v>365</v>
      </c>
      <c r="F262" t="str">
        <f>'BOM 04 22Master'!F5</f>
        <v>Burgeon IT Services Pvt.Ltd.</v>
      </c>
      <c r="L262" s="14"/>
    </row>
    <row r="263" spans="1:12" ht="27.95" customHeight="1">
      <c r="A263" s="13" t="s">
        <v>202</v>
      </c>
      <c r="B263" s="278" t="e">
        <f>'BOM 04 22Master'!#REF!</f>
        <v>#REF!</v>
      </c>
      <c r="F263" t="str">
        <f>'BOM 04 22Master'!F6</f>
        <v>Siri Mansion LIGB 436 Dr.A S Rao Nagar,Hyderabad</v>
      </c>
      <c r="L263" s="14"/>
    </row>
    <row r="264" spans="1:12" ht="27.95" customHeight="1" thickBot="1">
      <c r="A264" s="25"/>
      <c r="B264" s="23"/>
      <c r="C264" s="23"/>
      <c r="D264" s="23"/>
      <c r="E264" s="23"/>
      <c r="F264" s="23"/>
      <c r="G264" s="23"/>
      <c r="H264" s="23"/>
      <c r="I264" s="23"/>
      <c r="J264" s="23"/>
      <c r="K264" s="23"/>
      <c r="L264" s="24"/>
    </row>
    <row r="265" spans="1:12" ht="27.95" customHeight="1" thickBot="1">
      <c r="B265" s="169"/>
      <c r="C265" s="165"/>
      <c r="D265" s="165"/>
      <c r="E265" s="165"/>
      <c r="F265" s="165"/>
      <c r="G265" s="165"/>
      <c r="H265" s="154"/>
      <c r="I265" s="154"/>
      <c r="J265" s="155"/>
      <c r="K265" s="154"/>
      <c r="L265" s="154"/>
    </row>
    <row r="266" spans="1:12" ht="27.95" customHeight="1">
      <c r="A266" s="50"/>
      <c r="B266" s="756" t="s">
        <v>185</v>
      </c>
      <c r="C266" s="757"/>
      <c r="D266" s="757"/>
      <c r="E266" s="757"/>
      <c r="F266" s="757"/>
      <c r="G266" s="757"/>
      <c r="H266" s="757"/>
      <c r="I266" s="757"/>
      <c r="J266" s="757"/>
      <c r="K266" s="757"/>
      <c r="L266" s="758"/>
    </row>
    <row r="267" spans="1:12" ht="27.95" customHeight="1">
      <c r="A267" s="13"/>
      <c r="B267" s="759" t="s">
        <v>186</v>
      </c>
      <c r="C267" s="759"/>
      <c r="D267" s="759"/>
      <c r="E267" s="759"/>
      <c r="F267" s="759"/>
      <c r="G267" s="759"/>
      <c r="H267" s="759"/>
      <c r="I267" s="759"/>
      <c r="J267" s="759"/>
      <c r="K267" s="759"/>
      <c r="L267" s="760"/>
    </row>
    <row r="268" spans="1:12" ht="27.95" customHeight="1" thickBot="1">
      <c r="A268" s="25"/>
      <c r="B268" s="761" t="s">
        <v>187</v>
      </c>
      <c r="C268" s="761"/>
      <c r="D268" s="761"/>
      <c r="E268" s="761"/>
      <c r="F268" s="761"/>
      <c r="G268" s="761"/>
      <c r="H268" s="761"/>
      <c r="I268" s="761"/>
      <c r="J268" s="761"/>
      <c r="K268" s="761"/>
      <c r="L268" s="762"/>
    </row>
    <row r="269" spans="1:12" ht="27.95" customHeight="1">
      <c r="A269" s="13"/>
      <c r="B269" s="763" t="s">
        <v>112</v>
      </c>
      <c r="C269" s="763"/>
      <c r="D269" s="763"/>
      <c r="E269" s="763"/>
      <c r="F269" s="763"/>
      <c r="H269" s="764" t="s">
        <v>113</v>
      </c>
      <c r="I269" s="764"/>
      <c r="J269" s="764"/>
      <c r="K269" s="764"/>
      <c r="L269" s="765"/>
    </row>
    <row r="270" spans="1:12" ht="27.95" customHeight="1" thickBot="1">
      <c r="A270" s="13"/>
      <c r="B270" s="763"/>
      <c r="C270" s="763"/>
      <c r="D270" s="763"/>
      <c r="E270" s="763"/>
      <c r="F270" s="763"/>
      <c r="H270" s="764"/>
      <c r="I270" s="764"/>
      <c r="J270" s="764"/>
      <c r="K270" s="764"/>
      <c r="L270" s="765"/>
    </row>
    <row r="271" spans="1:12" ht="27.95" customHeight="1">
      <c r="A271" s="13"/>
      <c r="B271" s="50"/>
      <c r="C271" s="51"/>
      <c r="D271" s="51"/>
      <c r="E271" s="51"/>
      <c r="F271" s="52"/>
      <c r="H271" s="50"/>
      <c r="I271" s="51"/>
      <c r="J271" s="51"/>
      <c r="K271" s="51"/>
      <c r="L271" s="52"/>
    </row>
    <row r="272" spans="1:12">
      <c r="A272" s="13"/>
      <c r="B272" s="53" t="str">
        <f>'BOM 04 22Master'!F5</f>
        <v>Burgeon IT Services Pvt.Ltd.</v>
      </c>
      <c r="F272" s="14"/>
      <c r="H272" s="53" t="str">
        <f>'BOM 04 22Master'!AP5</f>
        <v>Burgeon IT Services Pvt.Ltd.</v>
      </c>
      <c r="L272" s="14"/>
    </row>
    <row r="273" spans="1:12">
      <c r="A273" s="13"/>
      <c r="B273" s="13"/>
      <c r="F273" s="14"/>
      <c r="H273" s="13"/>
      <c r="L273" s="14"/>
    </row>
    <row r="274" spans="1:12">
      <c r="A274" s="13"/>
      <c r="B274" s="53" t="str">
        <f>'BOM 04 22Master'!F6</f>
        <v>Siri Mansion LIGB 436 Dr.A S Rao Nagar,Hyderabad</v>
      </c>
      <c r="F274" s="14"/>
      <c r="H274" s="53" t="str">
        <f>'BOM 04 22Master'!AP6</f>
        <v>Siri Mansion LIGB 436 Dr.A S Rao Nagar,Hyderabad</v>
      </c>
      <c r="L274" s="14"/>
    </row>
    <row r="275" spans="1:12" ht="15.75" thickBot="1">
      <c r="A275" s="13"/>
      <c r="B275" s="25"/>
      <c r="C275" s="23"/>
      <c r="D275" s="23"/>
      <c r="E275" s="23"/>
      <c r="F275" s="24"/>
      <c r="H275" s="25"/>
      <c r="I275" s="23"/>
      <c r="J275" s="23"/>
      <c r="K275" s="23"/>
      <c r="L275" s="24"/>
    </row>
    <row r="276" spans="1:12">
      <c r="A276" s="13"/>
      <c r="J276" t="s">
        <v>114</v>
      </c>
      <c r="L276" s="14"/>
    </row>
    <row r="277" spans="1:12">
      <c r="A277" s="13"/>
      <c r="B277" s="753" t="s">
        <v>115</v>
      </c>
      <c r="C277" s="753"/>
      <c r="D277" s="753"/>
      <c r="E277" s="753"/>
      <c r="F277" s="753"/>
      <c r="H277" s="753" t="s">
        <v>4</v>
      </c>
      <c r="I277" s="753"/>
      <c r="J277" s="753"/>
      <c r="K277" s="753"/>
      <c r="L277" s="754"/>
    </row>
    <row r="278" spans="1:12" ht="15.75" thickBot="1">
      <c r="A278" s="13"/>
      <c r="L278" s="14"/>
    </row>
    <row r="279" spans="1:12">
      <c r="A279" s="13"/>
      <c r="B279" s="50"/>
      <c r="C279" s="51"/>
      <c r="D279" s="51"/>
      <c r="E279" s="51"/>
      <c r="F279" s="52"/>
      <c r="H279" s="54"/>
      <c r="I279" s="55"/>
      <c r="J279" s="55"/>
      <c r="K279" s="55"/>
      <c r="L279" s="56"/>
    </row>
    <row r="280" spans="1:12">
      <c r="A280" s="13"/>
      <c r="B280" s="13"/>
      <c r="F280" s="14"/>
      <c r="H280" s="53" t="str">
        <f>'BOM 04 22Master'!AP10</f>
        <v>INFOSYS  LTD.85-C Mittal Towers</v>
      </c>
      <c r="I280" s="2"/>
      <c r="J280" s="2"/>
      <c r="K280" s="2"/>
      <c r="L280" s="57"/>
    </row>
    <row r="281" spans="1:12">
      <c r="A281" s="13"/>
      <c r="B281" s="53" t="str">
        <f>'BOM 04 22Master'!F8</f>
        <v>IT SUPPORTIVE SERVICES&amp;MUMBAI</v>
      </c>
      <c r="F281" s="14"/>
      <c r="H281" s="53"/>
      <c r="I281" s="2"/>
      <c r="J281" s="2"/>
      <c r="K281" s="2"/>
      <c r="L281" s="57"/>
    </row>
    <row r="282" spans="1:12">
      <c r="A282" s="13"/>
      <c r="B282" s="13"/>
      <c r="F282" s="14"/>
      <c r="H282" s="53" t="str">
        <f>'BOM 04 22Master'!AP11</f>
        <v>8th flour Nariman Point,Maharashtra,400021</v>
      </c>
      <c r="I282" s="2"/>
      <c r="J282" s="2"/>
      <c r="K282" s="2"/>
      <c r="L282" s="57"/>
    </row>
    <row r="283" spans="1:12" ht="15.75" thickBot="1">
      <c r="A283" s="13"/>
      <c r="B283" s="25"/>
      <c r="C283" s="23"/>
      <c r="D283" s="23"/>
      <c r="E283" s="23"/>
      <c r="F283" s="24"/>
      <c r="H283" s="58"/>
      <c r="I283" s="59"/>
      <c r="J283" s="59"/>
      <c r="K283" s="59"/>
      <c r="L283" s="60"/>
    </row>
    <row r="284" spans="1:12">
      <c r="A284" s="61"/>
      <c r="B284" s="742" t="s">
        <v>188</v>
      </c>
      <c r="C284" s="742"/>
      <c r="D284" s="742"/>
      <c r="E284" s="742"/>
      <c r="F284" s="742"/>
      <c r="G284" s="742"/>
      <c r="H284" s="743" t="e">
        <f>'BOM 04 22Master'!#REF!</f>
        <v>#REF!</v>
      </c>
      <c r="I284" s="744"/>
      <c r="J284" s="744"/>
      <c r="K284" s="744"/>
      <c r="L284" s="745"/>
    </row>
    <row r="285" spans="1:12">
      <c r="A285" s="61"/>
      <c r="B285" s="755" t="s">
        <v>189</v>
      </c>
      <c r="C285" s="755"/>
      <c r="D285" s="755"/>
      <c r="E285" s="755"/>
      <c r="F285" s="755"/>
      <c r="G285" s="755"/>
      <c r="H285" s="743" t="e">
        <f>'BOM 04 22Master'!#REF!</f>
        <v>#REF!</v>
      </c>
      <c r="I285" s="744"/>
      <c r="J285" s="744"/>
      <c r="K285" s="744"/>
      <c r="L285" s="745"/>
    </row>
    <row r="286" spans="1:12">
      <c r="A286" s="61"/>
      <c r="B286" s="742" t="s">
        <v>190</v>
      </c>
      <c r="C286" s="742"/>
      <c r="D286" s="742"/>
      <c r="E286" s="742"/>
      <c r="F286" s="742"/>
      <c r="G286" s="742"/>
      <c r="H286" s="743" t="e">
        <f>'BOM 04 22Master'!#REF!</f>
        <v>#REF!</v>
      </c>
      <c r="I286" s="744"/>
      <c r="J286" s="744"/>
      <c r="K286" s="744"/>
      <c r="L286" s="745"/>
    </row>
    <row r="287" spans="1:12">
      <c r="A287" s="61"/>
      <c r="B287" s="742" t="s">
        <v>191</v>
      </c>
      <c r="C287" s="742"/>
      <c r="D287" s="742"/>
      <c r="E287" s="742"/>
      <c r="F287" s="742"/>
      <c r="G287" s="742"/>
      <c r="H287" s="916" t="e">
        <f>'BOM 04 22Master'!#REF!</f>
        <v>#REF!</v>
      </c>
      <c r="I287" s="744"/>
      <c r="J287" s="744"/>
      <c r="K287" s="744"/>
      <c r="L287" s="745"/>
    </row>
    <row r="288" spans="1:12">
      <c r="A288" s="61"/>
      <c r="B288" s="62" t="s">
        <v>192</v>
      </c>
      <c r="C288" s="63"/>
      <c r="D288" s="63"/>
      <c r="E288" s="63"/>
      <c r="F288" s="63"/>
      <c r="G288" s="63"/>
      <c r="H288" s="913" t="s">
        <v>193</v>
      </c>
      <c r="I288" s="914"/>
      <c r="J288" s="914"/>
      <c r="K288" s="914"/>
      <c r="L288" s="915"/>
    </row>
    <row r="289" spans="1:12">
      <c r="A289" s="61"/>
      <c r="B289" s="62" t="s">
        <v>194</v>
      </c>
      <c r="C289" s="63"/>
      <c r="D289" s="63"/>
      <c r="E289" s="63"/>
      <c r="F289" s="63"/>
      <c r="G289" s="63"/>
      <c r="H289" s="64"/>
      <c r="I289" s="66"/>
      <c r="J289" s="167"/>
      <c r="K289" s="66"/>
      <c r="L289" s="71"/>
    </row>
    <row r="290" spans="1:12">
      <c r="A290" s="61"/>
      <c r="B290" s="749" t="s">
        <v>195</v>
      </c>
      <c r="C290" s="749"/>
      <c r="D290" s="749"/>
      <c r="E290" s="749"/>
      <c r="F290" s="749"/>
      <c r="G290" s="749"/>
      <c r="H290" s="750" t="e">
        <f>'BOM 04 22Master'!#REF!</f>
        <v>#REF!</v>
      </c>
      <c r="I290" s="751"/>
      <c r="J290" s="751"/>
      <c r="K290" s="751"/>
      <c r="L290" s="752"/>
    </row>
    <row r="291" spans="1:12">
      <c r="A291" s="61"/>
      <c r="B291" s="742"/>
      <c r="C291" s="742"/>
      <c r="D291" s="742"/>
      <c r="E291" s="742"/>
      <c r="F291" s="742"/>
      <c r="G291" s="742"/>
      <c r="H291" s="766" t="e">
        <f>'BOM 04 22Master'!#REF!</f>
        <v>#REF!</v>
      </c>
      <c r="I291" s="744"/>
      <c r="J291" s="744"/>
      <c r="K291" s="744"/>
      <c r="L291" s="745"/>
    </row>
    <row r="292" spans="1:12">
      <c r="A292" s="13"/>
      <c r="B292" s="742"/>
      <c r="C292" s="742"/>
      <c r="D292" s="742"/>
      <c r="E292" s="742"/>
      <c r="F292" s="742"/>
      <c r="G292" s="742"/>
      <c r="H292" s="743" t="e">
        <f>'BOM 04 22Master'!#REF!</f>
        <v>#REF!</v>
      </c>
      <c r="I292" s="744"/>
      <c r="J292" s="744"/>
      <c r="K292" s="744"/>
      <c r="L292" s="745"/>
    </row>
    <row r="293" spans="1:12">
      <c r="A293" s="13"/>
      <c r="B293" s="62" t="s">
        <v>196</v>
      </c>
      <c r="C293" s="63"/>
      <c r="D293" s="63"/>
      <c r="E293" s="63"/>
      <c r="F293" s="63"/>
      <c r="G293" s="67"/>
      <c r="H293" s="906" t="e">
        <f>'BOM 04 22Master'!#REF!</f>
        <v>#REF!</v>
      </c>
      <c r="I293" s="779"/>
      <c r="J293" s="779"/>
      <c r="K293" s="779"/>
      <c r="L293" s="907"/>
    </row>
    <row r="294" spans="1:12">
      <c r="A294" s="13"/>
      <c r="B294" s="62"/>
      <c r="C294" s="63"/>
      <c r="D294" s="63"/>
      <c r="E294" s="63"/>
      <c r="F294" s="63"/>
      <c r="G294" s="67"/>
      <c r="H294" s="906" t="e">
        <f>'BOM 04 22Master'!#REF!</f>
        <v>#REF!</v>
      </c>
      <c r="I294" s="779"/>
      <c r="J294" s="779"/>
      <c r="K294" s="779"/>
      <c r="L294" s="907"/>
    </row>
    <row r="295" spans="1:12">
      <c r="A295" s="13"/>
      <c r="B295" s="62"/>
      <c r="C295" s="63"/>
      <c r="D295" s="63"/>
      <c r="E295" s="63"/>
      <c r="F295" s="63"/>
      <c r="G295" s="67"/>
      <c r="H295" s="906" t="e">
        <f>'BOM 04 22Master'!#REF!</f>
        <v>#REF!</v>
      </c>
      <c r="I295" s="779"/>
      <c r="J295" s="779"/>
      <c r="K295" s="779"/>
      <c r="L295" s="907"/>
    </row>
    <row r="296" spans="1:12">
      <c r="A296" s="13"/>
      <c r="B296" s="62" t="s">
        <v>203</v>
      </c>
      <c r="C296" s="63"/>
      <c r="D296" s="63"/>
      <c r="E296" s="63"/>
      <c r="F296" s="63"/>
      <c r="G296" s="67"/>
      <c r="H296" s="64"/>
      <c r="I296" s="66"/>
      <c r="J296" s="66"/>
      <c r="K296" s="66"/>
      <c r="L296" s="71"/>
    </row>
    <row r="297" spans="1:12">
      <c r="A297" s="13"/>
      <c r="B297" s="74" t="s">
        <v>204</v>
      </c>
      <c r="C297" s="148"/>
      <c r="D297" s="148"/>
      <c r="E297" s="148"/>
      <c r="F297" s="148"/>
      <c r="G297" s="149"/>
      <c r="H297" s="150"/>
      <c r="I297" s="151"/>
      <c r="J297" s="152"/>
      <c r="K297" s="151"/>
      <c r="L297" s="153"/>
    </row>
    <row r="298" spans="1:12" ht="45">
      <c r="A298" s="13"/>
      <c r="B298" s="62" t="s">
        <v>207</v>
      </c>
      <c r="C298" s="63"/>
      <c r="D298" s="66"/>
      <c r="E298" s="160" t="s">
        <v>209</v>
      </c>
      <c r="F298" s="45"/>
      <c r="G298" s="908" t="s">
        <v>208</v>
      </c>
      <c r="H298" s="909"/>
      <c r="I298" s="164" t="s">
        <v>205</v>
      </c>
      <c r="J298" s="162" t="s">
        <v>210</v>
      </c>
      <c r="K298" s="908" t="s">
        <v>206</v>
      </c>
      <c r="L298" s="910"/>
    </row>
    <row r="299" spans="1:12">
      <c r="A299" s="13"/>
      <c r="B299" s="163">
        <v>1</v>
      </c>
      <c r="C299" s="63"/>
      <c r="D299" s="63"/>
      <c r="E299" s="166">
        <v>2</v>
      </c>
      <c r="F299" s="67"/>
      <c r="G299" s="166">
        <v>3</v>
      </c>
      <c r="H299" s="182"/>
      <c r="I299" s="182">
        <v>4</v>
      </c>
      <c r="J299" s="85">
        <v>5</v>
      </c>
      <c r="K299" s="69"/>
      <c r="L299" s="70">
        <v>6</v>
      </c>
    </row>
    <row r="300" spans="1:12">
      <c r="A300" s="13"/>
      <c r="B300" s="280" t="e">
        <f>'BOM 04 22Master'!#REF!</f>
        <v>#REF!</v>
      </c>
      <c r="C300" s="178"/>
      <c r="D300" s="179"/>
      <c r="E300" s="181" t="s">
        <v>366</v>
      </c>
      <c r="F300" s="179"/>
      <c r="G300" s="181" t="s">
        <v>367</v>
      </c>
      <c r="H300" s="45"/>
      <c r="I300" s="11" t="s">
        <v>368</v>
      </c>
      <c r="J300" s="279">
        <v>1</v>
      </c>
      <c r="K300" s="911" t="s">
        <v>37</v>
      </c>
      <c r="L300" s="917"/>
    </row>
    <row r="301" spans="1:12">
      <c r="A301" s="13"/>
      <c r="B301" s="62"/>
      <c r="C301" s="178"/>
      <c r="D301" s="179"/>
      <c r="E301" s="180"/>
      <c r="F301" s="179"/>
      <c r="G301" s="180"/>
      <c r="H301" s="45"/>
      <c r="I301" s="11"/>
      <c r="J301" s="11"/>
      <c r="K301" s="181"/>
      <c r="L301" s="45"/>
    </row>
    <row r="302" spans="1:12">
      <c r="A302" s="13"/>
      <c r="B302" s="62"/>
      <c r="C302" s="178"/>
      <c r="D302" s="179"/>
      <c r="E302" s="180"/>
      <c r="F302" s="179"/>
      <c r="G302" s="180"/>
      <c r="H302" s="45"/>
      <c r="I302" s="11"/>
      <c r="J302" s="11"/>
      <c r="K302" s="181"/>
      <c r="L302" s="45"/>
    </row>
    <row r="303" spans="1:12">
      <c r="A303" s="13"/>
      <c r="B303" s="48"/>
      <c r="C303" s="17"/>
      <c r="D303" s="49"/>
      <c r="E303" s="180"/>
      <c r="F303" s="179"/>
      <c r="G303" s="180"/>
      <c r="H303" s="45"/>
      <c r="I303" s="11"/>
      <c r="J303" s="11"/>
      <c r="K303" s="181"/>
      <c r="L303" s="45"/>
    </row>
    <row r="304" spans="1:12">
      <c r="A304" s="13"/>
      <c r="B304" t="s">
        <v>211</v>
      </c>
      <c r="L304" s="14"/>
    </row>
    <row r="305" spans="1:12">
      <c r="A305" s="13"/>
      <c r="B305" t="s">
        <v>212</v>
      </c>
      <c r="L305" s="14"/>
    </row>
    <row r="306" spans="1:12">
      <c r="A306" s="13"/>
      <c r="B306" t="s">
        <v>213</v>
      </c>
      <c r="L306" s="14"/>
    </row>
    <row r="307" spans="1:12" ht="27.95" customHeight="1">
      <c r="A307" s="13"/>
      <c r="L307" s="14"/>
    </row>
    <row r="308" spans="1:12" ht="27.95" customHeight="1">
      <c r="A308" s="13"/>
      <c r="I308" t="s">
        <v>214</v>
      </c>
      <c r="L308" s="14"/>
    </row>
    <row r="309" spans="1:12" ht="27.95" customHeight="1">
      <c r="A309" s="13"/>
      <c r="F309" s="168" t="s">
        <v>197</v>
      </c>
      <c r="L309" s="14"/>
    </row>
    <row r="310" spans="1:12" ht="27.95" customHeight="1">
      <c r="A310" s="13" t="s">
        <v>198</v>
      </c>
      <c r="K310" s="218" t="e">
        <f>'BOM 04 22Master'!#REF!</f>
        <v>#REF!</v>
      </c>
      <c r="L310" s="14"/>
    </row>
    <row r="311" spans="1:12" ht="27.95" customHeight="1">
      <c r="A311" s="13" t="s">
        <v>199</v>
      </c>
      <c r="L311" s="14"/>
    </row>
    <row r="312" spans="1:12" ht="27.95" customHeight="1">
      <c r="A312" s="13"/>
      <c r="L312" s="14"/>
    </row>
    <row r="313" spans="1:12" ht="27.95" customHeight="1">
      <c r="A313" s="13"/>
      <c r="L313" s="14"/>
    </row>
    <row r="314" spans="1:12" ht="27.95" customHeight="1">
      <c r="A314" s="13"/>
      <c r="F314" t="s">
        <v>200</v>
      </c>
      <c r="L314" s="14"/>
    </row>
    <row r="315" spans="1:12" ht="27.95" customHeight="1">
      <c r="A315" s="13" t="s">
        <v>201</v>
      </c>
      <c r="B315" t="s">
        <v>365</v>
      </c>
      <c r="F315" t="str">
        <f>'BOM 04 22Master'!F5</f>
        <v>Burgeon IT Services Pvt.Ltd.</v>
      </c>
      <c r="L315" s="14"/>
    </row>
    <row r="316" spans="1:12" ht="27.95" customHeight="1">
      <c r="A316" s="13" t="s">
        <v>202</v>
      </c>
      <c r="B316" s="278" t="e">
        <f>'BOM 04 22Master'!#REF!</f>
        <v>#REF!</v>
      </c>
      <c r="F316" t="str">
        <f>'BOM 04 22Master'!F6</f>
        <v>Siri Mansion LIGB 436 Dr.A S Rao Nagar,Hyderabad</v>
      </c>
      <c r="L316" s="14"/>
    </row>
    <row r="317" spans="1:12" ht="27.95" customHeight="1" thickBot="1">
      <c r="A317" s="25"/>
      <c r="B317" s="23"/>
      <c r="C317" s="23"/>
      <c r="D317" s="23"/>
      <c r="E317" s="23"/>
      <c r="F317" s="23"/>
      <c r="G317" s="23"/>
      <c r="H317" s="23"/>
      <c r="I317" s="23"/>
      <c r="J317" s="23"/>
      <c r="K317" s="23"/>
      <c r="L317" s="24"/>
    </row>
    <row r="318" spans="1:12" ht="27.95" customHeight="1" thickBot="1">
      <c r="B318" s="169"/>
      <c r="C318" s="165"/>
      <c r="D318" s="165"/>
      <c r="E318" s="165"/>
      <c r="F318" s="165"/>
      <c r="G318" s="165"/>
      <c r="H318" s="154"/>
      <c r="I318" s="154"/>
      <c r="J318" s="155"/>
      <c r="K318" s="154"/>
      <c r="L318" s="154"/>
    </row>
    <row r="319" spans="1:12" ht="27.95" customHeight="1">
      <c r="A319" s="50"/>
      <c r="B319" s="756" t="s">
        <v>185</v>
      </c>
      <c r="C319" s="757"/>
      <c r="D319" s="757"/>
      <c r="E319" s="757"/>
      <c r="F319" s="757"/>
      <c r="G319" s="757"/>
      <c r="H319" s="757"/>
      <c r="I319" s="757"/>
      <c r="J319" s="757"/>
      <c r="K319" s="757"/>
      <c r="L319" s="758"/>
    </row>
    <row r="320" spans="1:12" ht="27.95" customHeight="1">
      <c r="A320" s="13"/>
      <c r="B320" s="759" t="s">
        <v>186</v>
      </c>
      <c r="C320" s="759"/>
      <c r="D320" s="759"/>
      <c r="E320" s="759"/>
      <c r="F320" s="759"/>
      <c r="G320" s="759"/>
      <c r="H320" s="759"/>
      <c r="I320" s="759"/>
      <c r="J320" s="759"/>
      <c r="K320" s="759"/>
      <c r="L320" s="760"/>
    </row>
    <row r="321" spans="1:12" ht="27.95" customHeight="1" thickBot="1">
      <c r="A321" s="25"/>
      <c r="B321" s="761" t="s">
        <v>187</v>
      </c>
      <c r="C321" s="761"/>
      <c r="D321" s="761"/>
      <c r="E321" s="761"/>
      <c r="F321" s="761"/>
      <c r="G321" s="761"/>
      <c r="H321" s="761"/>
      <c r="I321" s="761"/>
      <c r="J321" s="761"/>
      <c r="K321" s="761"/>
      <c r="L321" s="762"/>
    </row>
    <row r="322" spans="1:12" ht="27.95" customHeight="1">
      <c r="A322" s="13"/>
      <c r="B322" s="763" t="s">
        <v>112</v>
      </c>
      <c r="C322" s="763"/>
      <c r="D322" s="763"/>
      <c r="E322" s="763"/>
      <c r="F322" s="763"/>
      <c r="H322" s="764" t="s">
        <v>113</v>
      </c>
      <c r="I322" s="764"/>
      <c r="J322" s="764"/>
      <c r="K322" s="764"/>
      <c r="L322" s="765"/>
    </row>
    <row r="323" spans="1:12" ht="27.95" customHeight="1" thickBot="1">
      <c r="A323" s="13"/>
      <c r="B323" s="763"/>
      <c r="C323" s="763"/>
      <c r="D323" s="763"/>
      <c r="E323" s="763"/>
      <c r="F323" s="763"/>
      <c r="H323" s="764"/>
      <c r="I323" s="764"/>
      <c r="J323" s="764"/>
      <c r="K323" s="764"/>
      <c r="L323" s="765"/>
    </row>
    <row r="324" spans="1:12" ht="27.95" customHeight="1">
      <c r="A324" s="13"/>
      <c r="B324" s="50"/>
      <c r="C324" s="51"/>
      <c r="D324" s="51"/>
      <c r="E324" s="51"/>
      <c r="F324" s="52"/>
      <c r="H324" s="50"/>
      <c r="I324" s="51"/>
      <c r="J324" s="51"/>
      <c r="K324" s="51"/>
      <c r="L324" s="52"/>
    </row>
    <row r="325" spans="1:12">
      <c r="A325" s="13"/>
      <c r="B325" s="147" t="str">
        <f>'BOM 04 22Master'!F5</f>
        <v>Burgeon IT Services Pvt.Ltd.</v>
      </c>
      <c r="F325" s="14"/>
      <c r="H325" s="53" t="str">
        <f>'BOM 04 22Master'!AP5</f>
        <v>Burgeon IT Services Pvt.Ltd.</v>
      </c>
      <c r="L325" s="14"/>
    </row>
    <row r="326" spans="1:12">
      <c r="A326" s="13"/>
      <c r="B326" s="13"/>
      <c r="F326" s="14"/>
      <c r="H326" s="13"/>
      <c r="L326" s="14"/>
    </row>
    <row r="327" spans="1:12">
      <c r="A327" s="13"/>
      <c r="B327" s="53" t="str">
        <f>'BOM 04 22Master'!F6</f>
        <v>Siri Mansion LIGB 436 Dr.A S Rao Nagar,Hyderabad</v>
      </c>
      <c r="F327" s="14"/>
      <c r="H327" s="53" t="str">
        <f>'BOM 04 22Master'!AP6</f>
        <v>Siri Mansion LIGB 436 Dr.A S Rao Nagar,Hyderabad</v>
      </c>
      <c r="L327" s="14"/>
    </row>
    <row r="328" spans="1:12" ht="15.75" thickBot="1">
      <c r="A328" s="13"/>
      <c r="B328" s="25"/>
      <c r="C328" s="23"/>
      <c r="D328" s="23"/>
      <c r="E328" s="23"/>
      <c r="F328" s="24"/>
      <c r="H328" s="25"/>
      <c r="I328" s="23"/>
      <c r="J328" s="23"/>
      <c r="K328" s="23"/>
      <c r="L328" s="24"/>
    </row>
    <row r="329" spans="1:12">
      <c r="A329" s="13"/>
      <c r="J329" t="s">
        <v>114</v>
      </c>
      <c r="L329" s="14"/>
    </row>
    <row r="330" spans="1:12">
      <c r="A330" s="13"/>
      <c r="B330" s="753" t="s">
        <v>115</v>
      </c>
      <c r="C330" s="753"/>
      <c r="D330" s="753"/>
      <c r="E330" s="753"/>
      <c r="F330" s="753"/>
      <c r="H330" s="753" t="s">
        <v>4</v>
      </c>
      <c r="I330" s="753"/>
      <c r="J330" s="753"/>
      <c r="K330" s="753"/>
      <c r="L330" s="754"/>
    </row>
    <row r="331" spans="1:12" ht="15.75" thickBot="1">
      <c r="A331" s="13"/>
      <c r="L331" s="14"/>
    </row>
    <row r="332" spans="1:12">
      <c r="A332" s="13"/>
      <c r="B332" s="50"/>
      <c r="C332" s="51"/>
      <c r="D332" s="51"/>
      <c r="E332" s="51"/>
      <c r="F332" s="52"/>
      <c r="H332" s="54"/>
      <c r="I332" s="55"/>
      <c r="J332" s="55"/>
      <c r="K332" s="55"/>
      <c r="L332" s="56"/>
    </row>
    <row r="333" spans="1:12">
      <c r="A333" s="13"/>
      <c r="B333" s="13"/>
      <c r="F333" s="14"/>
      <c r="H333" s="53" t="str">
        <f>'BOM 04 22Master'!AP10</f>
        <v>INFOSYS  LTD.85-C Mittal Towers</v>
      </c>
      <c r="I333" s="2"/>
      <c r="J333" s="2"/>
      <c r="K333" s="2"/>
      <c r="L333" s="57"/>
    </row>
    <row r="334" spans="1:12">
      <c r="A334" s="13"/>
      <c r="B334" s="53" t="str">
        <f>'BOM 04 22Master'!F8</f>
        <v>IT SUPPORTIVE SERVICES&amp;MUMBAI</v>
      </c>
      <c r="F334" s="14"/>
      <c r="H334" s="53"/>
      <c r="I334" s="2"/>
      <c r="J334" s="2"/>
      <c r="K334" s="2"/>
      <c r="L334" s="57"/>
    </row>
    <row r="335" spans="1:12">
      <c r="A335" s="13"/>
      <c r="B335" s="13"/>
      <c r="F335" s="14"/>
      <c r="H335" s="53" t="str">
        <f>'BOM 04 22Master'!AP11</f>
        <v>8th flour Nariman Point,Maharashtra,400021</v>
      </c>
      <c r="I335" s="2"/>
      <c r="J335" s="2"/>
      <c r="K335" s="2"/>
      <c r="L335" s="57"/>
    </row>
    <row r="336" spans="1:12" ht="15.75" thickBot="1">
      <c r="A336" s="13"/>
      <c r="B336" s="25"/>
      <c r="C336" s="23"/>
      <c r="D336" s="23"/>
      <c r="E336" s="23"/>
      <c r="F336" s="24"/>
      <c r="H336" s="58"/>
      <c r="I336" s="59"/>
      <c r="J336" s="59"/>
      <c r="K336" s="59"/>
      <c r="L336" s="60"/>
    </row>
    <row r="337" spans="1:12">
      <c r="A337" s="61"/>
      <c r="B337" s="742" t="s">
        <v>188</v>
      </c>
      <c r="C337" s="742"/>
      <c r="D337" s="742"/>
      <c r="E337" s="742"/>
      <c r="F337" s="742"/>
      <c r="G337" s="742"/>
      <c r="H337" s="743" t="e">
        <f>'BOM 04 22Master'!#REF!</f>
        <v>#REF!</v>
      </c>
      <c r="I337" s="744"/>
      <c r="J337" s="744"/>
      <c r="K337" s="744"/>
      <c r="L337" s="745"/>
    </row>
    <row r="338" spans="1:12">
      <c r="A338" s="61"/>
      <c r="B338" s="755" t="s">
        <v>189</v>
      </c>
      <c r="C338" s="755"/>
      <c r="D338" s="755"/>
      <c r="E338" s="755"/>
      <c r="F338" s="755"/>
      <c r="G338" s="755"/>
      <c r="H338" s="743" t="e">
        <f>'BOM 04 22Master'!#REF!</f>
        <v>#REF!</v>
      </c>
      <c r="I338" s="744"/>
      <c r="J338" s="744"/>
      <c r="K338" s="744"/>
      <c r="L338" s="745"/>
    </row>
    <row r="339" spans="1:12">
      <c r="A339" s="61"/>
      <c r="B339" s="742" t="s">
        <v>190</v>
      </c>
      <c r="C339" s="742"/>
      <c r="D339" s="742"/>
      <c r="E339" s="742"/>
      <c r="F339" s="742"/>
      <c r="G339" s="742"/>
      <c r="H339" s="743" t="e">
        <f>'BOM 04 22Master'!#REF!</f>
        <v>#REF!</v>
      </c>
      <c r="I339" s="744"/>
      <c r="J339" s="744"/>
      <c r="K339" s="744"/>
      <c r="L339" s="745"/>
    </row>
    <row r="340" spans="1:12">
      <c r="A340" s="61"/>
      <c r="B340" s="742" t="s">
        <v>191</v>
      </c>
      <c r="C340" s="742"/>
      <c r="D340" s="742"/>
      <c r="E340" s="742"/>
      <c r="F340" s="742"/>
      <c r="G340" s="742"/>
      <c r="H340" s="916" t="e">
        <f>'BOM 04 22Master'!#REF!</f>
        <v>#REF!</v>
      </c>
      <c r="I340" s="744"/>
      <c r="J340" s="744"/>
      <c r="K340" s="744"/>
      <c r="L340" s="745"/>
    </row>
    <row r="341" spans="1:12">
      <c r="A341" s="61"/>
      <c r="B341" s="62" t="s">
        <v>192</v>
      </c>
      <c r="C341" s="63"/>
      <c r="D341" s="63"/>
      <c r="E341" s="63"/>
      <c r="F341" s="63"/>
      <c r="G341" s="63"/>
      <c r="H341" s="913" t="s">
        <v>193</v>
      </c>
      <c r="I341" s="914"/>
      <c r="J341" s="914"/>
      <c r="K341" s="914"/>
      <c r="L341" s="915"/>
    </row>
    <row r="342" spans="1:12">
      <c r="A342" s="61"/>
      <c r="B342" s="62" t="s">
        <v>194</v>
      </c>
      <c r="C342" s="63"/>
      <c r="D342" s="63"/>
      <c r="E342" s="63"/>
      <c r="F342" s="63"/>
      <c r="G342" s="63"/>
      <c r="H342" s="64"/>
      <c r="I342" s="66"/>
      <c r="J342" s="167"/>
      <c r="K342" s="66"/>
      <c r="L342" s="71"/>
    </row>
    <row r="343" spans="1:12">
      <c r="A343" s="61"/>
      <c r="B343" s="749" t="s">
        <v>195</v>
      </c>
      <c r="C343" s="749"/>
      <c r="D343" s="749"/>
      <c r="E343" s="749"/>
      <c r="F343" s="749"/>
      <c r="G343" s="749"/>
      <c r="H343" s="750" t="e">
        <f>'BOM 04 22Master'!#REF!</f>
        <v>#REF!</v>
      </c>
      <c r="I343" s="751"/>
      <c r="J343" s="751"/>
      <c r="K343" s="751"/>
      <c r="L343" s="752"/>
    </row>
    <row r="344" spans="1:12">
      <c r="A344" s="61"/>
      <c r="B344" s="742"/>
      <c r="C344" s="742"/>
      <c r="D344" s="742"/>
      <c r="E344" s="742"/>
      <c r="F344" s="742"/>
      <c r="G344" s="742"/>
      <c r="H344" s="766" t="e">
        <f>'BOM 04 22Master'!#REF!</f>
        <v>#REF!</v>
      </c>
      <c r="I344" s="744"/>
      <c r="J344" s="744"/>
      <c r="K344" s="744"/>
      <c r="L344" s="745"/>
    </row>
    <row r="345" spans="1:12">
      <c r="A345" s="13"/>
      <c r="B345" s="742"/>
      <c r="C345" s="742"/>
      <c r="D345" s="742"/>
      <c r="E345" s="742"/>
      <c r="F345" s="742"/>
      <c r="G345" s="742"/>
      <c r="H345" s="743" t="e">
        <f>'BOM 04 22Master'!#REF!</f>
        <v>#REF!</v>
      </c>
      <c r="I345" s="744"/>
      <c r="J345" s="744"/>
      <c r="K345" s="744"/>
      <c r="L345" s="745"/>
    </row>
    <row r="346" spans="1:12">
      <c r="A346" s="13"/>
      <c r="B346" s="62" t="s">
        <v>196</v>
      </c>
      <c r="C346" s="63"/>
      <c r="D346" s="63"/>
      <c r="E346" s="63"/>
      <c r="F346" s="63"/>
      <c r="G346" s="67"/>
      <c r="H346" s="906" t="e">
        <f>'BOM 04 22Master'!#REF!</f>
        <v>#REF!</v>
      </c>
      <c r="I346" s="779"/>
      <c r="J346" s="779"/>
      <c r="K346" s="779"/>
      <c r="L346" s="907"/>
    </row>
    <row r="347" spans="1:12">
      <c r="A347" s="13"/>
      <c r="B347" s="62"/>
      <c r="C347" s="63"/>
      <c r="D347" s="63"/>
      <c r="E347" s="63"/>
      <c r="F347" s="63"/>
      <c r="G347" s="67"/>
      <c r="H347" s="906" t="e">
        <f>'BOM 04 22Master'!#REF!</f>
        <v>#REF!</v>
      </c>
      <c r="I347" s="779"/>
      <c r="J347" s="779"/>
      <c r="K347" s="779"/>
      <c r="L347" s="907"/>
    </row>
    <row r="348" spans="1:12">
      <c r="A348" s="13"/>
      <c r="B348" s="62"/>
      <c r="C348" s="63"/>
      <c r="D348" s="63"/>
      <c r="E348" s="63"/>
      <c r="F348" s="63"/>
      <c r="G348" s="67"/>
      <c r="H348" s="906" t="e">
        <f>'BOM 04 22Master'!#REF!</f>
        <v>#REF!</v>
      </c>
      <c r="I348" s="779"/>
      <c r="J348" s="779"/>
      <c r="K348" s="779"/>
      <c r="L348" s="907"/>
    </row>
    <row r="349" spans="1:12">
      <c r="A349" s="13"/>
      <c r="B349" s="62" t="s">
        <v>203</v>
      </c>
      <c r="C349" s="63"/>
      <c r="D349" s="63"/>
      <c r="E349" s="63"/>
      <c r="F349" s="63"/>
      <c r="G349" s="67"/>
      <c r="H349" s="64"/>
      <c r="I349" s="66"/>
      <c r="J349" s="66"/>
      <c r="K349" s="66"/>
      <c r="L349" s="71"/>
    </row>
    <row r="350" spans="1:12">
      <c r="A350" s="13"/>
      <c r="B350" s="74" t="s">
        <v>204</v>
      </c>
      <c r="C350" s="148"/>
      <c r="D350" s="148"/>
      <c r="E350" s="148"/>
      <c r="F350" s="148"/>
      <c r="G350" s="149"/>
      <c r="H350" s="150"/>
      <c r="I350" s="151"/>
      <c r="J350" s="152"/>
      <c r="K350" s="151"/>
      <c r="L350" s="153"/>
    </row>
    <row r="351" spans="1:12" ht="45">
      <c r="A351" s="13"/>
      <c r="B351" s="62" t="s">
        <v>207</v>
      </c>
      <c r="C351" s="63"/>
      <c r="D351" s="66"/>
      <c r="E351" s="160" t="s">
        <v>209</v>
      </c>
      <c r="F351" s="45"/>
      <c r="G351" s="908" t="s">
        <v>208</v>
      </c>
      <c r="H351" s="909"/>
      <c r="I351" s="164" t="s">
        <v>205</v>
      </c>
      <c r="J351" s="162" t="s">
        <v>210</v>
      </c>
      <c r="K351" s="908" t="s">
        <v>206</v>
      </c>
      <c r="L351" s="910"/>
    </row>
    <row r="352" spans="1:12">
      <c r="A352" s="13"/>
      <c r="B352" s="163">
        <v>1</v>
      </c>
      <c r="C352" s="63"/>
      <c r="D352" s="63"/>
      <c r="E352" s="166">
        <v>2</v>
      </c>
      <c r="F352" s="67"/>
      <c r="G352" s="166">
        <v>3</v>
      </c>
      <c r="H352" s="182"/>
      <c r="I352" s="182">
        <v>4</v>
      </c>
      <c r="J352" s="85">
        <v>5</v>
      </c>
      <c r="K352" s="69"/>
      <c r="L352" s="70">
        <v>6</v>
      </c>
    </row>
    <row r="353" spans="1:12">
      <c r="A353" s="13"/>
      <c r="B353" s="280" t="e">
        <f>'BOM 04 22Master'!#REF!</f>
        <v>#REF!</v>
      </c>
      <c r="C353" s="178"/>
      <c r="D353" s="179"/>
      <c r="E353" s="181" t="s">
        <v>366</v>
      </c>
      <c r="F353" s="179"/>
      <c r="G353" s="181" t="s">
        <v>367</v>
      </c>
      <c r="H353" s="45"/>
      <c r="I353" s="11" t="s">
        <v>368</v>
      </c>
      <c r="J353" s="279">
        <v>1</v>
      </c>
      <c r="K353" s="911" t="s">
        <v>37</v>
      </c>
      <c r="L353" s="917"/>
    </row>
    <row r="354" spans="1:12">
      <c r="A354" s="13"/>
      <c r="B354" s="62"/>
      <c r="C354" s="178"/>
      <c r="D354" s="179"/>
      <c r="E354" s="180"/>
      <c r="F354" s="179"/>
      <c r="G354" s="180"/>
      <c r="H354" s="45"/>
      <c r="I354" s="11"/>
      <c r="J354" s="11"/>
      <c r="K354" s="181"/>
      <c r="L354" s="45"/>
    </row>
    <row r="355" spans="1:12">
      <c r="A355" s="13"/>
      <c r="B355" s="62"/>
      <c r="C355" s="178"/>
      <c r="D355" s="179"/>
      <c r="E355" s="180"/>
      <c r="F355" s="179"/>
      <c r="G355" s="180"/>
      <c r="H355" s="45"/>
      <c r="I355" s="11"/>
      <c r="J355" s="11"/>
      <c r="K355" s="181"/>
      <c r="L355" s="45"/>
    </row>
    <row r="356" spans="1:12">
      <c r="A356" s="13"/>
      <c r="B356" s="48"/>
      <c r="C356" s="17"/>
      <c r="D356" s="49"/>
      <c r="E356" s="180"/>
      <c r="F356" s="179"/>
      <c r="G356" s="180"/>
      <c r="H356" s="45"/>
      <c r="I356" s="11"/>
      <c r="J356" s="11"/>
      <c r="K356" s="181"/>
      <c r="L356" s="45"/>
    </row>
    <row r="357" spans="1:12">
      <c r="A357" s="13"/>
      <c r="B357" t="s">
        <v>211</v>
      </c>
      <c r="L357" s="14"/>
    </row>
    <row r="358" spans="1:12">
      <c r="A358" s="13"/>
      <c r="B358" t="s">
        <v>212</v>
      </c>
      <c r="L358" s="14"/>
    </row>
    <row r="359" spans="1:12">
      <c r="A359" s="13"/>
      <c r="B359" t="s">
        <v>213</v>
      </c>
      <c r="L359" s="14"/>
    </row>
    <row r="360" spans="1:12" ht="27.95" customHeight="1">
      <c r="A360" s="13"/>
      <c r="L360" s="14"/>
    </row>
    <row r="361" spans="1:12" ht="27.95" customHeight="1">
      <c r="A361" s="13"/>
      <c r="I361" t="s">
        <v>214</v>
      </c>
      <c r="L361" s="14"/>
    </row>
    <row r="362" spans="1:12" ht="27.95" customHeight="1">
      <c r="A362" s="13"/>
      <c r="F362" s="168" t="s">
        <v>197</v>
      </c>
      <c r="L362" s="14"/>
    </row>
    <row r="363" spans="1:12" ht="27.95" customHeight="1">
      <c r="A363" s="13" t="s">
        <v>198</v>
      </c>
      <c r="K363" s="218" t="e">
        <f>'BOM 04 22Master'!#REF!</f>
        <v>#REF!</v>
      </c>
      <c r="L363" s="14"/>
    </row>
    <row r="364" spans="1:12" ht="27.95" customHeight="1">
      <c r="A364" s="13" t="s">
        <v>199</v>
      </c>
      <c r="L364" s="14"/>
    </row>
    <row r="365" spans="1:12" ht="27.95" customHeight="1">
      <c r="A365" s="13"/>
      <c r="L365" s="14"/>
    </row>
    <row r="366" spans="1:12" ht="27.95" customHeight="1">
      <c r="A366" s="13"/>
      <c r="L366" s="14"/>
    </row>
    <row r="367" spans="1:12" ht="27.95" customHeight="1">
      <c r="A367" s="13"/>
      <c r="F367" t="s">
        <v>200</v>
      </c>
      <c r="L367" s="14"/>
    </row>
    <row r="368" spans="1:12" ht="27.95" customHeight="1">
      <c r="A368" s="13" t="s">
        <v>201</v>
      </c>
      <c r="B368" t="s">
        <v>365</v>
      </c>
      <c r="F368" t="str">
        <f>'BOM 04 22Master'!F5</f>
        <v>Burgeon IT Services Pvt.Ltd.</v>
      </c>
      <c r="L368" s="14"/>
    </row>
    <row r="369" spans="1:12" ht="27.95" customHeight="1">
      <c r="A369" s="13" t="s">
        <v>202</v>
      </c>
      <c r="B369" s="278" t="e">
        <f>'BOM 04 22Master'!#REF!</f>
        <v>#REF!</v>
      </c>
      <c r="F369" t="str">
        <f>'BOM 04 22Master'!F6</f>
        <v>Siri Mansion LIGB 436 Dr.A S Rao Nagar,Hyderabad</v>
      </c>
      <c r="L369" s="14"/>
    </row>
    <row r="370" spans="1:12" ht="27.95" customHeight="1" thickBot="1">
      <c r="A370" s="25"/>
      <c r="B370" s="23"/>
      <c r="C370" s="23"/>
      <c r="D370" s="23"/>
      <c r="E370" s="23"/>
      <c r="F370" s="23"/>
      <c r="G370" s="23"/>
      <c r="H370" s="23"/>
      <c r="I370" s="23"/>
      <c r="J370" s="23"/>
      <c r="K370" s="23"/>
      <c r="L370" s="24"/>
    </row>
    <row r="371" spans="1:12" ht="27.95" customHeight="1" thickBot="1">
      <c r="B371" s="169"/>
      <c r="C371" s="165"/>
      <c r="D371" s="165"/>
      <c r="E371" s="165"/>
      <c r="F371" s="165"/>
      <c r="G371" s="165"/>
      <c r="H371" s="154"/>
      <c r="I371" s="154"/>
      <c r="J371" s="155"/>
      <c r="K371" s="154"/>
      <c r="L371" s="154"/>
    </row>
    <row r="372" spans="1:12" ht="27.95" customHeight="1">
      <c r="A372" s="50"/>
      <c r="B372" s="756" t="s">
        <v>185</v>
      </c>
      <c r="C372" s="757"/>
      <c r="D372" s="757"/>
      <c r="E372" s="757"/>
      <c r="F372" s="757"/>
      <c r="G372" s="757"/>
      <c r="H372" s="757"/>
      <c r="I372" s="757"/>
      <c r="J372" s="757"/>
      <c r="K372" s="757"/>
      <c r="L372" s="758"/>
    </row>
    <row r="373" spans="1:12" ht="27.95" customHeight="1">
      <c r="A373" s="13"/>
      <c r="B373" s="759" t="s">
        <v>186</v>
      </c>
      <c r="C373" s="759"/>
      <c r="D373" s="759"/>
      <c r="E373" s="759"/>
      <c r="F373" s="759"/>
      <c r="G373" s="759"/>
      <c r="H373" s="759"/>
      <c r="I373" s="759"/>
      <c r="J373" s="759"/>
      <c r="K373" s="759"/>
      <c r="L373" s="760"/>
    </row>
    <row r="374" spans="1:12" ht="27.95" customHeight="1" thickBot="1">
      <c r="A374" s="25"/>
      <c r="B374" s="761" t="s">
        <v>187</v>
      </c>
      <c r="C374" s="761"/>
      <c r="D374" s="761"/>
      <c r="E374" s="761"/>
      <c r="F374" s="761"/>
      <c r="G374" s="761"/>
      <c r="H374" s="761"/>
      <c r="I374" s="761"/>
      <c r="J374" s="761"/>
      <c r="K374" s="761"/>
      <c r="L374" s="762"/>
    </row>
    <row r="375" spans="1:12" ht="27.95" customHeight="1">
      <c r="A375" s="13"/>
      <c r="B375" s="763" t="s">
        <v>112</v>
      </c>
      <c r="C375" s="763"/>
      <c r="D375" s="763"/>
      <c r="E375" s="763"/>
      <c r="F375" s="763"/>
      <c r="H375" s="764" t="s">
        <v>113</v>
      </c>
      <c r="I375" s="764"/>
      <c r="J375" s="764"/>
      <c r="K375" s="764"/>
      <c r="L375" s="765"/>
    </row>
    <row r="376" spans="1:12" ht="27.95" customHeight="1" thickBot="1">
      <c r="A376" s="13"/>
      <c r="B376" s="763"/>
      <c r="C376" s="763"/>
      <c r="D376" s="763"/>
      <c r="E376" s="763"/>
      <c r="F376" s="763"/>
      <c r="H376" s="764"/>
      <c r="I376" s="764"/>
      <c r="J376" s="764"/>
      <c r="K376" s="764"/>
      <c r="L376" s="765"/>
    </row>
    <row r="377" spans="1:12" ht="27.95" customHeight="1">
      <c r="A377" s="13"/>
      <c r="B377" s="50"/>
      <c r="C377" s="51"/>
      <c r="D377" s="51"/>
      <c r="E377" s="51"/>
      <c r="F377" s="52"/>
      <c r="H377" s="50"/>
      <c r="I377" s="51"/>
      <c r="J377" s="51"/>
      <c r="K377" s="51"/>
      <c r="L377" s="52"/>
    </row>
    <row r="378" spans="1:12">
      <c r="A378" s="13"/>
      <c r="B378" s="53" t="str">
        <f>'BOM 04 22Master'!F5</f>
        <v>Burgeon IT Services Pvt.Ltd.</v>
      </c>
      <c r="F378" s="14"/>
      <c r="H378" s="53" t="str">
        <f>'BOM 04 22Master'!AP5</f>
        <v>Burgeon IT Services Pvt.Ltd.</v>
      </c>
      <c r="L378" s="14"/>
    </row>
    <row r="379" spans="1:12">
      <c r="A379" s="13"/>
      <c r="B379" s="13"/>
      <c r="F379" s="14"/>
      <c r="H379" s="13"/>
      <c r="L379" s="14"/>
    </row>
    <row r="380" spans="1:12">
      <c r="A380" s="13"/>
      <c r="B380" s="53" t="str">
        <f>'BOM 04 22Master'!F6</f>
        <v>Siri Mansion LIGB 436 Dr.A S Rao Nagar,Hyderabad</v>
      </c>
      <c r="F380" s="14"/>
      <c r="H380" s="53" t="str">
        <f>'BOM 04 22Master'!AP6</f>
        <v>Siri Mansion LIGB 436 Dr.A S Rao Nagar,Hyderabad</v>
      </c>
      <c r="L380" s="14"/>
    </row>
    <row r="381" spans="1:12" ht="15.75" thickBot="1">
      <c r="A381" s="13"/>
      <c r="B381" s="25"/>
      <c r="C381" s="23"/>
      <c r="D381" s="23"/>
      <c r="E381" s="23"/>
      <c r="F381" s="24"/>
      <c r="H381" s="25"/>
      <c r="I381" s="23"/>
      <c r="J381" s="23"/>
      <c r="K381" s="23"/>
      <c r="L381" s="24"/>
    </row>
    <row r="382" spans="1:12">
      <c r="A382" s="13"/>
      <c r="J382" t="s">
        <v>114</v>
      </c>
      <c r="L382" s="14"/>
    </row>
    <row r="383" spans="1:12">
      <c r="A383" s="13"/>
      <c r="B383" s="753" t="s">
        <v>115</v>
      </c>
      <c r="C383" s="753"/>
      <c r="D383" s="753"/>
      <c r="E383" s="753"/>
      <c r="F383" s="753"/>
      <c r="H383" s="753" t="s">
        <v>4</v>
      </c>
      <c r="I383" s="753"/>
      <c r="J383" s="753"/>
      <c r="K383" s="753"/>
      <c r="L383" s="754"/>
    </row>
    <row r="384" spans="1:12" ht="15" customHeight="1" thickBot="1">
      <c r="A384" s="13"/>
      <c r="L384" s="14"/>
    </row>
    <row r="385" spans="1:12">
      <c r="A385" s="13"/>
      <c r="B385" s="50"/>
      <c r="C385" s="51"/>
      <c r="D385" s="51"/>
      <c r="E385" s="51"/>
      <c r="F385" s="52"/>
      <c r="H385" s="54"/>
      <c r="I385" s="55"/>
      <c r="J385" s="55"/>
      <c r="K385" s="55"/>
      <c r="L385" s="56"/>
    </row>
    <row r="386" spans="1:12">
      <c r="A386" s="13"/>
      <c r="B386" s="13"/>
      <c r="F386" s="14"/>
      <c r="H386" s="53" t="str">
        <f>'BOM 04 22Master'!AP10</f>
        <v>INFOSYS  LTD.85-C Mittal Towers</v>
      </c>
      <c r="I386" s="2"/>
      <c r="J386" s="2"/>
      <c r="K386" s="2"/>
      <c r="L386" s="57"/>
    </row>
    <row r="387" spans="1:12">
      <c r="A387" s="13"/>
      <c r="B387" s="53" t="str">
        <f>'BOM 04 22Master'!F8</f>
        <v>IT SUPPORTIVE SERVICES&amp;MUMBAI</v>
      </c>
      <c r="F387" s="14"/>
      <c r="H387" s="53"/>
      <c r="I387" s="2"/>
      <c r="J387" s="2"/>
      <c r="K387" s="2"/>
      <c r="L387" s="57"/>
    </row>
    <row r="388" spans="1:12">
      <c r="A388" s="13"/>
      <c r="B388" s="13"/>
      <c r="F388" s="14"/>
      <c r="H388" s="53" t="str">
        <f>'BOM 04 22Master'!AP11</f>
        <v>8th flour Nariman Point,Maharashtra,400021</v>
      </c>
      <c r="I388" s="2"/>
      <c r="J388" s="2"/>
      <c r="K388" s="2"/>
      <c r="L388" s="57"/>
    </row>
    <row r="389" spans="1:12" ht="15.75" thickBot="1">
      <c r="A389" s="13"/>
      <c r="B389" s="25"/>
      <c r="C389" s="23"/>
      <c r="D389" s="23"/>
      <c r="E389" s="23"/>
      <c r="F389" s="24"/>
      <c r="H389" s="58"/>
      <c r="I389" s="59"/>
      <c r="J389" s="59"/>
      <c r="K389" s="59"/>
      <c r="L389" s="60"/>
    </row>
    <row r="390" spans="1:12">
      <c r="A390" s="61"/>
      <c r="B390" s="742" t="s">
        <v>188</v>
      </c>
      <c r="C390" s="742"/>
      <c r="D390" s="742"/>
      <c r="E390" s="742"/>
      <c r="F390" s="742"/>
      <c r="G390" s="742"/>
      <c r="H390" s="743" t="e">
        <f>'BOM 04 22Master'!#REF!</f>
        <v>#REF!</v>
      </c>
      <c r="I390" s="744"/>
      <c r="J390" s="744"/>
      <c r="K390" s="744"/>
      <c r="L390" s="745"/>
    </row>
    <row r="391" spans="1:12">
      <c r="A391" s="61"/>
      <c r="B391" s="755" t="s">
        <v>189</v>
      </c>
      <c r="C391" s="755"/>
      <c r="D391" s="755"/>
      <c r="E391" s="755"/>
      <c r="F391" s="755"/>
      <c r="G391" s="755"/>
      <c r="H391" s="743" t="e">
        <f>'BOM 04 22Master'!#REF!</f>
        <v>#REF!</v>
      </c>
      <c r="I391" s="744"/>
      <c r="J391" s="744"/>
      <c r="K391" s="744"/>
      <c r="L391" s="745"/>
    </row>
    <row r="392" spans="1:12">
      <c r="A392" s="61"/>
      <c r="B392" s="742" t="s">
        <v>190</v>
      </c>
      <c r="C392" s="742"/>
      <c r="D392" s="742"/>
      <c r="E392" s="742"/>
      <c r="F392" s="742"/>
      <c r="G392" s="742"/>
      <c r="H392" s="743" t="e">
        <f>'BOM 04 22Master'!#REF!</f>
        <v>#REF!</v>
      </c>
      <c r="I392" s="744"/>
      <c r="J392" s="744"/>
      <c r="K392" s="744"/>
      <c r="L392" s="745"/>
    </row>
    <row r="393" spans="1:12">
      <c r="A393" s="61"/>
      <c r="B393" s="742" t="s">
        <v>191</v>
      </c>
      <c r="C393" s="742"/>
      <c r="D393" s="742"/>
      <c r="E393" s="742"/>
      <c r="F393" s="742"/>
      <c r="G393" s="742"/>
      <c r="H393" s="916" t="e">
        <f>'BOM 04 22Master'!#REF!</f>
        <v>#REF!</v>
      </c>
      <c r="I393" s="744"/>
      <c r="J393" s="744"/>
      <c r="K393" s="744"/>
      <c r="L393" s="745"/>
    </row>
    <row r="394" spans="1:12">
      <c r="A394" s="61"/>
      <c r="B394" s="62" t="s">
        <v>192</v>
      </c>
      <c r="C394" s="63"/>
      <c r="D394" s="63"/>
      <c r="E394" s="63"/>
      <c r="F394" s="63"/>
      <c r="G394" s="63"/>
      <c r="H394" s="913" t="s">
        <v>193</v>
      </c>
      <c r="I394" s="914"/>
      <c r="J394" s="914"/>
      <c r="K394" s="914"/>
      <c r="L394" s="915"/>
    </row>
    <row r="395" spans="1:12">
      <c r="A395" s="61"/>
      <c r="B395" s="62" t="s">
        <v>194</v>
      </c>
      <c r="C395" s="63"/>
      <c r="D395" s="63"/>
      <c r="E395" s="63"/>
      <c r="F395" s="63"/>
      <c r="G395" s="63"/>
      <c r="H395" s="64"/>
      <c r="I395" s="66"/>
      <c r="J395" s="167"/>
      <c r="K395" s="66"/>
      <c r="L395" s="71"/>
    </row>
    <row r="396" spans="1:12">
      <c r="A396" s="61"/>
      <c r="B396" s="749" t="s">
        <v>195</v>
      </c>
      <c r="C396" s="749"/>
      <c r="D396" s="749"/>
      <c r="E396" s="749"/>
      <c r="F396" s="749"/>
      <c r="G396" s="749"/>
      <c r="H396" s="750" t="e">
        <f>'BOM 04 22Master'!#REF!</f>
        <v>#REF!</v>
      </c>
      <c r="I396" s="751"/>
      <c r="J396" s="751"/>
      <c r="K396" s="751"/>
      <c r="L396" s="752"/>
    </row>
    <row r="397" spans="1:12">
      <c r="A397" s="61"/>
      <c r="B397" s="742"/>
      <c r="C397" s="742"/>
      <c r="D397" s="742"/>
      <c r="E397" s="742"/>
      <c r="F397" s="742"/>
      <c r="G397" s="742"/>
      <c r="H397" s="766" t="e">
        <f>'BOM 04 22Master'!#REF!</f>
        <v>#REF!</v>
      </c>
      <c r="I397" s="744"/>
      <c r="J397" s="744"/>
      <c r="K397" s="744"/>
      <c r="L397" s="745"/>
    </row>
    <row r="398" spans="1:12">
      <c r="A398" s="13"/>
      <c r="B398" s="742"/>
      <c r="C398" s="742"/>
      <c r="D398" s="742"/>
      <c r="E398" s="742"/>
      <c r="F398" s="742"/>
      <c r="G398" s="742"/>
      <c r="H398" s="743" t="e">
        <f>'BOM 04 22Master'!#REF!</f>
        <v>#REF!</v>
      </c>
      <c r="I398" s="744"/>
      <c r="J398" s="744"/>
      <c r="K398" s="744"/>
      <c r="L398" s="745"/>
    </row>
    <row r="399" spans="1:12" ht="27.95" customHeight="1">
      <c r="A399" s="13"/>
      <c r="B399" s="62" t="s">
        <v>196</v>
      </c>
      <c r="C399" s="63"/>
      <c r="D399" s="63"/>
      <c r="E399" s="63"/>
      <c r="F399" s="63"/>
      <c r="G399" s="67"/>
      <c r="H399" s="906" t="e">
        <f>'BOM 04 22Master'!#REF!</f>
        <v>#REF!</v>
      </c>
      <c r="I399" s="779"/>
      <c r="J399" s="779"/>
      <c r="K399" s="779"/>
      <c r="L399" s="907"/>
    </row>
    <row r="400" spans="1:12" ht="27.95" customHeight="1">
      <c r="A400" s="13"/>
      <c r="B400" s="62"/>
      <c r="C400" s="63"/>
      <c r="D400" s="63"/>
      <c r="E400" s="63"/>
      <c r="F400" s="63"/>
      <c r="G400" s="67"/>
      <c r="H400" s="906" t="e">
        <f>'BOM 04 22Master'!#REF!</f>
        <v>#REF!</v>
      </c>
      <c r="I400" s="779"/>
      <c r="J400" s="779"/>
      <c r="K400" s="779"/>
      <c r="L400" s="907"/>
    </row>
    <row r="401" spans="1:12" ht="27.95" customHeight="1">
      <c r="A401" s="13"/>
      <c r="B401" s="62"/>
      <c r="C401" s="63"/>
      <c r="D401" s="63"/>
      <c r="E401" s="63"/>
      <c r="F401" s="63"/>
      <c r="G401" s="67"/>
      <c r="H401" s="906" t="e">
        <f>'BOM 04 22Master'!#REF!</f>
        <v>#REF!</v>
      </c>
      <c r="I401" s="779"/>
      <c r="J401" s="779"/>
      <c r="K401" s="779"/>
      <c r="L401" s="907"/>
    </row>
    <row r="402" spans="1:12" ht="27.95" customHeight="1">
      <c r="A402" s="13"/>
      <c r="B402" s="62" t="s">
        <v>203</v>
      </c>
      <c r="C402" s="63"/>
      <c r="D402" s="63"/>
      <c r="E402" s="63"/>
      <c r="F402" s="63"/>
      <c r="G402" s="67"/>
      <c r="H402" s="64"/>
      <c r="I402" s="66"/>
      <c r="J402" s="66"/>
      <c r="K402" s="66"/>
      <c r="L402" s="71"/>
    </row>
    <row r="403" spans="1:12" ht="27.95" customHeight="1">
      <c r="A403" s="13"/>
      <c r="B403" s="74" t="s">
        <v>204</v>
      </c>
      <c r="C403" s="148"/>
      <c r="D403" s="148"/>
      <c r="E403" s="148"/>
      <c r="F403" s="148"/>
      <c r="G403" s="149"/>
      <c r="H403" s="150"/>
      <c r="I403" s="151"/>
      <c r="J403" s="152"/>
      <c r="K403" s="151"/>
      <c r="L403" s="153"/>
    </row>
    <row r="404" spans="1:12" ht="27.95" customHeight="1">
      <c r="A404" s="13"/>
      <c r="B404" s="62" t="s">
        <v>207</v>
      </c>
      <c r="C404" s="63"/>
      <c r="D404" s="66"/>
      <c r="E404" s="160" t="s">
        <v>209</v>
      </c>
      <c r="F404" s="45"/>
      <c r="G404" s="908" t="s">
        <v>208</v>
      </c>
      <c r="H404" s="909"/>
      <c r="I404" s="164" t="s">
        <v>205</v>
      </c>
      <c r="J404" s="162" t="s">
        <v>210</v>
      </c>
      <c r="K404" s="908" t="s">
        <v>206</v>
      </c>
      <c r="L404" s="910"/>
    </row>
    <row r="405" spans="1:12" ht="27.95" customHeight="1">
      <c r="A405" s="13"/>
      <c r="B405" s="163">
        <v>1</v>
      </c>
      <c r="C405" s="63"/>
      <c r="D405" s="63"/>
      <c r="E405" s="166">
        <v>2</v>
      </c>
      <c r="F405" s="67"/>
      <c r="G405" s="166">
        <v>3</v>
      </c>
      <c r="H405" s="182"/>
      <c r="I405" s="182">
        <v>4</v>
      </c>
      <c r="J405" s="85">
        <v>5</v>
      </c>
      <c r="K405" s="69"/>
      <c r="L405" s="70">
        <v>6</v>
      </c>
    </row>
    <row r="406" spans="1:12" ht="27.95" customHeight="1">
      <c r="A406" s="13"/>
      <c r="B406" s="280" t="e">
        <f>'BOM 04 22Master'!#REF!</f>
        <v>#REF!</v>
      </c>
      <c r="C406" s="178"/>
      <c r="D406" s="179"/>
      <c r="E406" s="181" t="s">
        <v>366</v>
      </c>
      <c r="F406" s="179"/>
      <c r="G406" s="181" t="s">
        <v>367</v>
      </c>
      <c r="H406" s="45"/>
      <c r="I406" s="11" t="s">
        <v>368</v>
      </c>
      <c r="J406" s="279">
        <v>1</v>
      </c>
      <c r="K406" s="911" t="s">
        <v>37</v>
      </c>
      <c r="L406" s="917"/>
    </row>
    <row r="407" spans="1:12" ht="27.95" customHeight="1">
      <c r="A407" s="13"/>
      <c r="B407" s="62"/>
      <c r="C407" s="178"/>
      <c r="D407" s="179"/>
      <c r="E407" s="180"/>
      <c r="F407" s="179"/>
      <c r="G407" s="180"/>
      <c r="H407" s="45"/>
      <c r="I407" s="11"/>
      <c r="J407" s="11"/>
      <c r="K407" s="181"/>
      <c r="L407" s="45"/>
    </row>
    <row r="408" spans="1:12" ht="27.95" customHeight="1">
      <c r="A408" s="13"/>
      <c r="B408" s="62"/>
      <c r="C408" s="178"/>
      <c r="D408" s="179"/>
      <c r="E408" s="180"/>
      <c r="F408" s="179"/>
      <c r="G408" s="180"/>
      <c r="H408" s="45"/>
      <c r="I408" s="11"/>
      <c r="J408" s="11"/>
      <c r="K408" s="181"/>
      <c r="L408" s="45"/>
    </row>
    <row r="409" spans="1:12" ht="27.95" customHeight="1">
      <c r="A409" s="13"/>
      <c r="B409" s="48"/>
      <c r="C409" s="17"/>
      <c r="D409" s="49"/>
      <c r="E409" s="180"/>
      <c r="F409" s="179"/>
      <c r="G409" s="180"/>
      <c r="H409" s="45"/>
      <c r="I409" s="11"/>
      <c r="J409" s="11"/>
      <c r="K409" s="181"/>
      <c r="L409" s="45"/>
    </row>
    <row r="410" spans="1:12" ht="27.95" customHeight="1">
      <c r="A410" s="13"/>
      <c r="B410" t="s">
        <v>211</v>
      </c>
      <c r="L410" s="14"/>
    </row>
    <row r="411" spans="1:12" ht="27.95" customHeight="1">
      <c r="A411" s="13"/>
      <c r="B411" t="s">
        <v>212</v>
      </c>
      <c r="L411" s="14"/>
    </row>
    <row r="412" spans="1:12" ht="27.95" customHeight="1">
      <c r="A412" s="13"/>
      <c r="B412" t="s">
        <v>213</v>
      </c>
      <c r="L412" s="14"/>
    </row>
    <row r="413" spans="1:12" ht="27.95" customHeight="1">
      <c r="A413" s="13"/>
      <c r="I413" t="s">
        <v>214</v>
      </c>
      <c r="L413" s="14"/>
    </row>
    <row r="414" spans="1:12" ht="27.95" customHeight="1">
      <c r="A414" s="13"/>
      <c r="F414" s="168" t="s">
        <v>197</v>
      </c>
      <c r="L414" s="14"/>
    </row>
    <row r="415" spans="1:12" ht="27.95" customHeight="1">
      <c r="A415" s="13" t="s">
        <v>198</v>
      </c>
      <c r="K415" s="218" t="e">
        <f>'BOM 04 22Master'!#REF!</f>
        <v>#REF!</v>
      </c>
      <c r="L415" s="14"/>
    </row>
    <row r="416" spans="1:12">
      <c r="A416" s="13" t="s">
        <v>199</v>
      </c>
      <c r="L416" s="14"/>
    </row>
    <row r="417" spans="1:12">
      <c r="A417" s="13"/>
      <c r="L417" s="14"/>
    </row>
    <row r="418" spans="1:12">
      <c r="A418" s="13"/>
      <c r="L418" s="14"/>
    </row>
    <row r="419" spans="1:12">
      <c r="A419" s="13"/>
      <c r="F419" t="s">
        <v>200</v>
      </c>
      <c r="L419" s="14"/>
    </row>
    <row r="420" spans="1:12">
      <c r="A420" s="13" t="s">
        <v>201</v>
      </c>
      <c r="B420" t="s">
        <v>365</v>
      </c>
      <c r="F420" t="str">
        <f>'BOM 04 22Master'!F5</f>
        <v>Burgeon IT Services Pvt.Ltd.</v>
      </c>
      <c r="L420" s="14"/>
    </row>
    <row r="421" spans="1:12">
      <c r="A421" s="13" t="s">
        <v>202</v>
      </c>
      <c r="B421" s="278" t="e">
        <f>'BOM 04 22Master'!#REF!</f>
        <v>#REF!</v>
      </c>
      <c r="F421" t="str">
        <f>'BOM 04 22Master'!F6</f>
        <v>Siri Mansion LIGB 436 Dr.A S Rao Nagar,Hyderabad</v>
      </c>
      <c r="L421" s="14"/>
    </row>
    <row r="422" spans="1:12" ht="15" customHeight="1" thickBot="1">
      <c r="A422" s="25"/>
      <c r="B422" s="23"/>
      <c r="C422" s="23"/>
      <c r="D422" s="23"/>
      <c r="E422" s="23"/>
      <c r="F422" s="23"/>
      <c r="G422" s="23"/>
      <c r="H422" s="23"/>
      <c r="I422" s="23"/>
      <c r="J422" s="23"/>
      <c r="K422" s="23"/>
      <c r="L422" s="24"/>
    </row>
    <row r="423" spans="1:12" ht="15.75" thickBot="1">
      <c r="B423" s="169"/>
      <c r="C423" s="165"/>
      <c r="D423" s="165"/>
      <c r="E423" s="165"/>
      <c r="F423" s="165"/>
      <c r="G423" s="165"/>
      <c r="H423" s="154"/>
      <c r="I423" s="154"/>
      <c r="J423" s="155"/>
      <c r="K423" s="154"/>
      <c r="L423" s="154"/>
    </row>
    <row r="424" spans="1:12" ht="32.25">
      <c r="A424" s="50"/>
      <c r="B424" s="756" t="s">
        <v>185</v>
      </c>
      <c r="C424" s="757"/>
      <c r="D424" s="757"/>
      <c r="E424" s="757"/>
      <c r="F424" s="757"/>
      <c r="G424" s="757"/>
      <c r="H424" s="757"/>
      <c r="I424" s="757"/>
      <c r="J424" s="757"/>
      <c r="K424" s="757"/>
      <c r="L424" s="758"/>
    </row>
    <row r="425" spans="1:12" ht="23.25">
      <c r="A425" s="13"/>
      <c r="B425" s="759" t="s">
        <v>186</v>
      </c>
      <c r="C425" s="759"/>
      <c r="D425" s="759"/>
      <c r="E425" s="759"/>
      <c r="F425" s="759"/>
      <c r="G425" s="759"/>
      <c r="H425" s="759"/>
      <c r="I425" s="759"/>
      <c r="J425" s="759"/>
      <c r="K425" s="759"/>
      <c r="L425" s="760"/>
    </row>
    <row r="426" spans="1:12" ht="16.5" thickBot="1">
      <c r="A426" s="25"/>
      <c r="B426" s="761" t="s">
        <v>187</v>
      </c>
      <c r="C426" s="761"/>
      <c r="D426" s="761"/>
      <c r="E426" s="761"/>
      <c r="F426" s="761"/>
      <c r="G426" s="761"/>
      <c r="H426" s="761"/>
      <c r="I426" s="761"/>
      <c r="J426" s="761"/>
      <c r="K426" s="761"/>
      <c r="L426" s="762"/>
    </row>
    <row r="427" spans="1:12">
      <c r="A427" s="13"/>
      <c r="B427" s="763" t="s">
        <v>112</v>
      </c>
      <c r="C427" s="763"/>
      <c r="D427" s="763"/>
      <c r="E427" s="763"/>
      <c r="F427" s="763"/>
      <c r="H427" s="764" t="s">
        <v>113</v>
      </c>
      <c r="I427" s="764"/>
      <c r="J427" s="764"/>
      <c r="K427" s="764"/>
      <c r="L427" s="765"/>
    </row>
    <row r="428" spans="1:12" ht="15.75" thickBot="1">
      <c r="A428" s="13"/>
      <c r="B428" s="763"/>
      <c r="C428" s="763"/>
      <c r="D428" s="763"/>
      <c r="E428" s="763"/>
      <c r="F428" s="763"/>
      <c r="H428" s="764"/>
      <c r="I428" s="764"/>
      <c r="J428" s="764"/>
      <c r="K428" s="764"/>
      <c r="L428" s="765"/>
    </row>
    <row r="429" spans="1:12">
      <c r="A429" s="13"/>
      <c r="B429" s="50"/>
      <c r="C429" s="51"/>
      <c r="D429" s="51"/>
      <c r="E429" s="51"/>
      <c r="F429" s="52"/>
      <c r="H429" s="50"/>
      <c r="I429" s="51"/>
      <c r="J429" s="51"/>
      <c r="K429" s="51"/>
      <c r="L429" s="52"/>
    </row>
    <row r="430" spans="1:12">
      <c r="A430" s="13"/>
      <c r="B430" s="53" t="str">
        <f>'BOM 04 22Master'!F5</f>
        <v>Burgeon IT Services Pvt.Ltd.</v>
      </c>
      <c r="F430" s="14"/>
      <c r="H430" s="53" t="str">
        <f>'BOM 04 22Master'!AP5</f>
        <v>Burgeon IT Services Pvt.Ltd.</v>
      </c>
      <c r="L430" s="14"/>
    </row>
    <row r="431" spans="1:12">
      <c r="A431" s="13"/>
      <c r="B431" s="13"/>
      <c r="F431" s="14"/>
      <c r="H431" s="13"/>
      <c r="L431" s="14"/>
    </row>
    <row r="432" spans="1:12">
      <c r="A432" s="13"/>
      <c r="B432" s="53" t="str">
        <f>'BOM 04 22Master'!F6</f>
        <v>Siri Mansion LIGB 436 Dr.A S Rao Nagar,Hyderabad</v>
      </c>
      <c r="F432" s="14"/>
      <c r="H432" s="53" t="str">
        <f>'BOM 04 22Master'!AP6</f>
        <v>Siri Mansion LIGB 436 Dr.A S Rao Nagar,Hyderabad</v>
      </c>
      <c r="L432" s="14"/>
    </row>
    <row r="433" spans="1:12" ht="15.75" thickBot="1">
      <c r="A433" s="13"/>
      <c r="B433" s="25"/>
      <c r="C433" s="23"/>
      <c r="D433" s="23"/>
      <c r="E433" s="23"/>
      <c r="F433" s="24"/>
      <c r="H433" s="25"/>
      <c r="I433" s="23"/>
      <c r="J433" s="23"/>
      <c r="K433" s="23"/>
      <c r="L433" s="24"/>
    </row>
    <row r="434" spans="1:12">
      <c r="A434" s="13"/>
      <c r="J434" t="s">
        <v>114</v>
      </c>
      <c r="L434" s="14"/>
    </row>
    <row r="435" spans="1:12">
      <c r="A435" s="13"/>
      <c r="B435" s="753" t="s">
        <v>115</v>
      </c>
      <c r="C435" s="753"/>
      <c r="D435" s="753"/>
      <c r="E435" s="753"/>
      <c r="F435" s="753"/>
      <c r="H435" s="753" t="s">
        <v>4</v>
      </c>
      <c r="I435" s="753"/>
      <c r="J435" s="753"/>
      <c r="K435" s="753"/>
      <c r="L435" s="754"/>
    </row>
    <row r="436" spans="1:12" ht="15.75" thickBot="1">
      <c r="A436" s="13"/>
      <c r="L436" s="14"/>
    </row>
    <row r="437" spans="1:12" ht="15" customHeight="1">
      <c r="A437" s="13"/>
      <c r="B437" s="50"/>
      <c r="C437" s="51"/>
      <c r="D437" s="51"/>
      <c r="E437" s="51"/>
      <c r="F437" s="52"/>
      <c r="H437" s="54"/>
      <c r="I437" s="55"/>
      <c r="J437" s="55"/>
      <c r="K437" s="55"/>
      <c r="L437" s="56"/>
    </row>
    <row r="438" spans="1:12" ht="15" customHeight="1">
      <c r="A438" s="13"/>
      <c r="B438" s="13"/>
      <c r="F438" s="14"/>
      <c r="H438" s="53" t="str">
        <f>'BOM 04 22Master'!AP10</f>
        <v>INFOSYS  LTD.85-C Mittal Towers</v>
      </c>
      <c r="I438" s="2"/>
      <c r="J438" s="2"/>
      <c r="K438" s="2"/>
      <c r="L438" s="57"/>
    </row>
    <row r="439" spans="1:12" ht="15" customHeight="1">
      <c r="A439" s="13"/>
      <c r="B439" s="53" t="str">
        <f>'BOM 04 22Master'!F8</f>
        <v>IT SUPPORTIVE SERVICES&amp;MUMBAI</v>
      </c>
      <c r="F439" s="14"/>
      <c r="H439" s="53"/>
      <c r="I439" s="2"/>
      <c r="J439" s="2"/>
      <c r="K439" s="2"/>
      <c r="L439" s="57"/>
    </row>
    <row r="440" spans="1:12" ht="15" customHeight="1">
      <c r="A440" s="13"/>
      <c r="B440" s="13"/>
      <c r="F440" s="14"/>
      <c r="H440" s="53" t="str">
        <f>'BOM 04 22Master'!AP11</f>
        <v>8th flour Nariman Point,Maharashtra,400021</v>
      </c>
      <c r="I440" s="2"/>
      <c r="J440" s="2"/>
      <c r="K440" s="2"/>
      <c r="L440" s="57"/>
    </row>
    <row r="441" spans="1:12" ht="15" customHeight="1" thickBot="1">
      <c r="A441" s="13"/>
      <c r="B441" s="25"/>
      <c r="C441" s="23"/>
      <c r="D441" s="23"/>
      <c r="E441" s="23"/>
      <c r="F441" s="24"/>
      <c r="H441" s="58"/>
      <c r="I441" s="59"/>
      <c r="J441" s="59"/>
      <c r="K441" s="59"/>
      <c r="L441" s="60"/>
    </row>
    <row r="442" spans="1:12" ht="27.95" customHeight="1">
      <c r="A442" s="61"/>
      <c r="B442" s="742" t="s">
        <v>188</v>
      </c>
      <c r="C442" s="742"/>
      <c r="D442" s="742"/>
      <c r="E442" s="742"/>
      <c r="F442" s="742"/>
      <c r="G442" s="742"/>
      <c r="H442" s="743" t="e">
        <f>'BOM 04 22Master'!#REF!</f>
        <v>#REF!</v>
      </c>
      <c r="I442" s="744"/>
      <c r="J442" s="744"/>
      <c r="K442" s="744"/>
      <c r="L442" s="745"/>
    </row>
    <row r="443" spans="1:12" ht="27.95" customHeight="1">
      <c r="A443" s="61"/>
      <c r="B443" s="755" t="s">
        <v>189</v>
      </c>
      <c r="C443" s="755"/>
      <c r="D443" s="755"/>
      <c r="E443" s="755"/>
      <c r="F443" s="755"/>
      <c r="G443" s="755"/>
      <c r="H443" s="743" t="e">
        <f>'BOM 04 22Master'!#REF!</f>
        <v>#REF!</v>
      </c>
      <c r="I443" s="744"/>
      <c r="J443" s="744"/>
      <c r="K443" s="744"/>
      <c r="L443" s="745"/>
    </row>
    <row r="444" spans="1:12" ht="27.95" customHeight="1">
      <c r="A444" s="61"/>
      <c r="B444" s="742" t="s">
        <v>190</v>
      </c>
      <c r="C444" s="742"/>
      <c r="D444" s="742"/>
      <c r="E444" s="742"/>
      <c r="F444" s="742"/>
      <c r="G444" s="742"/>
      <c r="H444" s="743" t="e">
        <f>'BOM 04 22Master'!#REF!</f>
        <v>#REF!</v>
      </c>
      <c r="I444" s="744"/>
      <c r="J444" s="744"/>
      <c r="K444" s="744"/>
      <c r="L444" s="745"/>
    </row>
    <row r="445" spans="1:12" ht="27.95" customHeight="1">
      <c r="A445" s="61"/>
      <c r="B445" s="742" t="s">
        <v>191</v>
      </c>
      <c r="C445" s="742"/>
      <c r="D445" s="742"/>
      <c r="E445" s="742"/>
      <c r="F445" s="742"/>
      <c r="G445" s="742"/>
      <c r="H445" s="916" t="e">
        <f>'BOM 04 22Master'!#REF!</f>
        <v>#REF!</v>
      </c>
      <c r="I445" s="744"/>
      <c r="J445" s="744"/>
      <c r="K445" s="744"/>
      <c r="L445" s="745"/>
    </row>
    <row r="446" spans="1:12" ht="27.95" customHeight="1">
      <c r="A446" s="61"/>
      <c r="B446" s="62" t="s">
        <v>192</v>
      </c>
      <c r="C446" s="63"/>
      <c r="D446" s="63"/>
      <c r="E446" s="63"/>
      <c r="F446" s="63"/>
      <c r="G446" s="63"/>
      <c r="H446" s="913" t="s">
        <v>193</v>
      </c>
      <c r="I446" s="914"/>
      <c r="J446" s="914"/>
      <c r="K446" s="914"/>
      <c r="L446" s="915"/>
    </row>
    <row r="447" spans="1:12" ht="27.95" customHeight="1">
      <c r="A447" s="61"/>
      <c r="B447" s="62" t="s">
        <v>194</v>
      </c>
      <c r="C447" s="63"/>
      <c r="D447" s="63"/>
      <c r="E447" s="63"/>
      <c r="F447" s="63"/>
      <c r="G447" s="63"/>
      <c r="H447" s="64"/>
      <c r="I447" s="66"/>
      <c r="J447" s="167"/>
      <c r="K447" s="66"/>
      <c r="L447" s="71"/>
    </row>
    <row r="448" spans="1:12" ht="27.95" customHeight="1">
      <c r="A448" s="61"/>
      <c r="B448" s="749" t="s">
        <v>195</v>
      </c>
      <c r="C448" s="749"/>
      <c r="D448" s="749"/>
      <c r="E448" s="749"/>
      <c r="F448" s="749"/>
      <c r="G448" s="749"/>
      <c r="H448" s="750" t="e">
        <f>'BOM 04 22Master'!#REF!</f>
        <v>#REF!</v>
      </c>
      <c r="I448" s="751"/>
      <c r="J448" s="751"/>
      <c r="K448" s="751"/>
      <c r="L448" s="752"/>
    </row>
    <row r="449" spans="1:12" ht="27.95" customHeight="1">
      <c r="A449" s="61"/>
      <c r="B449" s="742"/>
      <c r="C449" s="742"/>
      <c r="D449" s="742"/>
      <c r="E449" s="742"/>
      <c r="F449" s="742"/>
      <c r="G449" s="742"/>
      <c r="H449" s="766" t="e">
        <f>'BOM 04 22Master'!#REF!</f>
        <v>#REF!</v>
      </c>
      <c r="I449" s="744"/>
      <c r="J449" s="744"/>
      <c r="K449" s="744"/>
      <c r="L449" s="745"/>
    </row>
    <row r="450" spans="1:12" ht="27.95" customHeight="1">
      <c r="A450" s="13"/>
      <c r="B450" s="742"/>
      <c r="C450" s="742"/>
      <c r="D450" s="742"/>
      <c r="E450" s="742"/>
      <c r="F450" s="742"/>
      <c r="G450" s="742"/>
      <c r="H450" s="743" t="e">
        <f>'BOM 04 22Master'!#REF!</f>
        <v>#REF!</v>
      </c>
      <c r="I450" s="744"/>
      <c r="J450" s="744"/>
      <c r="K450" s="744"/>
      <c r="L450" s="745"/>
    </row>
    <row r="451" spans="1:12" ht="27.95" customHeight="1">
      <c r="A451" s="13"/>
      <c r="B451" s="62" t="s">
        <v>196</v>
      </c>
      <c r="C451" s="63"/>
      <c r="D451" s="63"/>
      <c r="E451" s="63"/>
      <c r="F451" s="63"/>
      <c r="G451" s="67"/>
      <c r="H451" s="906" t="e">
        <f>'BOM 04 22Master'!#REF!</f>
        <v>#REF!</v>
      </c>
      <c r="I451" s="779"/>
      <c r="J451" s="779"/>
      <c r="K451" s="779"/>
      <c r="L451" s="907"/>
    </row>
    <row r="452" spans="1:12" ht="27.95" customHeight="1">
      <c r="A452" s="13"/>
      <c r="B452" s="62"/>
      <c r="C452" s="63"/>
      <c r="D452" s="63"/>
      <c r="E452" s="63"/>
      <c r="F452" s="63"/>
      <c r="G452" s="67"/>
      <c r="H452" s="906" t="e">
        <f>'BOM 04 22Master'!#REF!</f>
        <v>#REF!</v>
      </c>
      <c r="I452" s="779"/>
      <c r="J452" s="779"/>
      <c r="K452" s="779"/>
      <c r="L452" s="907"/>
    </row>
    <row r="453" spans="1:12" ht="27.95" customHeight="1">
      <c r="A453" s="13"/>
      <c r="B453" s="62"/>
      <c r="C453" s="63"/>
      <c r="D453" s="63"/>
      <c r="E453" s="63"/>
      <c r="F453" s="63"/>
      <c r="G453" s="67"/>
      <c r="H453" s="906" t="e">
        <f>'BOM 04 22Master'!#REF!</f>
        <v>#REF!</v>
      </c>
      <c r="I453" s="779"/>
      <c r="J453" s="779"/>
      <c r="K453" s="779"/>
      <c r="L453" s="907"/>
    </row>
    <row r="454" spans="1:12" ht="27.95" customHeight="1">
      <c r="A454" s="13"/>
      <c r="B454" s="62" t="s">
        <v>203</v>
      </c>
      <c r="C454" s="63"/>
      <c r="D454" s="63"/>
      <c r="E454" s="63"/>
      <c r="F454" s="63"/>
      <c r="G454" s="67"/>
      <c r="H454" s="64"/>
      <c r="I454" s="66"/>
      <c r="J454" s="66"/>
      <c r="K454" s="66"/>
      <c r="L454" s="71"/>
    </row>
    <row r="455" spans="1:12">
      <c r="A455" s="13"/>
      <c r="B455" s="74" t="s">
        <v>204</v>
      </c>
      <c r="C455" s="148"/>
      <c r="D455" s="148"/>
      <c r="E455" s="148"/>
      <c r="F455" s="148"/>
      <c r="G455" s="149"/>
      <c r="H455" s="150"/>
      <c r="I455" s="151"/>
      <c r="J455" s="152"/>
      <c r="K455" s="151"/>
      <c r="L455" s="153"/>
    </row>
    <row r="456" spans="1:12" ht="45">
      <c r="A456" s="13"/>
      <c r="B456" s="62" t="s">
        <v>207</v>
      </c>
      <c r="C456" s="63"/>
      <c r="D456" s="66"/>
      <c r="E456" s="160" t="s">
        <v>209</v>
      </c>
      <c r="F456" s="45"/>
      <c r="G456" s="908" t="s">
        <v>208</v>
      </c>
      <c r="H456" s="909"/>
      <c r="I456" s="164" t="s">
        <v>205</v>
      </c>
      <c r="J456" s="162" t="s">
        <v>210</v>
      </c>
      <c r="K456" s="908" t="s">
        <v>206</v>
      </c>
      <c r="L456" s="910"/>
    </row>
    <row r="457" spans="1:12">
      <c r="A457" s="13"/>
      <c r="B457" s="163">
        <v>1</v>
      </c>
      <c r="C457" s="63"/>
      <c r="D457" s="63"/>
      <c r="E457" s="166">
        <v>2</v>
      </c>
      <c r="F457" s="67"/>
      <c r="G457" s="166">
        <v>3</v>
      </c>
      <c r="H457" s="182"/>
      <c r="I457" s="182">
        <v>4</v>
      </c>
      <c r="J457" s="85">
        <v>5</v>
      </c>
      <c r="K457" s="69"/>
      <c r="L457" s="70">
        <v>6</v>
      </c>
    </row>
    <row r="458" spans="1:12">
      <c r="A458" s="13"/>
      <c r="B458" s="280" t="e">
        <f>'BOM 04 22Master'!#REF!</f>
        <v>#REF!</v>
      </c>
      <c r="C458" s="178"/>
      <c r="D458" s="179"/>
      <c r="E458" s="181" t="s">
        <v>366</v>
      </c>
      <c r="F458" s="179"/>
      <c r="G458" s="181" t="s">
        <v>367</v>
      </c>
      <c r="H458" s="45"/>
      <c r="I458" s="11" t="s">
        <v>368</v>
      </c>
      <c r="J458" s="279">
        <v>1</v>
      </c>
      <c r="K458" s="911" t="s">
        <v>37</v>
      </c>
      <c r="L458" s="917"/>
    </row>
    <row r="459" spans="1:12">
      <c r="A459" s="13"/>
      <c r="B459" s="62"/>
      <c r="C459" s="178"/>
      <c r="D459" s="179"/>
      <c r="E459" s="180"/>
      <c r="F459" s="179"/>
      <c r="G459" s="180"/>
      <c r="H459" s="45"/>
      <c r="I459" s="11"/>
      <c r="J459" s="11"/>
      <c r="K459" s="181"/>
      <c r="L459" s="45"/>
    </row>
    <row r="460" spans="1:12" ht="15" customHeight="1">
      <c r="A460" s="13"/>
      <c r="B460" s="62"/>
      <c r="C460" s="178"/>
      <c r="D460" s="179"/>
      <c r="E460" s="180"/>
      <c r="F460" s="179"/>
      <c r="G460" s="180"/>
      <c r="H460" s="45"/>
      <c r="I460" s="11"/>
      <c r="J460" s="11"/>
      <c r="K460" s="181"/>
      <c r="L460" s="45"/>
    </row>
    <row r="461" spans="1:12">
      <c r="A461" s="13"/>
      <c r="B461" s="48"/>
      <c r="C461" s="17"/>
      <c r="D461" s="49"/>
      <c r="E461" s="180"/>
      <c r="F461" s="179"/>
      <c r="G461" s="180"/>
      <c r="H461" s="45"/>
      <c r="I461" s="11"/>
      <c r="J461" s="11"/>
      <c r="K461" s="181"/>
      <c r="L461" s="45"/>
    </row>
    <row r="462" spans="1:12" ht="24.95" customHeight="1">
      <c r="A462" s="13"/>
      <c r="B462" t="s">
        <v>211</v>
      </c>
      <c r="L462" s="14"/>
    </row>
    <row r="463" spans="1:12" ht="24.95" customHeight="1">
      <c r="A463" s="13"/>
      <c r="B463" t="s">
        <v>212</v>
      </c>
      <c r="L463" s="14"/>
    </row>
    <row r="464" spans="1:12" ht="24.95" customHeight="1">
      <c r="A464" s="13"/>
      <c r="B464" t="s">
        <v>213</v>
      </c>
      <c r="L464" s="14"/>
    </row>
    <row r="465" spans="1:12">
      <c r="A465" s="13"/>
      <c r="L465" s="14"/>
    </row>
    <row r="466" spans="1:12">
      <c r="A466" s="13"/>
      <c r="I466" t="s">
        <v>214</v>
      </c>
      <c r="L466" s="14"/>
    </row>
    <row r="467" spans="1:12" ht="18.75">
      <c r="A467" s="13"/>
      <c r="F467" s="168" t="s">
        <v>197</v>
      </c>
      <c r="L467" s="14"/>
    </row>
    <row r="468" spans="1:12">
      <c r="A468" s="13" t="s">
        <v>198</v>
      </c>
      <c r="K468" s="218" t="e">
        <f>'BOM 04 22Master'!#REF!</f>
        <v>#REF!</v>
      </c>
      <c r="L468" s="14"/>
    </row>
    <row r="469" spans="1:12">
      <c r="A469" s="13" t="s">
        <v>199</v>
      </c>
      <c r="L469" s="14"/>
    </row>
    <row r="470" spans="1:12">
      <c r="A470" s="13"/>
      <c r="L470" s="14"/>
    </row>
    <row r="471" spans="1:12">
      <c r="A471" s="13"/>
      <c r="L471" s="14"/>
    </row>
    <row r="472" spans="1:12">
      <c r="A472" s="13"/>
      <c r="F472" t="s">
        <v>200</v>
      </c>
      <c r="L472" s="14"/>
    </row>
    <row r="473" spans="1:12">
      <c r="A473" s="13" t="s">
        <v>201</v>
      </c>
      <c r="B473" t="s">
        <v>365</v>
      </c>
      <c r="F473" t="str">
        <f>'BOM 04 22Master'!F5</f>
        <v>Burgeon IT Services Pvt.Ltd.</v>
      </c>
      <c r="L473" s="14"/>
    </row>
    <row r="474" spans="1:12">
      <c r="A474" s="13" t="s">
        <v>202</v>
      </c>
      <c r="B474" s="278" t="e">
        <f>'BOM 04 22Master'!#REF!</f>
        <v>#REF!</v>
      </c>
      <c r="F474" t="str">
        <f>'BOM 04 22Master'!F6</f>
        <v>Siri Mansion LIGB 436 Dr.A S Rao Nagar,Hyderabad</v>
      </c>
      <c r="L474" s="14"/>
    </row>
    <row r="475" spans="1:12">
      <c r="A475" s="13"/>
      <c r="B475" s="278"/>
      <c r="L475" s="14"/>
    </row>
    <row r="476" spans="1:12">
      <c r="A476" s="13"/>
      <c r="B476" s="278"/>
      <c r="L476" s="14"/>
    </row>
    <row r="477" spans="1:12" ht="15.75" thickBot="1">
      <c r="A477" s="25"/>
      <c r="B477" s="23"/>
      <c r="C477" s="23"/>
      <c r="D477" s="23"/>
      <c r="E477" s="23"/>
      <c r="F477" s="23"/>
      <c r="G477" s="23"/>
      <c r="H477" s="23"/>
      <c r="I477" s="23"/>
      <c r="J477" s="23"/>
      <c r="K477" s="23"/>
      <c r="L477" s="24"/>
    </row>
    <row r="478" spans="1:12" ht="27.95" customHeight="1">
      <c r="A478" s="50"/>
      <c r="B478" s="756" t="s">
        <v>185</v>
      </c>
      <c r="C478" s="757"/>
      <c r="D478" s="757"/>
      <c r="E478" s="757"/>
      <c r="F478" s="757"/>
      <c r="G478" s="757"/>
      <c r="H478" s="757"/>
      <c r="I478" s="757"/>
      <c r="J478" s="757"/>
      <c r="K478" s="757"/>
      <c r="L478" s="758"/>
    </row>
    <row r="479" spans="1:12" ht="27.95" customHeight="1">
      <c r="A479" s="13"/>
      <c r="B479" s="759" t="s">
        <v>186</v>
      </c>
      <c r="C479" s="759"/>
      <c r="D479" s="759"/>
      <c r="E479" s="759"/>
      <c r="F479" s="759"/>
      <c r="G479" s="759"/>
      <c r="H479" s="759"/>
      <c r="I479" s="759"/>
      <c r="J479" s="759"/>
      <c r="K479" s="759"/>
      <c r="L479" s="760"/>
    </row>
    <row r="480" spans="1:12" ht="27.95" customHeight="1" thickBot="1">
      <c r="A480" s="25"/>
      <c r="B480" s="761" t="s">
        <v>187</v>
      </c>
      <c r="C480" s="761"/>
      <c r="D480" s="761"/>
      <c r="E480" s="761"/>
      <c r="F480" s="761"/>
      <c r="G480" s="761"/>
      <c r="H480" s="761"/>
      <c r="I480" s="761"/>
      <c r="J480" s="761"/>
      <c r="K480" s="761"/>
      <c r="L480" s="762"/>
    </row>
    <row r="481" spans="1:12" ht="27.95" customHeight="1">
      <c r="A481" s="13"/>
      <c r="B481" s="763" t="s">
        <v>112</v>
      </c>
      <c r="C481" s="763"/>
      <c r="D481" s="763"/>
      <c r="E481" s="763"/>
      <c r="F481" s="763"/>
      <c r="H481" s="764" t="s">
        <v>113</v>
      </c>
      <c r="I481" s="764"/>
      <c r="J481" s="764"/>
      <c r="K481" s="764"/>
      <c r="L481" s="765"/>
    </row>
    <row r="482" spans="1:12" ht="27.95" customHeight="1" thickBot="1">
      <c r="A482" s="13"/>
      <c r="B482" s="763"/>
      <c r="C482" s="763"/>
      <c r="D482" s="763"/>
      <c r="E482" s="763"/>
      <c r="F482" s="763"/>
      <c r="H482" s="764"/>
      <c r="I482" s="764"/>
      <c r="J482" s="764"/>
      <c r="K482" s="764"/>
      <c r="L482" s="765"/>
    </row>
    <row r="483" spans="1:12" ht="27.95" customHeight="1">
      <c r="A483" s="13"/>
      <c r="B483" s="50"/>
      <c r="C483" s="51"/>
      <c r="D483" s="51"/>
      <c r="E483" s="51"/>
      <c r="F483" s="52"/>
      <c r="H483" s="50"/>
      <c r="I483" s="51"/>
      <c r="J483" s="51"/>
      <c r="K483" s="51"/>
      <c r="L483" s="52"/>
    </row>
    <row r="484" spans="1:12" ht="27.95" customHeight="1">
      <c r="A484" s="13"/>
      <c r="B484" s="53" t="e">
        <f>#REF!</f>
        <v>#REF!</v>
      </c>
      <c r="F484" s="14"/>
      <c r="H484" s="53" t="e">
        <f>#REF!</f>
        <v>#REF!</v>
      </c>
      <c r="L484" s="14"/>
    </row>
    <row r="485" spans="1:12" ht="27.95" customHeight="1">
      <c r="A485" s="13"/>
      <c r="B485" s="13"/>
      <c r="F485" s="14"/>
      <c r="H485" s="13"/>
      <c r="L485" s="14"/>
    </row>
    <row r="486" spans="1:12" ht="27.95" customHeight="1">
      <c r="A486" s="13"/>
      <c r="B486" s="53" t="e">
        <f>#REF!</f>
        <v>#REF!</v>
      </c>
      <c r="F486" s="14"/>
      <c r="H486" s="53" t="e">
        <f>#REF!</f>
        <v>#REF!</v>
      </c>
      <c r="L486" s="14"/>
    </row>
    <row r="487" spans="1:12" ht="27.95" customHeight="1" thickBot="1">
      <c r="A487" s="13"/>
      <c r="B487" s="25"/>
      <c r="C487" s="23"/>
      <c r="D487" s="23"/>
      <c r="E487" s="23"/>
      <c r="F487" s="24"/>
      <c r="H487" s="25"/>
      <c r="I487" s="23"/>
      <c r="J487" s="23"/>
      <c r="K487" s="23"/>
      <c r="L487" s="24"/>
    </row>
    <row r="488" spans="1:12" ht="27.95" customHeight="1">
      <c r="A488" s="13"/>
      <c r="J488" t="s">
        <v>114</v>
      </c>
      <c r="L488" s="14"/>
    </row>
    <row r="489" spans="1:12" ht="27.95" customHeight="1">
      <c r="A489" s="13"/>
      <c r="B489" s="753" t="s">
        <v>115</v>
      </c>
      <c r="C489" s="753"/>
      <c r="D489" s="753"/>
      <c r="E489" s="753"/>
      <c r="F489" s="753"/>
      <c r="H489" s="753" t="s">
        <v>4</v>
      </c>
      <c r="I489" s="753"/>
      <c r="J489" s="753"/>
      <c r="K489" s="753"/>
      <c r="L489" s="754"/>
    </row>
    <row r="490" spans="1:12" ht="27.95" customHeight="1" thickBot="1">
      <c r="A490" s="13"/>
      <c r="L490" s="14"/>
    </row>
    <row r="491" spans="1:12" ht="15" customHeight="1">
      <c r="A491" s="13"/>
      <c r="B491" s="50"/>
      <c r="C491" s="51"/>
      <c r="D491" s="51"/>
      <c r="E491" s="51"/>
      <c r="F491" s="52"/>
      <c r="H491" s="54"/>
      <c r="I491" s="55"/>
      <c r="J491" s="55"/>
      <c r="K491" s="55"/>
      <c r="L491" s="56"/>
    </row>
    <row r="492" spans="1:12" ht="15" customHeight="1">
      <c r="A492" s="13"/>
      <c r="B492" s="13"/>
      <c r="F492" s="14"/>
      <c r="H492" s="53" t="e">
        <f>#REF!</f>
        <v>#REF!</v>
      </c>
      <c r="I492" s="2"/>
      <c r="J492" s="2"/>
      <c r="K492" s="2"/>
      <c r="L492" s="57"/>
    </row>
    <row r="493" spans="1:12" ht="15" customHeight="1">
      <c r="A493" s="13"/>
      <c r="B493" s="53" t="e">
        <f>#REF!</f>
        <v>#REF!</v>
      </c>
      <c r="F493" s="14"/>
      <c r="H493" s="53"/>
      <c r="I493" s="2"/>
      <c r="J493" s="2"/>
      <c r="K493" s="2"/>
      <c r="L493" s="57"/>
    </row>
    <row r="494" spans="1:12" ht="15" customHeight="1">
      <c r="A494" s="13"/>
      <c r="B494" s="13"/>
      <c r="F494" s="14"/>
      <c r="H494" s="53" t="e">
        <f>#REF!</f>
        <v>#REF!</v>
      </c>
      <c r="I494" s="2"/>
      <c r="J494" s="2"/>
      <c r="K494" s="2"/>
      <c r="L494" s="57"/>
    </row>
    <row r="495" spans="1:12" ht="15" customHeight="1" thickBot="1">
      <c r="A495" s="13"/>
      <c r="B495" s="25"/>
      <c r="C495" s="23"/>
      <c r="D495" s="23"/>
      <c r="E495" s="23"/>
      <c r="F495" s="24"/>
      <c r="H495" s="58"/>
      <c r="I495" s="59"/>
      <c r="J495" s="59"/>
      <c r="K495" s="59"/>
      <c r="L495" s="60"/>
    </row>
    <row r="496" spans="1:12">
      <c r="A496" s="61"/>
      <c r="B496" s="742" t="s">
        <v>188</v>
      </c>
      <c r="C496" s="742"/>
      <c r="D496" s="742"/>
      <c r="E496" s="742"/>
      <c r="F496" s="742"/>
      <c r="G496" s="742"/>
      <c r="H496" s="743">
        <f>'BOM 04 22Master'!B409</f>
        <v>0</v>
      </c>
      <c r="I496" s="744"/>
      <c r="J496" s="744"/>
      <c r="K496" s="744"/>
      <c r="L496" s="745"/>
    </row>
    <row r="497" spans="1:12" ht="15" customHeight="1">
      <c r="A497" s="61"/>
      <c r="B497" s="755" t="s">
        <v>189</v>
      </c>
      <c r="C497" s="755"/>
      <c r="D497" s="755"/>
      <c r="E497" s="755"/>
      <c r="F497" s="755"/>
      <c r="G497" s="755"/>
      <c r="H497" s="743">
        <f>'BOM 04 22Master'!E409</f>
        <v>0</v>
      </c>
      <c r="I497" s="744"/>
      <c r="J497" s="744"/>
      <c r="K497" s="744"/>
      <c r="L497" s="745"/>
    </row>
    <row r="498" spans="1:12">
      <c r="A498" s="61"/>
      <c r="B498" s="742" t="s">
        <v>190</v>
      </c>
      <c r="C498" s="742"/>
      <c r="D498" s="742"/>
      <c r="E498" s="742"/>
      <c r="F498" s="742"/>
      <c r="G498" s="742"/>
      <c r="H498" s="743">
        <f>'BOM 04 22Master'!C409</f>
        <v>0</v>
      </c>
      <c r="I498" s="744"/>
      <c r="J498" s="744"/>
      <c r="K498" s="744"/>
      <c r="L498" s="745"/>
    </row>
    <row r="499" spans="1:12">
      <c r="A499" s="61"/>
      <c r="B499" s="742" t="s">
        <v>191</v>
      </c>
      <c r="C499" s="742"/>
      <c r="D499" s="742"/>
      <c r="E499" s="742"/>
      <c r="F499" s="742"/>
      <c r="G499" s="742"/>
      <c r="H499" s="916">
        <f>'BOM 04 22Master'!D409</f>
        <v>0</v>
      </c>
      <c r="I499" s="744"/>
      <c r="J499" s="744"/>
      <c r="K499" s="744"/>
      <c r="L499" s="745"/>
    </row>
    <row r="500" spans="1:12">
      <c r="A500" s="61"/>
      <c r="B500" s="62" t="s">
        <v>192</v>
      </c>
      <c r="C500" s="63"/>
      <c r="D500" s="63"/>
      <c r="E500" s="63"/>
      <c r="F500" s="63"/>
      <c r="G500" s="63"/>
      <c r="H500" s="913" t="s">
        <v>193</v>
      </c>
      <c r="I500" s="914"/>
      <c r="J500" s="914"/>
      <c r="K500" s="914"/>
      <c r="L500" s="915"/>
    </row>
    <row r="501" spans="1:12" ht="15" customHeight="1">
      <c r="A501" s="61"/>
      <c r="B501" s="62" t="s">
        <v>194</v>
      </c>
      <c r="C501" s="63"/>
      <c r="D501" s="63"/>
      <c r="E501" s="63"/>
      <c r="F501" s="63"/>
      <c r="G501" s="63"/>
      <c r="H501" s="64"/>
      <c r="I501" s="66"/>
      <c r="J501" s="167"/>
      <c r="K501" s="66"/>
      <c r="L501" s="71"/>
    </row>
    <row r="502" spans="1:12" ht="15" customHeight="1">
      <c r="A502" s="61"/>
      <c r="B502" s="749" t="s">
        <v>195</v>
      </c>
      <c r="C502" s="749"/>
      <c r="D502" s="749"/>
      <c r="E502" s="749"/>
      <c r="F502" s="749"/>
      <c r="G502" s="749"/>
      <c r="H502" s="750">
        <f>'BOM 04 22Master'!G409</f>
        <v>0</v>
      </c>
      <c r="I502" s="751"/>
      <c r="J502" s="751"/>
      <c r="K502" s="751"/>
      <c r="L502" s="752"/>
    </row>
    <row r="503" spans="1:12">
      <c r="A503" s="61"/>
      <c r="B503" s="742"/>
      <c r="C503" s="742"/>
      <c r="D503" s="742"/>
      <c r="E503" s="742"/>
      <c r="F503" s="742"/>
      <c r="G503" s="742"/>
      <c r="H503" s="766">
        <f>'BOM 04 22Master'!H409</f>
        <v>0</v>
      </c>
      <c r="I503" s="744"/>
      <c r="J503" s="744"/>
      <c r="K503" s="744"/>
      <c r="L503" s="745"/>
    </row>
    <row r="504" spans="1:12">
      <c r="A504" s="13"/>
      <c r="B504" s="742"/>
      <c r="C504" s="742"/>
      <c r="D504" s="742"/>
      <c r="E504" s="742"/>
      <c r="F504" s="742"/>
      <c r="G504" s="742"/>
      <c r="H504" s="743">
        <f>'BOM 04 22Master'!I409</f>
        <v>0</v>
      </c>
      <c r="I504" s="744"/>
      <c r="J504" s="744"/>
      <c r="K504" s="744"/>
      <c r="L504" s="745"/>
    </row>
    <row r="505" spans="1:12">
      <c r="A505" s="13"/>
      <c r="B505" s="62" t="s">
        <v>196</v>
      </c>
      <c r="C505" s="63"/>
      <c r="D505" s="63"/>
      <c r="E505" s="63"/>
      <c r="F505" s="63"/>
      <c r="G505" s="67"/>
      <c r="H505" s="906">
        <f>'BOM 04 22Master'!J409</f>
        <v>0</v>
      </c>
      <c r="I505" s="779"/>
      <c r="J505" s="779"/>
      <c r="K505" s="779"/>
      <c r="L505" s="907"/>
    </row>
    <row r="506" spans="1:12">
      <c r="A506" s="13"/>
      <c r="B506" s="62"/>
      <c r="C506" s="63"/>
      <c r="D506" s="63"/>
      <c r="E506" s="63"/>
      <c r="F506" s="63"/>
      <c r="G506" s="67"/>
      <c r="H506" s="906">
        <f>'BOM 04 22Master'!K409</f>
        <v>0</v>
      </c>
      <c r="I506" s="779"/>
      <c r="J506" s="779"/>
      <c r="K506" s="779"/>
      <c r="L506" s="907"/>
    </row>
    <row r="507" spans="1:12">
      <c r="A507" s="13"/>
      <c r="B507" s="62"/>
      <c r="C507" s="63"/>
      <c r="D507" s="63"/>
      <c r="E507" s="63"/>
      <c r="F507" s="63"/>
      <c r="G507" s="67"/>
      <c r="H507" s="906">
        <f>'BOM 04 22Master'!L409</f>
        <v>0</v>
      </c>
      <c r="I507" s="779"/>
      <c r="J507" s="779"/>
      <c r="K507" s="779"/>
      <c r="L507" s="907"/>
    </row>
    <row r="508" spans="1:12">
      <c r="A508" s="13"/>
      <c r="B508" s="62" t="s">
        <v>203</v>
      </c>
      <c r="C508" s="63"/>
      <c r="D508" s="63"/>
      <c r="E508" s="63"/>
      <c r="F508" s="63"/>
      <c r="G508" s="67"/>
      <c r="H508" s="64"/>
      <c r="I508" s="66"/>
      <c r="J508" s="66"/>
      <c r="K508" s="66"/>
      <c r="L508" s="71"/>
    </row>
    <row r="509" spans="1:12">
      <c r="A509" s="13"/>
      <c r="B509" s="74" t="s">
        <v>204</v>
      </c>
      <c r="C509" s="148"/>
      <c r="D509" s="148"/>
      <c r="E509" s="148"/>
      <c r="F509" s="148"/>
      <c r="G509" s="149"/>
      <c r="H509" s="150"/>
      <c r="I509" s="151"/>
      <c r="J509" s="152"/>
      <c r="K509" s="151"/>
      <c r="L509" s="153"/>
    </row>
    <row r="510" spans="1:12" ht="45" customHeight="1">
      <c r="A510" s="13"/>
      <c r="B510" s="62" t="s">
        <v>207</v>
      </c>
      <c r="C510" s="63"/>
      <c r="D510" s="66"/>
      <c r="E510" s="160" t="s">
        <v>209</v>
      </c>
      <c r="F510" s="45"/>
      <c r="G510" s="908" t="s">
        <v>208</v>
      </c>
      <c r="H510" s="909"/>
      <c r="I510" s="164" t="s">
        <v>205</v>
      </c>
      <c r="J510" s="162" t="s">
        <v>210</v>
      </c>
      <c r="K510" s="908" t="s">
        <v>206</v>
      </c>
      <c r="L510" s="910"/>
    </row>
    <row r="511" spans="1:12">
      <c r="A511" s="13"/>
      <c r="B511" s="163">
        <v>1</v>
      </c>
      <c r="C511" s="63"/>
      <c r="D511" s="63"/>
      <c r="E511" s="166">
        <v>2</v>
      </c>
      <c r="F511" s="67"/>
      <c r="G511" s="166">
        <v>3</v>
      </c>
      <c r="H511" s="182"/>
      <c r="I511" s="182">
        <v>4</v>
      </c>
      <c r="J511" s="85">
        <v>5</v>
      </c>
      <c r="K511" s="69"/>
      <c r="L511" s="70">
        <v>6</v>
      </c>
    </row>
    <row r="512" spans="1:12">
      <c r="A512" s="13"/>
      <c r="B512" s="280">
        <f>'BOM 04 22Master'!E409</f>
        <v>0</v>
      </c>
      <c r="C512" s="178"/>
      <c r="D512" s="179"/>
      <c r="E512" s="181" t="s">
        <v>366</v>
      </c>
      <c r="F512" s="179"/>
      <c r="G512" s="181" t="s">
        <v>367</v>
      </c>
      <c r="H512" s="45"/>
      <c r="I512" s="11" t="s">
        <v>368</v>
      </c>
      <c r="J512" s="279">
        <v>1</v>
      </c>
      <c r="K512" s="911" t="s">
        <v>37</v>
      </c>
      <c r="L512" s="917"/>
    </row>
    <row r="513" spans="1:12">
      <c r="A513" s="13"/>
      <c r="B513" s="62"/>
      <c r="C513" s="178"/>
      <c r="D513" s="179"/>
      <c r="E513" s="180"/>
      <c r="F513" s="179"/>
      <c r="G513" s="180"/>
      <c r="H513" s="45"/>
      <c r="I513" s="11"/>
      <c r="J513" s="11"/>
      <c r="K513" s="181"/>
      <c r="L513" s="45"/>
    </row>
    <row r="514" spans="1:12">
      <c r="A514" s="13"/>
      <c r="B514" s="62"/>
      <c r="C514" s="178"/>
      <c r="D514" s="179"/>
      <c r="E514" s="180"/>
      <c r="F514" s="179"/>
      <c r="G514" s="180"/>
      <c r="H514" s="45"/>
      <c r="I514" s="11"/>
      <c r="J514" s="11"/>
      <c r="K514" s="181"/>
      <c r="L514" s="45"/>
    </row>
    <row r="515" spans="1:12">
      <c r="A515" s="13"/>
      <c r="B515" s="48"/>
      <c r="C515" s="17"/>
      <c r="D515" s="49"/>
      <c r="E515" s="180"/>
      <c r="F515" s="179"/>
      <c r="G515" s="180"/>
      <c r="H515" s="45"/>
      <c r="I515" s="11"/>
      <c r="J515" s="11"/>
      <c r="K515" s="181"/>
      <c r="L515" s="45"/>
    </row>
    <row r="516" spans="1:12" ht="27.95" customHeight="1">
      <c r="A516" s="13"/>
      <c r="B516" t="s">
        <v>211</v>
      </c>
      <c r="L516" s="14"/>
    </row>
    <row r="517" spans="1:12" ht="27.95" customHeight="1">
      <c r="A517" s="13"/>
      <c r="B517" t="s">
        <v>212</v>
      </c>
      <c r="L517" s="14"/>
    </row>
    <row r="518" spans="1:12" ht="27.95" customHeight="1">
      <c r="A518" s="13"/>
      <c r="B518" t="s">
        <v>213</v>
      </c>
      <c r="L518" s="14"/>
    </row>
    <row r="519" spans="1:12" ht="27.95" customHeight="1">
      <c r="A519" s="13"/>
      <c r="I519" t="s">
        <v>214</v>
      </c>
      <c r="L519" s="14"/>
    </row>
    <row r="520" spans="1:12" ht="27.95" customHeight="1">
      <c r="A520" s="13"/>
      <c r="F520" s="168" t="s">
        <v>197</v>
      </c>
      <c r="L520" s="14"/>
    </row>
    <row r="521" spans="1:12" ht="27.95" customHeight="1">
      <c r="A521" s="13" t="s">
        <v>198</v>
      </c>
      <c r="K521" s="218">
        <f>'BOM 04 22Master'!B409</f>
        <v>0</v>
      </c>
      <c r="L521" s="14"/>
    </row>
    <row r="522" spans="1:12" ht="27.95" customHeight="1">
      <c r="A522" s="13" t="s">
        <v>199</v>
      </c>
      <c r="L522" s="14"/>
    </row>
    <row r="523" spans="1:12" ht="27.95" customHeight="1">
      <c r="A523" s="13"/>
      <c r="F523" t="s">
        <v>200</v>
      </c>
      <c r="L523" s="14"/>
    </row>
    <row r="524" spans="1:12" ht="27.95" customHeight="1">
      <c r="A524" s="13" t="s">
        <v>201</v>
      </c>
      <c r="B524" t="s">
        <v>365</v>
      </c>
      <c r="F524">
        <f>'BOM 04 22Master'!AP399</f>
        <v>0</v>
      </c>
      <c r="L524" s="14"/>
    </row>
    <row r="525" spans="1:12" ht="27.95" customHeight="1">
      <c r="A525" s="13" t="s">
        <v>202</v>
      </c>
      <c r="B525" s="278">
        <f>'BOM 04 22Master'!N409</f>
        <v>0</v>
      </c>
      <c r="F525">
        <f>'BOM 04 22Master'!AP400</f>
        <v>0</v>
      </c>
      <c r="L525" s="14"/>
    </row>
    <row r="526" spans="1:12" ht="27.95" customHeight="1" thickBot="1">
      <c r="A526" s="25"/>
      <c r="B526" s="23"/>
      <c r="C526" s="23"/>
      <c r="D526" s="23"/>
      <c r="E526" s="23"/>
      <c r="F526" s="23"/>
      <c r="G526" s="23"/>
      <c r="H526" s="23"/>
      <c r="I526" s="23"/>
      <c r="J526" s="23"/>
      <c r="K526" s="23"/>
      <c r="L526" s="24"/>
    </row>
    <row r="527" spans="1:12" ht="27.95" customHeight="1">
      <c r="A527" s="50"/>
      <c r="B527" s="756" t="s">
        <v>185</v>
      </c>
      <c r="C527" s="757"/>
      <c r="D527" s="757"/>
      <c r="E527" s="757"/>
      <c r="F527" s="757"/>
      <c r="G527" s="757"/>
      <c r="H527" s="757"/>
      <c r="I527" s="757"/>
      <c r="J527" s="757"/>
      <c r="K527" s="757"/>
      <c r="L527" s="758"/>
    </row>
    <row r="528" spans="1:12" ht="27.95" customHeight="1">
      <c r="A528" s="13"/>
      <c r="B528" s="759" t="s">
        <v>186</v>
      </c>
      <c r="C528" s="759"/>
      <c r="D528" s="759"/>
      <c r="E528" s="759"/>
      <c r="F528" s="759"/>
      <c r="G528" s="759"/>
      <c r="H528" s="759"/>
      <c r="I528" s="759"/>
      <c r="J528" s="759"/>
      <c r="K528" s="759"/>
      <c r="L528" s="760"/>
    </row>
    <row r="529" spans="1:12" ht="27.95" customHeight="1" thickBot="1">
      <c r="A529" s="25"/>
      <c r="B529" s="761" t="s">
        <v>187</v>
      </c>
      <c r="C529" s="761"/>
      <c r="D529" s="761"/>
      <c r="E529" s="761"/>
      <c r="F529" s="761"/>
      <c r="G529" s="761"/>
      <c r="H529" s="761"/>
      <c r="I529" s="761"/>
      <c r="J529" s="761"/>
      <c r="K529" s="761"/>
      <c r="L529" s="762"/>
    </row>
    <row r="530" spans="1:12" ht="27.95" customHeight="1">
      <c r="A530" s="13"/>
      <c r="B530" s="763" t="s">
        <v>112</v>
      </c>
      <c r="C530" s="763"/>
      <c r="D530" s="763"/>
      <c r="E530" s="763"/>
      <c r="F530" s="763"/>
      <c r="H530" s="764" t="s">
        <v>113</v>
      </c>
      <c r="I530" s="764"/>
      <c r="J530" s="764"/>
      <c r="K530" s="764"/>
      <c r="L530" s="765"/>
    </row>
    <row r="531" spans="1:12" ht="27.95" customHeight="1" thickBot="1">
      <c r="A531" s="13"/>
      <c r="B531" s="763"/>
      <c r="C531" s="763"/>
      <c r="D531" s="763"/>
      <c r="E531" s="763"/>
      <c r="F531" s="763"/>
      <c r="H531" s="764"/>
      <c r="I531" s="764"/>
      <c r="J531" s="764"/>
      <c r="K531" s="764"/>
      <c r="L531" s="765"/>
    </row>
    <row r="532" spans="1:12">
      <c r="A532" s="13"/>
      <c r="B532" s="50"/>
      <c r="C532" s="51"/>
      <c r="D532" s="51"/>
      <c r="E532" s="51"/>
      <c r="F532" s="52"/>
      <c r="H532" s="50"/>
      <c r="I532" s="51"/>
      <c r="J532" s="51"/>
      <c r="K532" s="51"/>
      <c r="L532" s="52"/>
    </row>
    <row r="533" spans="1:12">
      <c r="A533" s="13"/>
      <c r="B533" s="53" t="e">
        <f>#REF!</f>
        <v>#REF!</v>
      </c>
      <c r="F533" s="14"/>
      <c r="H533" s="53" t="e">
        <f>#REF!</f>
        <v>#REF!</v>
      </c>
      <c r="L533" s="14"/>
    </row>
    <row r="534" spans="1:12">
      <c r="A534" s="13"/>
      <c r="B534" s="13"/>
      <c r="F534" s="14"/>
      <c r="H534" s="13"/>
      <c r="L534" s="14"/>
    </row>
    <row r="535" spans="1:12">
      <c r="A535" s="13"/>
      <c r="B535" s="53" t="e">
        <f>#REF!</f>
        <v>#REF!</v>
      </c>
      <c r="F535" s="14"/>
      <c r="H535" s="53" t="e">
        <f>#REF!</f>
        <v>#REF!</v>
      </c>
      <c r="L535" s="14"/>
    </row>
    <row r="536" spans="1:12" ht="15.75" thickBot="1">
      <c r="A536" s="13"/>
      <c r="B536" s="25"/>
      <c r="C536" s="23"/>
      <c r="D536" s="23"/>
      <c r="E536" s="23"/>
      <c r="F536" s="24"/>
      <c r="H536" s="25"/>
      <c r="I536" s="23"/>
      <c r="J536" s="23"/>
      <c r="K536" s="23"/>
      <c r="L536" s="24"/>
    </row>
    <row r="537" spans="1:12" ht="15" customHeight="1">
      <c r="A537" s="13"/>
      <c r="J537" t="s">
        <v>114</v>
      </c>
      <c r="L537" s="14"/>
    </row>
    <row r="538" spans="1:12">
      <c r="A538" s="13"/>
      <c r="B538" s="753" t="s">
        <v>115</v>
      </c>
      <c r="C538" s="753"/>
      <c r="D538" s="753"/>
      <c r="E538" s="753"/>
      <c r="F538" s="753"/>
      <c r="H538" s="753" t="s">
        <v>4</v>
      </c>
      <c r="I538" s="753"/>
      <c r="J538" s="753"/>
      <c r="K538" s="753"/>
      <c r="L538" s="754"/>
    </row>
    <row r="539" spans="1:12" ht="15.75" thickBot="1">
      <c r="A539" s="13"/>
      <c r="L539" s="14"/>
    </row>
    <row r="540" spans="1:12">
      <c r="A540" s="13"/>
      <c r="B540" s="50"/>
      <c r="C540" s="51"/>
      <c r="D540" s="51"/>
      <c r="E540" s="51"/>
      <c r="F540" s="52"/>
      <c r="H540" s="54"/>
      <c r="I540" s="55"/>
      <c r="J540" s="55"/>
      <c r="K540" s="55"/>
      <c r="L540" s="56"/>
    </row>
    <row r="541" spans="1:12">
      <c r="A541" s="13"/>
      <c r="B541" s="13"/>
      <c r="F541" s="14"/>
      <c r="H541" s="53" t="e">
        <f>#REF!</f>
        <v>#REF!</v>
      </c>
      <c r="I541" s="2"/>
      <c r="J541" s="2"/>
      <c r="K541" s="2"/>
      <c r="L541" s="57"/>
    </row>
    <row r="542" spans="1:12">
      <c r="A542" s="13"/>
      <c r="B542" s="53" t="e">
        <f>#REF!</f>
        <v>#REF!</v>
      </c>
      <c r="F542" s="14"/>
      <c r="H542" s="53"/>
      <c r="I542" s="2"/>
      <c r="J542" s="2"/>
      <c r="K542" s="2"/>
      <c r="L542" s="57"/>
    </row>
    <row r="543" spans="1:12">
      <c r="A543" s="13"/>
      <c r="B543" s="13"/>
      <c r="F543" s="14"/>
      <c r="H543" s="53" t="e">
        <f>#REF!</f>
        <v>#REF!</v>
      </c>
      <c r="I543" s="2"/>
      <c r="J543" s="2"/>
      <c r="K543" s="2"/>
      <c r="L543" s="57"/>
    </row>
    <row r="544" spans="1:12" ht="15.75" thickBot="1">
      <c r="A544" s="13"/>
      <c r="B544" s="25"/>
      <c r="C544" s="23"/>
      <c r="D544" s="23"/>
      <c r="E544" s="23"/>
      <c r="F544" s="24"/>
      <c r="H544" s="58"/>
      <c r="I544" s="59"/>
      <c r="J544" s="59"/>
      <c r="K544" s="59"/>
      <c r="L544" s="60"/>
    </row>
    <row r="545" spans="1:12">
      <c r="A545" s="61"/>
      <c r="B545" s="742" t="s">
        <v>188</v>
      </c>
      <c r="C545" s="742"/>
      <c r="D545" s="742"/>
      <c r="E545" s="742"/>
      <c r="F545" s="742"/>
      <c r="G545" s="742"/>
      <c r="H545" s="743">
        <f>'BOM 04 22Master'!B460</f>
        <v>0</v>
      </c>
      <c r="I545" s="744"/>
      <c r="J545" s="744"/>
      <c r="K545" s="744"/>
      <c r="L545" s="745"/>
    </row>
    <row r="546" spans="1:12">
      <c r="A546" s="61"/>
      <c r="B546" s="755" t="s">
        <v>189</v>
      </c>
      <c r="C546" s="755"/>
      <c r="D546" s="755"/>
      <c r="E546" s="755"/>
      <c r="F546" s="755"/>
      <c r="G546" s="755"/>
      <c r="H546" s="743">
        <f>'BOM 04 22Master'!E460</f>
        <v>0</v>
      </c>
      <c r="I546" s="744"/>
      <c r="J546" s="744"/>
      <c r="K546" s="744"/>
      <c r="L546" s="745"/>
    </row>
    <row r="547" spans="1:12">
      <c r="A547" s="61"/>
      <c r="B547" s="742" t="s">
        <v>190</v>
      </c>
      <c r="C547" s="742"/>
      <c r="D547" s="742"/>
      <c r="E547" s="742"/>
      <c r="F547" s="742"/>
      <c r="G547" s="742"/>
      <c r="H547" s="743">
        <f>'BOM 04 22Master'!C460</f>
        <v>0</v>
      </c>
      <c r="I547" s="744"/>
      <c r="J547" s="744"/>
      <c r="K547" s="744"/>
      <c r="L547" s="745"/>
    </row>
    <row r="548" spans="1:12">
      <c r="A548" s="61"/>
      <c r="B548" s="742" t="s">
        <v>191</v>
      </c>
      <c r="C548" s="742"/>
      <c r="D548" s="742"/>
      <c r="E548" s="742"/>
      <c r="F548" s="742"/>
      <c r="G548" s="742"/>
      <c r="H548" s="916">
        <f>'BOM 04 22Master'!D460</f>
        <v>0</v>
      </c>
      <c r="I548" s="744"/>
      <c r="J548" s="744"/>
      <c r="K548" s="744"/>
      <c r="L548" s="745"/>
    </row>
    <row r="549" spans="1:12">
      <c r="A549" s="61"/>
      <c r="B549" s="62" t="s">
        <v>192</v>
      </c>
      <c r="C549" s="63"/>
      <c r="D549" s="63"/>
      <c r="E549" s="63"/>
      <c r="F549" s="63"/>
      <c r="G549" s="63"/>
      <c r="H549" s="913" t="s">
        <v>193</v>
      </c>
      <c r="I549" s="914"/>
      <c r="J549" s="914"/>
      <c r="K549" s="914"/>
      <c r="L549" s="915"/>
    </row>
    <row r="550" spans="1:12">
      <c r="A550" s="61"/>
      <c r="B550" s="62" t="s">
        <v>194</v>
      </c>
      <c r="C550" s="63"/>
      <c r="D550" s="63"/>
      <c r="E550" s="63"/>
      <c r="F550" s="63"/>
      <c r="G550" s="63"/>
      <c r="H550" s="64"/>
      <c r="I550" s="66"/>
      <c r="J550" s="167"/>
      <c r="K550" s="66"/>
      <c r="L550" s="71"/>
    </row>
    <row r="551" spans="1:12">
      <c r="A551" s="61"/>
      <c r="B551" s="749" t="s">
        <v>195</v>
      </c>
      <c r="C551" s="749"/>
      <c r="D551" s="749"/>
      <c r="E551" s="749"/>
      <c r="F551" s="749"/>
      <c r="G551" s="749"/>
      <c r="H551" s="750">
        <f>'BOM 04 22Master'!G460</f>
        <v>0</v>
      </c>
      <c r="I551" s="751"/>
      <c r="J551" s="751"/>
      <c r="K551" s="751"/>
      <c r="L551" s="752"/>
    </row>
    <row r="552" spans="1:12" ht="27.95" customHeight="1">
      <c r="A552" s="61"/>
      <c r="B552" s="742"/>
      <c r="C552" s="742"/>
      <c r="D552" s="742"/>
      <c r="E552" s="742"/>
      <c r="F552" s="742"/>
      <c r="G552" s="742"/>
      <c r="H552" s="766">
        <f>'BOM 04 22Master'!H460</f>
        <v>0</v>
      </c>
      <c r="I552" s="744"/>
      <c r="J552" s="744"/>
      <c r="K552" s="744"/>
      <c r="L552" s="745"/>
    </row>
    <row r="553" spans="1:12" ht="27.95" customHeight="1">
      <c r="A553" s="13"/>
      <c r="B553" s="742"/>
      <c r="C553" s="742"/>
      <c r="D553" s="742"/>
      <c r="E553" s="742"/>
      <c r="F553" s="742"/>
      <c r="G553" s="742"/>
      <c r="H553" s="743">
        <f>'BOM 04 22Master'!I460</f>
        <v>0</v>
      </c>
      <c r="I553" s="744"/>
      <c r="J553" s="744"/>
      <c r="K553" s="744"/>
      <c r="L553" s="745"/>
    </row>
    <row r="554" spans="1:12" ht="27.95" customHeight="1">
      <c r="A554" s="13"/>
      <c r="B554" s="62" t="s">
        <v>196</v>
      </c>
      <c r="C554" s="63"/>
      <c r="D554" s="63"/>
      <c r="E554" s="63"/>
      <c r="F554" s="63"/>
      <c r="G554" s="67"/>
      <c r="H554" s="906">
        <f>'BOM 04 22Master'!J460</f>
        <v>0</v>
      </c>
      <c r="I554" s="779"/>
      <c r="J554" s="779"/>
      <c r="K554" s="779"/>
      <c r="L554" s="907"/>
    </row>
    <row r="555" spans="1:12" ht="27.95" customHeight="1">
      <c r="A555" s="13"/>
      <c r="B555" s="62"/>
      <c r="C555" s="63"/>
      <c r="D555" s="63"/>
      <c r="E555" s="63"/>
      <c r="F555" s="63"/>
      <c r="G555" s="67"/>
      <c r="H555" s="906">
        <f>'BOM 04 22Master'!K460</f>
        <v>0</v>
      </c>
      <c r="I555" s="779"/>
      <c r="J555" s="779"/>
      <c r="K555" s="779"/>
      <c r="L555" s="907"/>
    </row>
    <row r="556" spans="1:12" ht="27.95" customHeight="1">
      <c r="A556" s="13"/>
      <c r="B556" s="62"/>
      <c r="C556" s="63"/>
      <c r="D556" s="63"/>
      <c r="E556" s="63"/>
      <c r="F556" s="63"/>
      <c r="G556" s="67"/>
      <c r="H556" s="906">
        <f>'BOM 04 22Master'!L460</f>
        <v>0</v>
      </c>
      <c r="I556" s="779"/>
      <c r="J556" s="779"/>
      <c r="K556" s="779"/>
      <c r="L556" s="907"/>
    </row>
    <row r="557" spans="1:12" ht="27.95" customHeight="1">
      <c r="A557" s="13"/>
      <c r="B557" s="62" t="s">
        <v>203</v>
      </c>
      <c r="C557" s="63"/>
      <c r="D557" s="63"/>
      <c r="E557" s="63"/>
      <c r="F557" s="63"/>
      <c r="G557" s="67"/>
      <c r="H557" s="64"/>
      <c r="I557" s="66"/>
      <c r="J557" s="66"/>
      <c r="K557" s="66"/>
      <c r="L557" s="71"/>
    </row>
    <row r="558" spans="1:12" ht="27.95" customHeight="1">
      <c r="A558" s="13"/>
      <c r="B558" s="74" t="s">
        <v>204</v>
      </c>
      <c r="C558" s="148"/>
      <c r="D558" s="148"/>
      <c r="E558" s="148"/>
      <c r="F558" s="148"/>
      <c r="G558" s="149"/>
      <c r="H558" s="150"/>
      <c r="I558" s="151"/>
      <c r="J558" s="152"/>
      <c r="K558" s="151"/>
      <c r="L558" s="153"/>
    </row>
    <row r="559" spans="1:12" ht="27.95" customHeight="1">
      <c r="A559" s="13"/>
      <c r="B559" s="62" t="s">
        <v>207</v>
      </c>
      <c r="C559" s="63"/>
      <c r="D559" s="66"/>
      <c r="E559" s="160" t="s">
        <v>209</v>
      </c>
      <c r="F559" s="45"/>
      <c r="G559" s="908" t="s">
        <v>208</v>
      </c>
      <c r="H559" s="909"/>
      <c r="I559" s="164" t="s">
        <v>205</v>
      </c>
      <c r="J559" s="162" t="s">
        <v>210</v>
      </c>
      <c r="K559" s="908" t="s">
        <v>206</v>
      </c>
      <c r="L559" s="910"/>
    </row>
    <row r="560" spans="1:12" ht="27.95" customHeight="1">
      <c r="A560" s="13"/>
      <c r="B560" s="163">
        <v>1</v>
      </c>
      <c r="C560" s="63"/>
      <c r="D560" s="63"/>
      <c r="E560" s="166">
        <v>2</v>
      </c>
      <c r="F560" s="67"/>
      <c r="G560" s="166">
        <v>3</v>
      </c>
      <c r="H560" s="182"/>
      <c r="I560" s="182">
        <v>4</v>
      </c>
      <c r="J560" s="85">
        <v>5</v>
      </c>
      <c r="K560" s="69"/>
      <c r="L560" s="70">
        <v>6</v>
      </c>
    </row>
    <row r="561" spans="1:12" ht="27.95" customHeight="1">
      <c r="A561" s="13"/>
      <c r="B561" s="280">
        <f>'BOM 04 22Master'!E460</f>
        <v>0</v>
      </c>
      <c r="C561" s="178"/>
      <c r="D561" s="179"/>
      <c r="E561" s="181" t="s">
        <v>366</v>
      </c>
      <c r="F561" s="179"/>
      <c r="G561" s="181" t="s">
        <v>367</v>
      </c>
      <c r="H561" s="45"/>
      <c r="I561" s="11" t="s">
        <v>368</v>
      </c>
      <c r="J561" s="279">
        <v>1</v>
      </c>
      <c r="K561" s="911" t="s">
        <v>37</v>
      </c>
      <c r="L561" s="912"/>
    </row>
    <row r="562" spans="1:12" ht="27.95" customHeight="1">
      <c r="A562" s="13"/>
      <c r="B562" s="62"/>
      <c r="C562" s="178"/>
      <c r="D562" s="179"/>
      <c r="E562" s="180"/>
      <c r="F562" s="179"/>
      <c r="G562" s="180"/>
      <c r="H562" s="45"/>
      <c r="I562" s="11"/>
      <c r="J562" s="11"/>
      <c r="K562" s="181"/>
      <c r="L562" s="186"/>
    </row>
    <row r="563" spans="1:12" ht="27.95" customHeight="1">
      <c r="A563" s="13"/>
      <c r="B563" s="62"/>
      <c r="C563" s="178"/>
      <c r="D563" s="179"/>
      <c r="E563" s="180"/>
      <c r="F563" s="179"/>
      <c r="G563" s="180"/>
      <c r="H563" s="45"/>
      <c r="I563" s="11"/>
      <c r="J563" s="11"/>
      <c r="K563" s="181"/>
      <c r="L563" s="186"/>
    </row>
    <row r="564" spans="1:12" ht="27.95" customHeight="1">
      <c r="A564" s="13"/>
      <c r="B564" s="48"/>
      <c r="C564" s="17"/>
      <c r="D564" s="49"/>
      <c r="E564" s="180"/>
      <c r="F564" s="179"/>
      <c r="G564" s="180"/>
      <c r="H564" s="45"/>
      <c r="I564" s="11"/>
      <c r="J564" s="11"/>
      <c r="K564" s="181"/>
      <c r="L564" s="186"/>
    </row>
    <row r="565" spans="1:12" ht="27.95" customHeight="1">
      <c r="A565" s="13"/>
      <c r="B565" t="s">
        <v>211</v>
      </c>
      <c r="L565" s="14"/>
    </row>
    <row r="566" spans="1:12" ht="27.95" customHeight="1">
      <c r="A566" s="13"/>
      <c r="B566" t="s">
        <v>212</v>
      </c>
      <c r="L566" s="14"/>
    </row>
    <row r="567" spans="1:12" ht="27.95" customHeight="1">
      <c r="A567" s="13"/>
      <c r="B567" t="s">
        <v>213</v>
      </c>
      <c r="L567" s="14"/>
    </row>
    <row r="568" spans="1:12" ht="27.95" customHeight="1">
      <c r="A568" s="13"/>
      <c r="I568" t="s">
        <v>214</v>
      </c>
      <c r="L568" s="14"/>
    </row>
    <row r="569" spans="1:12" ht="27.95" customHeight="1">
      <c r="A569" s="13"/>
      <c r="F569" s="168" t="s">
        <v>197</v>
      </c>
      <c r="L569" s="14"/>
    </row>
    <row r="570" spans="1:12">
      <c r="A570" s="13" t="s">
        <v>198</v>
      </c>
      <c r="K570" s="218">
        <f>'BOM 04 22Master'!B460</f>
        <v>0</v>
      </c>
      <c r="L570" s="14"/>
    </row>
    <row r="571" spans="1:12">
      <c r="A571" s="13" t="s">
        <v>199</v>
      </c>
      <c r="L571" s="14"/>
    </row>
    <row r="572" spans="1:12">
      <c r="A572" s="13"/>
      <c r="L572" s="14"/>
    </row>
    <row r="573" spans="1:12">
      <c r="A573" s="13"/>
      <c r="L573" s="14"/>
    </row>
    <row r="574" spans="1:12">
      <c r="A574" s="13"/>
      <c r="F574" t="s">
        <v>200</v>
      </c>
      <c r="L574" s="14"/>
    </row>
    <row r="575" spans="1:12">
      <c r="A575" s="13" t="s">
        <v>201</v>
      </c>
      <c r="B575" t="s">
        <v>365</v>
      </c>
      <c r="F575">
        <f>'BOM 04 22Master'!AP450</f>
        <v>0</v>
      </c>
      <c r="L575" s="14"/>
    </row>
    <row r="576" spans="1:12" ht="15" customHeight="1">
      <c r="A576" s="13" t="s">
        <v>202</v>
      </c>
      <c r="B576" s="278">
        <f>'BOM 04 22Master'!N460</f>
        <v>0</v>
      </c>
      <c r="F576">
        <f>'BOM 04 22Master'!AP451</f>
        <v>0</v>
      </c>
      <c r="L576" s="14"/>
    </row>
    <row r="577" spans="1:12" ht="15.75" thickBot="1">
      <c r="A577" s="25"/>
      <c r="B577" s="23"/>
      <c r="C577" s="23"/>
      <c r="D577" s="23"/>
      <c r="E577" s="23"/>
      <c r="F577" s="23"/>
      <c r="G577" s="23"/>
      <c r="H577" s="23"/>
      <c r="I577" s="23"/>
      <c r="J577" s="23"/>
      <c r="K577" s="23"/>
      <c r="L577" s="24"/>
    </row>
    <row r="579" spans="1:12">
      <c r="B579" s="2"/>
      <c r="H579" s="2"/>
    </row>
    <row r="581" spans="1:12">
      <c r="B581" s="2"/>
      <c r="H581" s="2"/>
    </row>
    <row r="584" spans="1:12">
      <c r="B584" s="753"/>
      <c r="C584" s="753"/>
      <c r="D584" s="753"/>
      <c r="E584" s="753"/>
      <c r="F584" s="753"/>
      <c r="H584" s="753"/>
      <c r="I584" s="753"/>
      <c r="J584" s="753"/>
      <c r="K584" s="753"/>
      <c r="L584" s="753"/>
    </row>
    <row r="586" spans="1:12">
      <c r="H586" s="2"/>
      <c r="I586" s="2"/>
      <c r="J586" s="2"/>
      <c r="K586" s="2"/>
      <c r="L586" s="2"/>
    </row>
    <row r="587" spans="1:12">
      <c r="H587" s="2"/>
      <c r="I587" s="2"/>
      <c r="J587" s="2"/>
      <c r="K587" s="2"/>
      <c r="L587" s="2"/>
    </row>
    <row r="588" spans="1:12">
      <c r="B588" s="2"/>
      <c r="H588" s="2"/>
      <c r="I588" s="2"/>
      <c r="J588" s="2"/>
      <c r="K588" s="2"/>
      <c r="L588" s="2"/>
    </row>
    <row r="589" spans="1:12">
      <c r="H589" s="2"/>
      <c r="I589" s="2"/>
      <c r="J589" s="2"/>
      <c r="K589" s="2"/>
      <c r="L589" s="2"/>
    </row>
    <row r="590" spans="1:12">
      <c r="H590" s="2"/>
      <c r="I590" s="2"/>
      <c r="J590" s="2"/>
      <c r="K590" s="2"/>
      <c r="L590" s="2"/>
    </row>
    <row r="591" spans="1:12" ht="27.95" customHeight="1">
      <c r="A591" s="10"/>
      <c r="B591" s="901"/>
      <c r="C591" s="901"/>
      <c r="D591" s="901"/>
      <c r="E591" s="901"/>
      <c r="F591" s="901"/>
      <c r="G591" s="901"/>
      <c r="H591" s="899"/>
      <c r="I591" s="900"/>
      <c r="J591" s="900"/>
      <c r="K591" s="900"/>
      <c r="L591" s="900"/>
    </row>
    <row r="592" spans="1:12" ht="27.95" customHeight="1">
      <c r="A592" s="10"/>
      <c r="B592" s="764"/>
      <c r="C592" s="764"/>
      <c r="D592" s="764"/>
      <c r="E592" s="764"/>
      <c r="F592" s="764"/>
      <c r="G592" s="764"/>
      <c r="H592" s="899"/>
      <c r="I592" s="900"/>
      <c r="J592" s="900"/>
      <c r="K592" s="900"/>
      <c r="L592" s="900"/>
    </row>
    <row r="593" spans="1:12" ht="27.95" customHeight="1">
      <c r="A593" s="10"/>
      <c r="B593" s="901"/>
      <c r="C593" s="901"/>
      <c r="D593" s="901"/>
      <c r="E593" s="901"/>
      <c r="F593" s="901"/>
      <c r="G593" s="901"/>
      <c r="H593" s="899"/>
      <c r="I593" s="900"/>
      <c r="J593" s="900"/>
      <c r="K593" s="900"/>
      <c r="L593" s="900"/>
    </row>
    <row r="594" spans="1:12" ht="27.95" customHeight="1">
      <c r="A594" s="10"/>
      <c r="B594" s="901"/>
      <c r="C594" s="901"/>
      <c r="D594" s="901"/>
      <c r="E594" s="901"/>
      <c r="F594" s="901"/>
      <c r="G594" s="901"/>
      <c r="H594" s="903"/>
      <c r="I594" s="900"/>
      <c r="J594" s="900"/>
      <c r="K594" s="900"/>
      <c r="L594" s="900"/>
    </row>
    <row r="595" spans="1:12" ht="27.95" customHeight="1">
      <c r="A595" s="10"/>
      <c r="B595" s="169"/>
      <c r="C595" s="165"/>
      <c r="D595" s="165"/>
      <c r="E595" s="165"/>
      <c r="F595" s="165"/>
      <c r="G595" s="165"/>
      <c r="H595" s="154"/>
      <c r="I595" s="10"/>
      <c r="J595" s="238"/>
      <c r="K595" s="154"/>
      <c r="L595" s="154"/>
    </row>
    <row r="596" spans="1:12" ht="27.95" customHeight="1">
      <c r="A596" s="10"/>
      <c r="B596" s="169"/>
      <c r="C596" s="165"/>
      <c r="D596" s="165"/>
      <c r="E596" s="165"/>
      <c r="F596" s="165"/>
      <c r="G596" s="165"/>
      <c r="H596" s="154"/>
      <c r="I596" s="154"/>
      <c r="J596" s="238"/>
      <c r="K596" s="154"/>
      <c r="L596" s="154"/>
    </row>
    <row r="597" spans="1:12" ht="27.95" customHeight="1">
      <c r="A597" s="10"/>
      <c r="B597" s="764"/>
      <c r="C597" s="764"/>
      <c r="D597" s="764"/>
      <c r="E597" s="764"/>
      <c r="F597" s="764"/>
      <c r="G597" s="764"/>
      <c r="H597" s="899"/>
      <c r="I597" s="900"/>
      <c r="J597" s="900"/>
      <c r="K597" s="900"/>
      <c r="L597" s="900"/>
    </row>
    <row r="598" spans="1:12" ht="27.95" customHeight="1">
      <c r="A598" s="10"/>
      <c r="B598" s="901"/>
      <c r="C598" s="901"/>
      <c r="D598" s="901"/>
      <c r="E598" s="901"/>
      <c r="F598" s="901"/>
      <c r="G598" s="901"/>
      <c r="H598" s="902"/>
      <c r="I598" s="900"/>
      <c r="J598" s="900"/>
      <c r="K598" s="900"/>
      <c r="L598" s="900"/>
    </row>
    <row r="599" spans="1:12" ht="27.95" customHeight="1">
      <c r="B599" s="901"/>
      <c r="C599" s="901"/>
      <c r="D599" s="901"/>
      <c r="E599" s="901"/>
      <c r="F599" s="901"/>
      <c r="G599" s="901"/>
      <c r="H599" s="900"/>
      <c r="I599" s="900"/>
      <c r="J599" s="900"/>
      <c r="K599" s="900"/>
      <c r="L599" s="900"/>
    </row>
    <row r="600" spans="1:12" ht="27.95" customHeight="1">
      <c r="B600" s="169"/>
      <c r="C600" s="165"/>
      <c r="D600" s="165"/>
      <c r="E600" s="165"/>
      <c r="F600" s="165"/>
      <c r="G600" s="165"/>
      <c r="H600" s="154"/>
      <c r="I600" s="154"/>
      <c r="J600" s="154"/>
      <c r="K600" s="154"/>
      <c r="L600" s="154"/>
    </row>
    <row r="601" spans="1:12" ht="27.95" customHeight="1">
      <c r="B601" s="169"/>
      <c r="C601" s="165"/>
      <c r="D601" s="165"/>
      <c r="E601" s="165"/>
      <c r="F601" s="165"/>
      <c r="G601" s="165"/>
      <c r="H601" s="154"/>
      <c r="I601" s="154"/>
      <c r="J601" s="154"/>
      <c r="K601" s="154"/>
      <c r="L601" s="154"/>
    </row>
    <row r="602" spans="1:12" ht="27.95" customHeight="1">
      <c r="B602" s="169"/>
      <c r="C602" s="165"/>
      <c r="D602" s="165"/>
      <c r="E602" s="165"/>
      <c r="F602" s="165"/>
      <c r="G602" s="165"/>
      <c r="H602" s="154"/>
      <c r="I602" s="154"/>
      <c r="J602" s="155"/>
      <c r="K602" s="154"/>
      <c r="L602" s="154"/>
    </row>
    <row r="603" spans="1:12" ht="27.95" customHeight="1">
      <c r="B603" s="169"/>
      <c r="C603" s="165"/>
      <c r="D603" s="165"/>
      <c r="E603" s="165"/>
      <c r="F603" s="165"/>
      <c r="G603" s="165"/>
      <c r="H603" s="154"/>
      <c r="I603" s="154"/>
      <c r="J603" s="154"/>
      <c r="K603" s="154"/>
      <c r="L603" s="154"/>
    </row>
    <row r="604" spans="1:12" ht="27.95" customHeight="1">
      <c r="B604" s="169"/>
      <c r="C604" s="165"/>
      <c r="D604" s="165"/>
      <c r="E604" s="165"/>
      <c r="F604" s="165"/>
      <c r="G604" s="165"/>
      <c r="H604" s="154"/>
      <c r="I604" s="154"/>
      <c r="J604" s="155"/>
      <c r="K604" s="154"/>
      <c r="L604" s="154"/>
    </row>
    <row r="605" spans="1:12" ht="27.95" customHeight="1">
      <c r="B605" s="169"/>
      <c r="C605" s="165"/>
      <c r="D605" s="154"/>
      <c r="E605" s="155"/>
      <c r="F605" s="154"/>
      <c r="G605" s="155"/>
      <c r="H605" s="154"/>
      <c r="I605" s="155"/>
      <c r="J605" s="154"/>
      <c r="K605" s="155"/>
      <c r="L605" s="155"/>
    </row>
    <row r="606" spans="1:12" ht="27.95" customHeight="1">
      <c r="B606" s="169"/>
      <c r="C606" s="165"/>
      <c r="D606" s="165"/>
      <c r="E606" s="165"/>
      <c r="F606" s="165"/>
      <c r="G606" s="165"/>
      <c r="H606" s="154"/>
      <c r="I606" s="154"/>
      <c r="J606" s="239"/>
      <c r="K606" s="154"/>
      <c r="L606" s="154"/>
    </row>
    <row r="607" spans="1:12" ht="27.95" customHeight="1">
      <c r="B607" s="169"/>
      <c r="C607" s="2"/>
      <c r="D607" s="2"/>
      <c r="E607" s="2"/>
      <c r="F607" s="2"/>
      <c r="G607" s="2"/>
    </row>
    <row r="608" spans="1:12" ht="27.95" customHeight="1">
      <c r="B608" s="169"/>
      <c r="C608" s="2"/>
      <c r="D608" s="2"/>
      <c r="E608" s="2"/>
      <c r="F608" s="2"/>
      <c r="G608" s="2"/>
    </row>
    <row r="611" spans="2:12" ht="32.25">
      <c r="B611" s="905"/>
      <c r="C611" s="795"/>
      <c r="D611" s="795"/>
      <c r="E611" s="795"/>
      <c r="F611" s="795"/>
      <c r="G611" s="795"/>
      <c r="H611" s="795"/>
      <c r="I611" s="795"/>
      <c r="J611" s="795"/>
      <c r="K611" s="795"/>
      <c r="L611" s="795"/>
    </row>
    <row r="612" spans="2:12" ht="23.25">
      <c r="B612" s="759"/>
      <c r="C612" s="759"/>
      <c r="D612" s="759"/>
      <c r="E612" s="759"/>
      <c r="F612" s="759"/>
      <c r="G612" s="759"/>
      <c r="H612" s="759"/>
      <c r="I612" s="759"/>
      <c r="J612" s="759"/>
      <c r="K612" s="759"/>
      <c r="L612" s="759"/>
    </row>
    <row r="613" spans="2:12" ht="15.75">
      <c r="B613" s="904"/>
      <c r="C613" s="904"/>
      <c r="D613" s="904"/>
      <c r="E613" s="904"/>
      <c r="F613" s="904"/>
      <c r="G613" s="904"/>
      <c r="H613" s="904"/>
      <c r="I613" s="904"/>
      <c r="J613" s="904"/>
      <c r="K613" s="904"/>
      <c r="L613" s="904"/>
    </row>
    <row r="614" spans="2:12" ht="15" customHeight="1">
      <c r="B614" s="763"/>
      <c r="C614" s="763"/>
      <c r="D614" s="763"/>
      <c r="E614" s="763"/>
      <c r="F614" s="763"/>
      <c r="H614" s="764"/>
      <c r="I614" s="764"/>
      <c r="J614" s="764"/>
      <c r="K614" s="764"/>
      <c r="L614" s="764"/>
    </row>
    <row r="615" spans="2:12">
      <c r="B615" s="763"/>
      <c r="C615" s="763"/>
      <c r="D615" s="763"/>
      <c r="E615" s="763"/>
      <c r="F615" s="763"/>
      <c r="H615" s="764"/>
      <c r="I615" s="764"/>
      <c r="J615" s="764"/>
      <c r="K615" s="764"/>
      <c r="L615" s="764"/>
    </row>
    <row r="617" spans="2:12">
      <c r="B617" s="2"/>
      <c r="H617" s="2"/>
    </row>
    <row r="619" spans="2:12">
      <c r="B619" s="2"/>
      <c r="H619" s="2"/>
    </row>
    <row r="622" spans="2:12">
      <c r="B622" s="753"/>
      <c r="C622" s="753"/>
      <c r="D622" s="753"/>
      <c r="E622" s="753"/>
      <c r="F622" s="753"/>
      <c r="H622" s="753"/>
      <c r="I622" s="753"/>
      <c r="J622" s="753"/>
      <c r="K622" s="753"/>
      <c r="L622" s="753"/>
    </row>
    <row r="624" spans="2:12">
      <c r="H624" s="2"/>
      <c r="I624" s="2"/>
      <c r="J624" s="2"/>
      <c r="K624" s="2"/>
      <c r="L624" s="2"/>
    </row>
    <row r="625" spans="1:12">
      <c r="H625" s="2"/>
      <c r="I625" s="2"/>
      <c r="J625" s="2"/>
      <c r="K625" s="2"/>
      <c r="L625" s="2"/>
    </row>
    <row r="626" spans="1:12">
      <c r="B626" s="2"/>
      <c r="H626" s="2"/>
      <c r="I626" s="2"/>
      <c r="J626" s="2"/>
      <c r="K626" s="2"/>
      <c r="L626" s="2"/>
    </row>
    <row r="627" spans="1:12">
      <c r="H627" s="2"/>
      <c r="I627" s="2"/>
      <c r="J627" s="2"/>
      <c r="K627" s="2"/>
      <c r="L627" s="2"/>
    </row>
    <row r="628" spans="1:12">
      <c r="H628" s="2"/>
      <c r="I628" s="2"/>
      <c r="J628" s="2"/>
      <c r="K628" s="2"/>
      <c r="L628" s="2"/>
    </row>
    <row r="629" spans="1:12" ht="27.95" customHeight="1">
      <c r="A629" s="10"/>
      <c r="B629" s="901"/>
      <c r="C629" s="901"/>
      <c r="D629" s="901"/>
      <c r="E629" s="901"/>
      <c r="F629" s="901"/>
      <c r="G629" s="901"/>
      <c r="H629" s="899"/>
      <c r="I629" s="900"/>
      <c r="J629" s="900"/>
      <c r="K629" s="900"/>
      <c r="L629" s="900"/>
    </row>
    <row r="630" spans="1:12" ht="27.95" customHeight="1">
      <c r="A630" s="10"/>
      <c r="B630" s="764"/>
      <c r="C630" s="764"/>
      <c r="D630" s="764"/>
      <c r="E630" s="764"/>
      <c r="F630" s="764"/>
      <c r="G630" s="764"/>
      <c r="H630" s="899"/>
      <c r="I630" s="900"/>
      <c r="J630" s="900"/>
      <c r="K630" s="900"/>
      <c r="L630" s="900"/>
    </row>
    <row r="631" spans="1:12" ht="27.95" customHeight="1">
      <c r="A631" s="10"/>
      <c r="B631" s="901"/>
      <c r="C631" s="901"/>
      <c r="D631" s="901"/>
      <c r="E631" s="901"/>
      <c r="F631" s="901"/>
      <c r="G631" s="901"/>
      <c r="H631" s="899"/>
      <c r="I631" s="900"/>
      <c r="J631" s="900"/>
      <c r="K631" s="900"/>
      <c r="L631" s="900"/>
    </row>
    <row r="632" spans="1:12" ht="27.95" customHeight="1">
      <c r="A632" s="10"/>
      <c r="B632" s="901"/>
      <c r="C632" s="901"/>
      <c r="D632" s="901"/>
      <c r="E632" s="901"/>
      <c r="F632" s="901"/>
      <c r="G632" s="901"/>
      <c r="H632" s="903"/>
      <c r="I632" s="900"/>
      <c r="J632" s="900"/>
      <c r="K632" s="900"/>
      <c r="L632" s="900"/>
    </row>
    <row r="633" spans="1:12" ht="27.95" customHeight="1">
      <c r="A633" s="10"/>
      <c r="B633" s="169"/>
      <c r="C633" s="165"/>
      <c r="D633" s="165"/>
      <c r="E633" s="165"/>
      <c r="F633" s="165"/>
      <c r="G633" s="165"/>
      <c r="H633" s="154"/>
      <c r="I633" s="10"/>
      <c r="J633" s="238"/>
      <c r="K633" s="154"/>
      <c r="L633" s="154"/>
    </row>
    <row r="634" spans="1:12" ht="27.95" customHeight="1">
      <c r="A634" s="10"/>
      <c r="B634" s="169"/>
      <c r="C634" s="165"/>
      <c r="D634" s="165"/>
      <c r="E634" s="165"/>
      <c r="F634" s="165"/>
      <c r="G634" s="165"/>
      <c r="H634" s="154"/>
      <c r="I634" s="154"/>
      <c r="J634" s="238"/>
      <c r="K634" s="154"/>
      <c r="L634" s="154"/>
    </row>
    <row r="635" spans="1:12" ht="27.95" customHeight="1">
      <c r="A635" s="10"/>
      <c r="B635" s="764"/>
      <c r="C635" s="764"/>
      <c r="D635" s="764"/>
      <c r="E635" s="764"/>
      <c r="F635" s="764"/>
      <c r="G635" s="764"/>
      <c r="H635" s="899"/>
      <c r="I635" s="900"/>
      <c r="J635" s="900"/>
      <c r="K635" s="900"/>
      <c r="L635" s="900"/>
    </row>
    <row r="636" spans="1:12" ht="27.95" customHeight="1">
      <c r="A636" s="10"/>
      <c r="B636" s="901"/>
      <c r="C636" s="901"/>
      <c r="D636" s="901"/>
      <c r="E636" s="901"/>
      <c r="F636" s="901"/>
      <c r="G636" s="901"/>
      <c r="H636" s="902"/>
      <c r="I636" s="900"/>
      <c r="J636" s="900"/>
      <c r="K636" s="900"/>
      <c r="L636" s="900"/>
    </row>
    <row r="637" spans="1:12" ht="27.95" customHeight="1">
      <c r="B637" s="901"/>
      <c r="C637" s="901"/>
      <c r="D637" s="901"/>
      <c r="E637" s="901"/>
      <c r="F637" s="901"/>
      <c r="G637" s="901"/>
      <c r="H637" s="900"/>
      <c r="I637" s="900"/>
      <c r="J637" s="900"/>
      <c r="K637" s="900"/>
      <c r="L637" s="900"/>
    </row>
    <row r="638" spans="1:12" ht="27.95" customHeight="1">
      <c r="B638" s="169"/>
      <c r="C638" s="165"/>
      <c r="D638" s="165"/>
      <c r="E638" s="165"/>
      <c r="F638" s="165"/>
      <c r="G638" s="165"/>
      <c r="H638" s="154"/>
      <c r="I638" s="154"/>
      <c r="J638" s="154"/>
      <c r="K638" s="154"/>
      <c r="L638" s="154"/>
    </row>
    <row r="639" spans="1:12" ht="27.95" customHeight="1">
      <c r="B639" s="169"/>
      <c r="C639" s="165"/>
      <c r="D639" s="165"/>
      <c r="E639" s="165"/>
      <c r="F639" s="165"/>
      <c r="G639" s="165"/>
      <c r="H639" s="154"/>
      <c r="I639" s="154"/>
      <c r="J639" s="154"/>
      <c r="K639" s="154"/>
      <c r="L639" s="154"/>
    </row>
    <row r="640" spans="1:12" ht="27.95" customHeight="1">
      <c r="B640" s="169"/>
      <c r="C640" s="165"/>
      <c r="D640" s="165"/>
      <c r="E640" s="165"/>
      <c r="F640" s="165"/>
      <c r="G640" s="165"/>
      <c r="H640" s="154"/>
      <c r="I640" s="154"/>
      <c r="J640" s="155"/>
      <c r="K640" s="154"/>
      <c r="L640" s="154"/>
    </row>
    <row r="641" spans="2:12" ht="27.95" customHeight="1">
      <c r="B641" s="169"/>
      <c r="C641" s="165"/>
      <c r="D641" s="165"/>
      <c r="E641" s="165"/>
      <c r="F641" s="165"/>
      <c r="G641" s="165"/>
      <c r="H641" s="154"/>
      <c r="I641" s="154"/>
      <c r="J641" s="154"/>
      <c r="K641" s="154"/>
      <c r="L641" s="154"/>
    </row>
    <row r="642" spans="2:12" ht="27.95" customHeight="1">
      <c r="B642" s="169"/>
      <c r="C642" s="165"/>
      <c r="D642" s="165"/>
      <c r="E642" s="165"/>
      <c r="F642" s="165"/>
      <c r="G642" s="165"/>
      <c r="H642" s="154"/>
      <c r="I642" s="154"/>
      <c r="J642" s="155"/>
      <c r="K642" s="154"/>
      <c r="L642" s="154"/>
    </row>
    <row r="643" spans="2:12" ht="27.95" customHeight="1">
      <c r="B643" s="169"/>
      <c r="C643" s="165"/>
      <c r="D643" s="154"/>
      <c r="E643" s="155"/>
      <c r="F643" s="154"/>
      <c r="G643" s="155"/>
      <c r="H643" s="154"/>
      <c r="I643" s="155"/>
      <c r="J643" s="154"/>
      <c r="K643" s="155"/>
      <c r="L643" s="155"/>
    </row>
    <row r="644" spans="2:12" ht="27.95" customHeight="1">
      <c r="B644" s="169"/>
      <c r="C644" s="165"/>
      <c r="D644" s="165"/>
      <c r="E644" s="165"/>
      <c r="F644" s="165"/>
      <c r="G644" s="165"/>
      <c r="H644" s="154"/>
      <c r="I644" s="154"/>
      <c r="J644" s="239"/>
      <c r="K644" s="154"/>
      <c r="L644" s="154"/>
    </row>
    <row r="645" spans="2:12" ht="27.95" customHeight="1">
      <c r="B645" s="169"/>
      <c r="C645" s="2"/>
      <c r="D645" s="2"/>
      <c r="E645" s="2"/>
      <c r="F645" s="2"/>
      <c r="G645" s="2"/>
    </row>
    <row r="646" spans="2:12" ht="27.95" customHeight="1">
      <c r="B646" s="169"/>
      <c r="C646" s="2"/>
      <c r="D646" s="2"/>
      <c r="E646" s="2"/>
      <c r="F646" s="2"/>
      <c r="G646" s="2"/>
    </row>
    <row r="650" spans="2:12" ht="32.25">
      <c r="B650" s="905"/>
      <c r="C650" s="795"/>
      <c r="D650" s="795"/>
      <c r="E650" s="795"/>
      <c r="F650" s="795"/>
      <c r="G650" s="795"/>
      <c r="H650" s="795"/>
      <c r="I650" s="795"/>
      <c r="J650" s="795"/>
      <c r="K650" s="795"/>
      <c r="L650" s="795"/>
    </row>
    <row r="651" spans="2:12" ht="23.25">
      <c r="B651" s="759"/>
      <c r="C651" s="759"/>
      <c r="D651" s="759"/>
      <c r="E651" s="759"/>
      <c r="F651" s="759"/>
      <c r="G651" s="759"/>
      <c r="H651" s="759"/>
      <c r="I651" s="759"/>
      <c r="J651" s="759"/>
      <c r="K651" s="759"/>
      <c r="L651" s="759"/>
    </row>
    <row r="652" spans="2:12" ht="15.75">
      <c r="B652" s="904"/>
      <c r="C652" s="904"/>
      <c r="D652" s="904"/>
      <c r="E652" s="904"/>
      <c r="F652" s="904"/>
      <c r="G652" s="904"/>
      <c r="H652" s="904"/>
      <c r="I652" s="904"/>
      <c r="J652" s="904"/>
      <c r="K652" s="904"/>
      <c r="L652" s="904"/>
    </row>
    <row r="653" spans="2:12" ht="15" customHeight="1">
      <c r="B653" s="763"/>
      <c r="C653" s="763"/>
      <c r="D653" s="763"/>
      <c r="E653" s="763"/>
      <c r="F653" s="763"/>
      <c r="H653" s="764"/>
      <c r="I653" s="764"/>
      <c r="J653" s="764"/>
      <c r="K653" s="764"/>
      <c r="L653" s="764"/>
    </row>
    <row r="654" spans="2:12">
      <c r="B654" s="763"/>
      <c r="C654" s="763"/>
      <c r="D654" s="763"/>
      <c r="E654" s="763"/>
      <c r="F654" s="763"/>
      <c r="H654" s="764"/>
      <c r="I654" s="764"/>
      <c r="J654" s="764"/>
      <c r="K654" s="764"/>
      <c r="L654" s="764"/>
    </row>
    <row r="656" spans="2:12">
      <c r="B656" s="2"/>
      <c r="H656" s="2"/>
    </row>
    <row r="658" spans="1:12">
      <c r="B658" s="2"/>
      <c r="H658" s="2"/>
    </row>
    <row r="661" spans="1:12">
      <c r="B661" s="753"/>
      <c r="C661" s="753"/>
      <c r="D661" s="753"/>
      <c r="E661" s="753"/>
      <c r="F661" s="753"/>
      <c r="H661" s="753"/>
      <c r="I661" s="753"/>
      <c r="J661" s="753"/>
      <c r="K661" s="753"/>
      <c r="L661" s="753"/>
    </row>
    <row r="663" spans="1:12">
      <c r="H663" s="2"/>
      <c r="I663" s="2"/>
      <c r="J663" s="2"/>
      <c r="K663" s="2"/>
      <c r="L663" s="2"/>
    </row>
    <row r="664" spans="1:12">
      <c r="H664" s="2"/>
      <c r="I664" s="2"/>
      <c r="J664" s="2"/>
      <c r="K664" s="2"/>
      <c r="L664" s="2"/>
    </row>
    <row r="665" spans="1:12">
      <c r="B665" s="2"/>
      <c r="H665" s="2"/>
      <c r="I665" s="2"/>
      <c r="J665" s="2"/>
      <c r="K665" s="2"/>
      <c r="L665" s="2"/>
    </row>
    <row r="666" spans="1:12">
      <c r="H666" s="2"/>
      <c r="I666" s="2"/>
      <c r="J666" s="2"/>
      <c r="K666" s="2"/>
      <c r="L666" s="2"/>
    </row>
    <row r="667" spans="1:12">
      <c r="H667" s="2"/>
      <c r="I667" s="2"/>
      <c r="J667" s="2"/>
      <c r="K667" s="2"/>
      <c r="L667" s="2"/>
    </row>
    <row r="668" spans="1:12" ht="27.95" customHeight="1">
      <c r="A668" s="10"/>
      <c r="B668" s="901"/>
      <c r="C668" s="901"/>
      <c r="D668" s="901"/>
      <c r="E668" s="901"/>
      <c r="F668" s="901"/>
      <c r="G668" s="901"/>
      <c r="H668" s="899"/>
      <c r="I668" s="900"/>
      <c r="J668" s="900"/>
      <c r="K668" s="900"/>
      <c r="L668" s="900"/>
    </row>
    <row r="669" spans="1:12" ht="27.95" customHeight="1">
      <c r="A669" s="10"/>
      <c r="B669" s="764"/>
      <c r="C669" s="764"/>
      <c r="D669" s="764"/>
      <c r="E669" s="764"/>
      <c r="F669" s="764"/>
      <c r="G669" s="764"/>
      <c r="H669" s="899"/>
      <c r="I669" s="900"/>
      <c r="J669" s="900"/>
      <c r="K669" s="900"/>
      <c r="L669" s="900"/>
    </row>
    <row r="670" spans="1:12" ht="27.95" customHeight="1">
      <c r="A670" s="10"/>
      <c r="B670" s="901"/>
      <c r="C670" s="901"/>
      <c r="D670" s="901"/>
      <c r="E670" s="901"/>
      <c r="F670" s="901"/>
      <c r="G670" s="901"/>
      <c r="H670" s="899"/>
      <c r="I670" s="900"/>
      <c r="J670" s="900"/>
      <c r="K670" s="900"/>
      <c r="L670" s="900"/>
    </row>
    <row r="671" spans="1:12" ht="27.95" customHeight="1">
      <c r="A671" s="10"/>
      <c r="B671" s="901"/>
      <c r="C671" s="901"/>
      <c r="D671" s="901"/>
      <c r="E671" s="901"/>
      <c r="F671" s="901"/>
      <c r="G671" s="901"/>
      <c r="H671" s="903"/>
      <c r="I671" s="900"/>
      <c r="J671" s="900"/>
      <c r="K671" s="900"/>
      <c r="L671" s="900"/>
    </row>
    <row r="672" spans="1:12" ht="27.95" customHeight="1">
      <c r="A672" s="10"/>
      <c r="B672" s="169"/>
      <c r="C672" s="165"/>
      <c r="D672" s="165"/>
      <c r="E672" s="165"/>
      <c r="F672" s="165"/>
      <c r="G672" s="165"/>
      <c r="H672" s="154"/>
      <c r="I672" s="10"/>
      <c r="J672" s="238"/>
      <c r="K672" s="154"/>
      <c r="L672" s="154"/>
    </row>
    <row r="673" spans="1:12" ht="27.95" customHeight="1">
      <c r="A673" s="10"/>
      <c r="B673" s="169"/>
      <c r="C673" s="165"/>
      <c r="D673" s="165"/>
      <c r="E673" s="165"/>
      <c r="F673" s="165"/>
      <c r="G673" s="165"/>
      <c r="H673" s="154"/>
      <c r="I673" s="154"/>
      <c r="J673" s="238"/>
      <c r="K673" s="154"/>
      <c r="L673" s="154"/>
    </row>
    <row r="674" spans="1:12" ht="27.95" customHeight="1">
      <c r="A674" s="10"/>
      <c r="B674" s="764"/>
      <c r="C674" s="764"/>
      <c r="D674" s="764"/>
      <c r="E674" s="764"/>
      <c r="F674" s="764"/>
      <c r="G674" s="764"/>
      <c r="H674" s="899"/>
      <c r="I674" s="900"/>
      <c r="J674" s="900"/>
      <c r="K674" s="900"/>
      <c r="L674" s="900"/>
    </row>
    <row r="675" spans="1:12" ht="27.95" customHeight="1">
      <c r="A675" s="10"/>
      <c r="B675" s="901"/>
      <c r="C675" s="901"/>
      <c r="D675" s="901"/>
      <c r="E675" s="901"/>
      <c r="F675" s="901"/>
      <c r="G675" s="901"/>
      <c r="H675" s="902"/>
      <c r="I675" s="900"/>
      <c r="J675" s="900"/>
      <c r="K675" s="900"/>
      <c r="L675" s="900"/>
    </row>
    <row r="676" spans="1:12" ht="27.95" customHeight="1">
      <c r="B676" s="901"/>
      <c r="C676" s="901"/>
      <c r="D676" s="901"/>
      <c r="E676" s="901"/>
      <c r="F676" s="901"/>
      <c r="G676" s="901"/>
      <c r="H676" s="900"/>
      <c r="I676" s="900"/>
      <c r="J676" s="900"/>
      <c r="K676" s="900"/>
      <c r="L676" s="900"/>
    </row>
    <row r="677" spans="1:12" ht="27.95" customHeight="1">
      <c r="B677" s="169"/>
      <c r="C677" s="165"/>
      <c r="D677" s="165"/>
      <c r="E677" s="165"/>
      <c r="F677" s="165"/>
      <c r="G677" s="165"/>
      <c r="H677" s="154"/>
      <c r="I677" s="154"/>
      <c r="J677" s="154"/>
      <c r="K677" s="154"/>
      <c r="L677" s="154"/>
    </row>
    <row r="678" spans="1:12" ht="27.95" customHeight="1">
      <c r="B678" s="169"/>
      <c r="C678" s="165"/>
      <c r="D678" s="165"/>
      <c r="E678" s="165"/>
      <c r="F678" s="165"/>
      <c r="G678" s="165"/>
      <c r="H678" s="154"/>
      <c r="I678" s="154"/>
      <c r="J678" s="154"/>
      <c r="K678" s="154"/>
      <c r="L678" s="154"/>
    </row>
    <row r="679" spans="1:12" ht="27.95" customHeight="1">
      <c r="B679" s="169"/>
      <c r="C679" s="165"/>
      <c r="D679" s="165"/>
      <c r="E679" s="165"/>
      <c r="F679" s="165"/>
      <c r="G679" s="165"/>
      <c r="H679" s="154"/>
      <c r="I679" s="154"/>
      <c r="J679" s="155"/>
      <c r="K679" s="154"/>
      <c r="L679" s="154"/>
    </row>
    <row r="680" spans="1:12" ht="27.95" customHeight="1">
      <c r="B680" s="169"/>
      <c r="C680" s="165"/>
      <c r="D680" s="165"/>
      <c r="E680" s="165"/>
      <c r="F680" s="165"/>
      <c r="G680" s="165"/>
      <c r="H680" s="154"/>
      <c r="I680" s="154"/>
      <c r="J680" s="154"/>
      <c r="K680" s="154"/>
      <c r="L680" s="154"/>
    </row>
    <row r="681" spans="1:12" ht="27.95" customHeight="1">
      <c r="B681" s="169"/>
      <c r="C681" s="165"/>
      <c r="D681" s="165"/>
      <c r="E681" s="165"/>
      <c r="F681" s="165"/>
      <c r="G681" s="165"/>
      <c r="H681" s="154"/>
      <c r="I681" s="154"/>
      <c r="J681" s="155"/>
      <c r="K681" s="154"/>
      <c r="L681" s="154"/>
    </row>
    <row r="682" spans="1:12" ht="27.95" customHeight="1">
      <c r="B682" s="169"/>
      <c r="C682" s="165"/>
      <c r="D682" s="154"/>
      <c r="E682" s="155"/>
      <c r="F682" s="154"/>
      <c r="G682" s="155"/>
      <c r="H682" s="154"/>
      <c r="I682" s="155"/>
      <c r="J682" s="154"/>
      <c r="K682" s="155"/>
      <c r="L682" s="155"/>
    </row>
    <row r="683" spans="1:12" ht="27.95" customHeight="1">
      <c r="B683" s="169"/>
      <c r="C683" s="165"/>
      <c r="D683" s="165"/>
      <c r="E683" s="165"/>
      <c r="F683" s="165"/>
      <c r="G683" s="165"/>
      <c r="H683" s="154"/>
      <c r="I683" s="154"/>
      <c r="J683" s="239"/>
      <c r="K683" s="154"/>
      <c r="L683" s="154"/>
    </row>
    <row r="684" spans="1:12" ht="27.95" customHeight="1">
      <c r="B684" s="169"/>
      <c r="C684" s="2"/>
      <c r="D684" s="2"/>
      <c r="E684" s="2"/>
      <c r="F684" s="2"/>
      <c r="G684" s="2"/>
    </row>
    <row r="685" spans="1:12" ht="27.95" customHeight="1">
      <c r="B685" s="169"/>
      <c r="C685" s="2"/>
      <c r="D685" s="2"/>
      <c r="E685" s="2"/>
      <c r="F685" s="2"/>
      <c r="G685" s="2"/>
    </row>
    <row r="689" spans="2:12" ht="32.25">
      <c r="B689" s="905"/>
      <c r="C689" s="795"/>
      <c r="D689" s="795"/>
      <c r="E689" s="795"/>
      <c r="F689" s="795"/>
      <c r="G689" s="795"/>
      <c r="H689" s="795"/>
      <c r="I689" s="795"/>
      <c r="J689" s="795"/>
      <c r="K689" s="795"/>
      <c r="L689" s="795"/>
    </row>
    <row r="690" spans="2:12" ht="23.25">
      <c r="B690" s="759"/>
      <c r="C690" s="759"/>
      <c r="D690" s="759"/>
      <c r="E690" s="759"/>
      <c r="F690" s="759"/>
      <c r="G690" s="759"/>
      <c r="H690" s="759"/>
      <c r="I690" s="759"/>
      <c r="J690" s="759"/>
      <c r="K690" s="759"/>
      <c r="L690" s="759"/>
    </row>
    <row r="691" spans="2:12" ht="15.75">
      <c r="B691" s="904"/>
      <c r="C691" s="904"/>
      <c r="D691" s="904"/>
      <c r="E691" s="904"/>
      <c r="F691" s="904"/>
      <c r="G691" s="904"/>
      <c r="H691" s="904"/>
      <c r="I691" s="904"/>
      <c r="J691" s="904"/>
      <c r="K691" s="904"/>
      <c r="L691" s="904"/>
    </row>
    <row r="692" spans="2:12" ht="15" customHeight="1">
      <c r="B692" s="763"/>
      <c r="C692" s="763"/>
      <c r="D692" s="763"/>
      <c r="E692" s="763"/>
      <c r="F692" s="763"/>
      <c r="H692" s="764"/>
      <c r="I692" s="764"/>
      <c r="J692" s="764"/>
      <c r="K692" s="764"/>
      <c r="L692" s="764"/>
    </row>
    <row r="693" spans="2:12">
      <c r="B693" s="763"/>
      <c r="C693" s="763"/>
      <c r="D693" s="763"/>
      <c r="E693" s="763"/>
      <c r="F693" s="763"/>
      <c r="H693" s="764"/>
      <c r="I693" s="764"/>
      <c r="J693" s="764"/>
      <c r="K693" s="764"/>
      <c r="L693" s="764"/>
    </row>
    <row r="695" spans="2:12">
      <c r="B695" s="2"/>
      <c r="H695" s="2"/>
    </row>
    <row r="697" spans="2:12">
      <c r="B697" s="2"/>
      <c r="H697" s="2"/>
    </row>
    <row r="700" spans="2:12">
      <c r="B700" s="753"/>
      <c r="C700" s="753"/>
      <c r="D700" s="753"/>
      <c r="E700" s="753"/>
      <c r="F700" s="753"/>
      <c r="H700" s="753"/>
      <c r="I700" s="753"/>
      <c r="J700" s="753"/>
      <c r="K700" s="753"/>
      <c r="L700" s="753"/>
    </row>
    <row r="702" spans="2:12">
      <c r="H702" s="2"/>
      <c r="I702" s="2"/>
      <c r="J702" s="2"/>
      <c r="K702" s="2"/>
      <c r="L702" s="2"/>
    </row>
    <row r="703" spans="2:12">
      <c r="H703" s="2"/>
      <c r="I703" s="2"/>
      <c r="J703" s="2"/>
      <c r="K703" s="2"/>
      <c r="L703" s="2"/>
    </row>
    <row r="704" spans="2:12">
      <c r="B704" s="2"/>
      <c r="H704" s="2"/>
      <c r="I704" s="2"/>
      <c r="J704" s="2"/>
      <c r="K704" s="2"/>
      <c r="L704" s="2"/>
    </row>
    <row r="705" spans="1:12">
      <c r="H705" s="2"/>
      <c r="I705" s="2"/>
      <c r="J705" s="2"/>
      <c r="K705" s="2"/>
      <c r="L705" s="2"/>
    </row>
    <row r="706" spans="1:12">
      <c r="H706" s="2"/>
      <c r="I706" s="2"/>
      <c r="J706" s="2"/>
      <c r="K706" s="2"/>
      <c r="L706" s="2"/>
    </row>
    <row r="707" spans="1:12" ht="27.95" customHeight="1">
      <c r="A707" s="10"/>
      <c r="B707" s="901"/>
      <c r="C707" s="901"/>
      <c r="D707" s="901"/>
      <c r="E707" s="901"/>
      <c r="F707" s="901"/>
      <c r="G707" s="901"/>
      <c r="H707" s="899"/>
      <c r="I707" s="900"/>
      <c r="J707" s="900"/>
      <c r="K707" s="900"/>
      <c r="L707" s="900"/>
    </row>
    <row r="708" spans="1:12" ht="27.95" customHeight="1">
      <c r="A708" s="10"/>
      <c r="B708" s="764"/>
      <c r="C708" s="764"/>
      <c r="D708" s="764"/>
      <c r="E708" s="764"/>
      <c r="F708" s="764"/>
      <c r="G708" s="764"/>
      <c r="H708" s="899"/>
      <c r="I708" s="900"/>
      <c r="J708" s="900"/>
      <c r="K708" s="900"/>
      <c r="L708" s="900"/>
    </row>
    <row r="709" spans="1:12" ht="27.95" customHeight="1">
      <c r="A709" s="10"/>
      <c r="B709" s="901"/>
      <c r="C709" s="901"/>
      <c r="D709" s="901"/>
      <c r="E709" s="901"/>
      <c r="F709" s="901"/>
      <c r="G709" s="901"/>
      <c r="H709" s="899"/>
      <c r="I709" s="900"/>
      <c r="J709" s="900"/>
      <c r="K709" s="900"/>
      <c r="L709" s="900"/>
    </row>
    <row r="710" spans="1:12" ht="27.95" customHeight="1">
      <c r="A710" s="10"/>
      <c r="B710" s="901"/>
      <c r="C710" s="901"/>
      <c r="D710" s="901"/>
      <c r="E710" s="901"/>
      <c r="F710" s="901"/>
      <c r="G710" s="901"/>
      <c r="H710" s="903"/>
      <c r="I710" s="900"/>
      <c r="J710" s="900"/>
      <c r="K710" s="900"/>
      <c r="L710" s="900"/>
    </row>
    <row r="711" spans="1:12" ht="27.95" customHeight="1">
      <c r="A711" s="10"/>
      <c r="B711" s="169"/>
      <c r="C711" s="165"/>
      <c r="D711" s="165"/>
      <c r="E711" s="165"/>
      <c r="F711" s="165"/>
      <c r="G711" s="165"/>
      <c r="H711" s="154"/>
      <c r="I711" s="10"/>
      <c r="J711" s="238"/>
      <c r="K711" s="154"/>
      <c r="L711" s="154"/>
    </row>
    <row r="712" spans="1:12" ht="27.95" customHeight="1">
      <c r="A712" s="10"/>
      <c r="B712" s="169"/>
      <c r="C712" s="165"/>
      <c r="D712" s="165"/>
      <c r="E712" s="165"/>
      <c r="F712" s="165"/>
      <c r="G712" s="165"/>
      <c r="H712" s="154"/>
      <c r="I712" s="154"/>
      <c r="J712" s="238"/>
      <c r="K712" s="154"/>
      <c r="L712" s="154"/>
    </row>
    <row r="713" spans="1:12" ht="27.95" customHeight="1">
      <c r="A713" s="10"/>
      <c r="B713" s="764"/>
      <c r="C713" s="764"/>
      <c r="D713" s="764"/>
      <c r="E713" s="764"/>
      <c r="F713" s="764"/>
      <c r="G713" s="764"/>
      <c r="H713" s="899"/>
      <c r="I713" s="900"/>
      <c r="J713" s="900"/>
      <c r="K713" s="900"/>
      <c r="L713" s="900"/>
    </row>
    <row r="714" spans="1:12" ht="27.95" customHeight="1">
      <c r="A714" s="10"/>
      <c r="B714" s="901"/>
      <c r="C714" s="901"/>
      <c r="D714" s="901"/>
      <c r="E714" s="901"/>
      <c r="F714" s="901"/>
      <c r="G714" s="901"/>
      <c r="H714" s="902"/>
      <c r="I714" s="900"/>
      <c r="J714" s="900"/>
      <c r="K714" s="900"/>
      <c r="L714" s="900"/>
    </row>
    <row r="715" spans="1:12" ht="27.95" customHeight="1">
      <c r="B715" s="901"/>
      <c r="C715" s="901"/>
      <c r="D715" s="901"/>
      <c r="E715" s="901"/>
      <c r="F715" s="901"/>
      <c r="G715" s="901"/>
      <c r="H715" s="900"/>
      <c r="I715" s="900"/>
      <c r="J715" s="900"/>
      <c r="K715" s="900"/>
      <c r="L715" s="900"/>
    </row>
    <row r="716" spans="1:12" ht="27.95" customHeight="1">
      <c r="B716" s="169"/>
      <c r="C716" s="165"/>
      <c r="D716" s="165"/>
      <c r="E716" s="165"/>
      <c r="F716" s="165"/>
      <c r="G716" s="165"/>
      <c r="H716" s="154"/>
      <c r="I716" s="154"/>
      <c r="J716" s="154"/>
      <c r="K716" s="154"/>
      <c r="L716" s="154"/>
    </row>
    <row r="717" spans="1:12" ht="27.95" customHeight="1">
      <c r="B717" s="169"/>
      <c r="C717" s="165"/>
      <c r="D717" s="165"/>
      <c r="E717" s="165"/>
      <c r="F717" s="165"/>
      <c r="G717" s="165"/>
      <c r="H717" s="154"/>
      <c r="I717" s="154"/>
      <c r="J717" s="154"/>
      <c r="K717" s="154"/>
      <c r="L717" s="154"/>
    </row>
    <row r="718" spans="1:12" ht="27.95" customHeight="1">
      <c r="B718" s="169"/>
      <c r="C718" s="165"/>
      <c r="D718" s="165"/>
      <c r="E718" s="165"/>
      <c r="F718" s="165"/>
      <c r="G718" s="165"/>
      <c r="H718" s="154"/>
      <c r="I718" s="154"/>
      <c r="J718" s="155"/>
      <c r="K718" s="154"/>
      <c r="L718" s="154"/>
    </row>
    <row r="719" spans="1:12" ht="27.95" customHeight="1">
      <c r="B719" s="169"/>
      <c r="C719" s="165"/>
      <c r="D719" s="165"/>
      <c r="E719" s="165"/>
      <c r="F719" s="165"/>
      <c r="G719" s="165"/>
      <c r="H719" s="154"/>
      <c r="I719" s="154"/>
      <c r="J719" s="154"/>
      <c r="K719" s="154"/>
      <c r="L719" s="154"/>
    </row>
    <row r="720" spans="1:12" ht="27.95" customHeight="1">
      <c r="B720" s="169"/>
      <c r="C720" s="165"/>
      <c r="D720" s="165"/>
      <c r="E720" s="165"/>
      <c r="F720" s="165"/>
      <c r="G720" s="165"/>
      <c r="H720" s="154"/>
      <c r="I720" s="154"/>
      <c r="J720" s="155"/>
      <c r="K720" s="154"/>
      <c r="L720" s="154"/>
    </row>
    <row r="721" spans="2:12" ht="27.95" customHeight="1">
      <c r="B721" s="169"/>
      <c r="C721" s="165"/>
      <c r="D721" s="154"/>
      <c r="E721" s="155"/>
      <c r="F721" s="154"/>
      <c r="G721" s="155"/>
      <c r="H721" s="154"/>
      <c r="I721" s="155"/>
      <c r="J721" s="154"/>
      <c r="K721" s="155"/>
      <c r="L721" s="155"/>
    </row>
    <row r="722" spans="2:12" ht="27.95" customHeight="1">
      <c r="B722" s="169"/>
      <c r="C722" s="165"/>
      <c r="D722" s="165"/>
      <c r="E722" s="165"/>
      <c r="F722" s="165"/>
      <c r="G722" s="165"/>
      <c r="H722" s="154"/>
      <c r="I722" s="154"/>
      <c r="J722" s="239"/>
      <c r="K722" s="154"/>
      <c r="L722" s="154"/>
    </row>
    <row r="723" spans="2:12" ht="27.95" customHeight="1">
      <c r="B723" s="169"/>
      <c r="C723" s="2"/>
      <c r="D723" s="2"/>
      <c r="E723" s="2"/>
      <c r="F723" s="2"/>
      <c r="G723" s="2"/>
    </row>
    <row r="724" spans="2:12" ht="27.95" customHeight="1">
      <c r="B724" s="169"/>
      <c r="C724" s="2"/>
      <c r="D724" s="2"/>
      <c r="E724" s="2"/>
      <c r="F724" s="2"/>
      <c r="G724" s="2"/>
    </row>
    <row r="728" spans="2:12" ht="32.25">
      <c r="B728" s="905"/>
      <c r="C728" s="795"/>
      <c r="D728" s="795"/>
      <c r="E728" s="795"/>
      <c r="F728" s="795"/>
      <c r="G728" s="795"/>
      <c r="H728" s="795"/>
      <c r="I728" s="795"/>
      <c r="J728" s="795"/>
      <c r="K728" s="795"/>
      <c r="L728" s="795"/>
    </row>
    <row r="729" spans="2:12" ht="23.25">
      <c r="B729" s="759"/>
      <c r="C729" s="759"/>
      <c r="D729" s="759"/>
      <c r="E729" s="759"/>
      <c r="F729" s="759"/>
      <c r="G729" s="759"/>
      <c r="H729" s="759"/>
      <c r="I729" s="759"/>
      <c r="J729" s="759"/>
      <c r="K729" s="759"/>
      <c r="L729" s="759"/>
    </row>
    <row r="730" spans="2:12" ht="15.75">
      <c r="B730" s="904"/>
      <c r="C730" s="904"/>
      <c r="D730" s="904"/>
      <c r="E730" s="904"/>
      <c r="F730" s="904"/>
      <c r="G730" s="904"/>
      <c r="H730" s="904"/>
      <c r="I730" s="904"/>
      <c r="J730" s="904"/>
      <c r="K730" s="904"/>
      <c r="L730" s="904"/>
    </row>
    <row r="731" spans="2:12" ht="15" customHeight="1">
      <c r="B731" s="763"/>
      <c r="C731" s="763"/>
      <c r="D731" s="763"/>
      <c r="E731" s="763"/>
      <c r="F731" s="763"/>
      <c r="H731" s="764"/>
      <c r="I731" s="764"/>
      <c r="J731" s="764"/>
      <c r="K731" s="764"/>
      <c r="L731" s="764"/>
    </row>
    <row r="732" spans="2:12">
      <c r="B732" s="763"/>
      <c r="C732" s="763"/>
      <c r="D732" s="763"/>
      <c r="E732" s="763"/>
      <c r="F732" s="763"/>
      <c r="H732" s="764"/>
      <c r="I732" s="764"/>
      <c r="J732" s="764"/>
      <c r="K732" s="764"/>
      <c r="L732" s="764"/>
    </row>
    <row r="734" spans="2:12">
      <c r="B734" s="2"/>
      <c r="H734" s="2"/>
    </row>
    <row r="736" spans="2:12">
      <c r="B736" s="2"/>
      <c r="H736" s="2"/>
    </row>
    <row r="737" spans="1:12" ht="15" customHeight="1"/>
    <row r="739" spans="1:12">
      <c r="B739" s="753"/>
      <c r="C739" s="753"/>
      <c r="D739" s="753"/>
      <c r="E739" s="753"/>
      <c r="F739" s="753"/>
      <c r="H739" s="753"/>
      <c r="I739" s="753"/>
      <c r="J739" s="753"/>
      <c r="K739" s="753"/>
      <c r="L739" s="753"/>
    </row>
    <row r="741" spans="1:12">
      <c r="H741" s="2"/>
      <c r="I741" s="2"/>
      <c r="J741" s="2"/>
      <c r="K741" s="2"/>
      <c r="L741" s="2"/>
    </row>
    <row r="742" spans="1:12">
      <c r="H742" s="2"/>
      <c r="I742" s="2"/>
      <c r="J742" s="2"/>
      <c r="K742" s="2"/>
      <c r="L742" s="2"/>
    </row>
    <row r="743" spans="1:12">
      <c r="B743" s="2"/>
      <c r="H743" s="2"/>
      <c r="I743" s="2"/>
      <c r="J743" s="2"/>
      <c r="K743" s="2"/>
      <c r="L743" s="2"/>
    </row>
    <row r="744" spans="1:12">
      <c r="H744" s="2"/>
      <c r="I744" s="2"/>
      <c r="J744" s="2"/>
      <c r="K744" s="2"/>
      <c r="L744" s="2"/>
    </row>
    <row r="745" spans="1:12">
      <c r="H745" s="2"/>
      <c r="I745" s="2"/>
      <c r="J745" s="2"/>
      <c r="K745" s="2"/>
      <c r="L745" s="2"/>
    </row>
    <row r="746" spans="1:12" ht="27.95" customHeight="1">
      <c r="A746" s="10"/>
      <c r="B746" s="901"/>
      <c r="C746" s="901"/>
      <c r="D746" s="901"/>
      <c r="E746" s="901"/>
      <c r="F746" s="901"/>
      <c r="G746" s="901"/>
      <c r="H746" s="899"/>
      <c r="I746" s="900"/>
      <c r="J746" s="900"/>
      <c r="K746" s="900"/>
      <c r="L746" s="900"/>
    </row>
    <row r="747" spans="1:12" ht="27.95" customHeight="1">
      <c r="A747" s="10"/>
      <c r="B747" s="764"/>
      <c r="C747" s="764"/>
      <c r="D747" s="764"/>
      <c r="E747" s="764"/>
      <c r="F747" s="764"/>
      <c r="G747" s="764"/>
      <c r="H747" s="899"/>
      <c r="I747" s="900"/>
      <c r="J747" s="900"/>
      <c r="K747" s="900"/>
      <c r="L747" s="900"/>
    </row>
    <row r="748" spans="1:12" ht="27.95" customHeight="1">
      <c r="A748" s="10"/>
      <c r="B748" s="901"/>
      <c r="C748" s="901"/>
      <c r="D748" s="901"/>
      <c r="E748" s="901"/>
      <c r="F748" s="901"/>
      <c r="G748" s="901"/>
      <c r="H748" s="899"/>
      <c r="I748" s="900"/>
      <c r="J748" s="900"/>
      <c r="K748" s="900"/>
      <c r="L748" s="900"/>
    </row>
    <row r="749" spans="1:12" ht="27.95" customHeight="1">
      <c r="A749" s="10"/>
      <c r="B749" s="901"/>
      <c r="C749" s="901"/>
      <c r="D749" s="901"/>
      <c r="E749" s="901"/>
      <c r="F749" s="901"/>
      <c r="G749" s="901"/>
      <c r="H749" s="903"/>
      <c r="I749" s="900"/>
      <c r="J749" s="900"/>
      <c r="K749" s="900"/>
      <c r="L749" s="900"/>
    </row>
    <row r="750" spans="1:12" ht="27.95" customHeight="1">
      <c r="A750" s="10"/>
      <c r="B750" s="169"/>
      <c r="C750" s="165"/>
      <c r="D750" s="165"/>
      <c r="E750" s="165"/>
      <c r="F750" s="165"/>
      <c r="G750" s="165"/>
      <c r="H750" s="154"/>
      <c r="I750" s="10"/>
      <c r="J750" s="238"/>
      <c r="K750" s="154"/>
      <c r="L750" s="154"/>
    </row>
    <row r="751" spans="1:12" ht="27.95" customHeight="1">
      <c r="A751" s="10"/>
      <c r="B751" s="169"/>
      <c r="C751" s="165"/>
      <c r="D751" s="165"/>
      <c r="E751" s="165"/>
      <c r="F751" s="165"/>
      <c r="G751" s="165"/>
      <c r="H751" s="154"/>
      <c r="I751" s="154"/>
      <c r="J751" s="238"/>
      <c r="K751" s="154"/>
      <c r="L751" s="154"/>
    </row>
    <row r="752" spans="1:12" ht="27.95" customHeight="1">
      <c r="A752" s="10"/>
      <c r="B752" s="764"/>
      <c r="C752" s="764"/>
      <c r="D752" s="764"/>
      <c r="E752" s="764"/>
      <c r="F752" s="764"/>
      <c r="G752" s="764"/>
      <c r="H752" s="899"/>
      <c r="I752" s="900"/>
      <c r="J752" s="900"/>
      <c r="K752" s="900"/>
      <c r="L752" s="900"/>
    </row>
    <row r="753" spans="1:12" ht="27.95" customHeight="1">
      <c r="A753" s="10"/>
      <c r="B753" s="901"/>
      <c r="C753" s="901"/>
      <c r="D753" s="901"/>
      <c r="E753" s="901"/>
      <c r="F753" s="901"/>
      <c r="G753" s="901"/>
      <c r="H753" s="902"/>
      <c r="I753" s="900"/>
      <c r="J753" s="900"/>
      <c r="K753" s="900"/>
      <c r="L753" s="900"/>
    </row>
    <row r="754" spans="1:12" ht="27.95" customHeight="1">
      <c r="B754" s="901"/>
      <c r="C754" s="901"/>
      <c r="D754" s="901"/>
      <c r="E754" s="901"/>
      <c r="F754" s="901"/>
      <c r="G754" s="901"/>
      <c r="H754" s="900"/>
      <c r="I754" s="900"/>
      <c r="J754" s="900"/>
      <c r="K754" s="900"/>
      <c r="L754" s="900"/>
    </row>
    <row r="755" spans="1:12" ht="27.95" customHeight="1">
      <c r="B755" s="169"/>
      <c r="C755" s="165"/>
      <c r="D755" s="165"/>
      <c r="E755" s="165"/>
      <c r="F755" s="165"/>
      <c r="G755" s="165"/>
      <c r="H755" s="154"/>
      <c r="I755" s="154"/>
      <c r="J755" s="154"/>
      <c r="K755" s="154"/>
      <c r="L755" s="154"/>
    </row>
    <row r="756" spans="1:12" ht="27.95" customHeight="1">
      <c r="B756" s="169"/>
      <c r="C756" s="165"/>
      <c r="D756" s="165"/>
      <c r="E756" s="165"/>
      <c r="F756" s="165"/>
      <c r="G756" s="165"/>
      <c r="H756" s="154"/>
      <c r="I756" s="154"/>
      <c r="J756" s="154"/>
      <c r="K756" s="154"/>
      <c r="L756" s="154"/>
    </row>
    <row r="757" spans="1:12" ht="27.95" customHeight="1">
      <c r="B757" s="169"/>
      <c r="C757" s="165"/>
      <c r="D757" s="165"/>
      <c r="E757" s="165"/>
      <c r="F757" s="165"/>
      <c r="G757" s="165"/>
      <c r="H757" s="154"/>
      <c r="I757" s="154"/>
      <c r="J757" s="155"/>
      <c r="K757" s="154"/>
      <c r="L757" s="154"/>
    </row>
    <row r="758" spans="1:12" ht="27.95" customHeight="1">
      <c r="B758" s="169"/>
      <c r="C758" s="165"/>
      <c r="D758" s="165"/>
      <c r="E758" s="165"/>
      <c r="F758" s="165"/>
      <c r="G758" s="165"/>
      <c r="H758" s="154"/>
      <c r="I758" s="154"/>
      <c r="J758" s="154"/>
      <c r="K758" s="154"/>
      <c r="L758" s="154"/>
    </row>
    <row r="759" spans="1:12" ht="27.95" customHeight="1">
      <c r="B759" s="169"/>
      <c r="C759" s="165"/>
      <c r="D759" s="165"/>
      <c r="E759" s="165"/>
      <c r="F759" s="165"/>
      <c r="G759" s="165"/>
      <c r="H759" s="154"/>
      <c r="I759" s="154"/>
      <c r="J759" s="155"/>
      <c r="K759" s="154"/>
      <c r="L759" s="154"/>
    </row>
    <row r="760" spans="1:12" ht="27.95" customHeight="1">
      <c r="B760" s="169"/>
      <c r="C760" s="165"/>
      <c r="D760" s="154"/>
      <c r="E760" s="155"/>
      <c r="F760" s="154"/>
      <c r="G760" s="155"/>
      <c r="H760" s="154"/>
      <c r="I760" s="155"/>
      <c r="J760" s="154"/>
      <c r="K760" s="155"/>
      <c r="L760" s="155"/>
    </row>
    <row r="761" spans="1:12" ht="27.95" customHeight="1">
      <c r="B761" s="169"/>
      <c r="C761" s="165"/>
      <c r="D761" s="165"/>
      <c r="E761" s="165"/>
      <c r="F761" s="165"/>
      <c r="G761" s="165"/>
      <c r="H761" s="154"/>
      <c r="I761" s="154"/>
      <c r="J761" s="239"/>
      <c r="K761" s="154"/>
      <c r="L761" s="154"/>
    </row>
    <row r="762" spans="1:12" ht="27.95" customHeight="1">
      <c r="B762" s="169"/>
      <c r="C762" s="2"/>
      <c r="D762" s="2"/>
      <c r="E762" s="2"/>
      <c r="F762" s="2"/>
      <c r="G762" s="2"/>
    </row>
    <row r="763" spans="1:12" ht="27.95" customHeight="1">
      <c r="B763" s="169"/>
      <c r="C763" s="2"/>
      <c r="D763" s="2"/>
      <c r="E763" s="2"/>
      <c r="F763" s="2"/>
      <c r="G763" s="2"/>
    </row>
  </sheetData>
  <mergeCells count="410">
    <mergeCell ref="B545:G545"/>
    <mergeCell ref="B527:L527"/>
    <mergeCell ref="H507:L507"/>
    <mergeCell ref="G510:H510"/>
    <mergeCell ref="K510:L510"/>
    <mergeCell ref="K512:L512"/>
    <mergeCell ref="B528:L528"/>
    <mergeCell ref="B529:L529"/>
    <mergeCell ref="B530:F531"/>
    <mergeCell ref="H530:L531"/>
    <mergeCell ref="B538:F538"/>
    <mergeCell ref="H538:L538"/>
    <mergeCell ref="K351:L351"/>
    <mergeCell ref="K353:L353"/>
    <mergeCell ref="B372:L372"/>
    <mergeCell ref="B393:G393"/>
    <mergeCell ref="H393:L393"/>
    <mergeCell ref="H394:L394"/>
    <mergeCell ref="B396:G396"/>
    <mergeCell ref="H396:L396"/>
    <mergeCell ref="B397:G397"/>
    <mergeCell ref="H397:L397"/>
    <mergeCell ref="B287:G287"/>
    <mergeCell ref="H287:L287"/>
    <mergeCell ref="H288:L288"/>
    <mergeCell ref="B290:G290"/>
    <mergeCell ref="H290:L290"/>
    <mergeCell ref="B291:G291"/>
    <mergeCell ref="H291:L291"/>
    <mergeCell ref="B292:G292"/>
    <mergeCell ref="H292:L292"/>
    <mergeCell ref="B269:F270"/>
    <mergeCell ref="H269:L270"/>
    <mergeCell ref="B277:F277"/>
    <mergeCell ref="H277:L277"/>
    <mergeCell ref="B284:G284"/>
    <mergeCell ref="H284:L284"/>
    <mergeCell ref="B285:G285"/>
    <mergeCell ref="H285:L285"/>
    <mergeCell ref="B286:G286"/>
    <mergeCell ref="H286:L286"/>
    <mergeCell ref="H240:L240"/>
    <mergeCell ref="H241:L241"/>
    <mergeCell ref="H242:L242"/>
    <mergeCell ref="G245:H245"/>
    <mergeCell ref="K245:L245"/>
    <mergeCell ref="K247:L247"/>
    <mergeCell ref="B266:L266"/>
    <mergeCell ref="B267:L267"/>
    <mergeCell ref="B268:L268"/>
    <mergeCell ref="H233:L233"/>
    <mergeCell ref="B234:G234"/>
    <mergeCell ref="H234:L234"/>
    <mergeCell ref="H235:L235"/>
    <mergeCell ref="B237:G237"/>
    <mergeCell ref="H237:L237"/>
    <mergeCell ref="B238:G238"/>
    <mergeCell ref="H238:L238"/>
    <mergeCell ref="B239:G239"/>
    <mergeCell ref="H239:L239"/>
    <mergeCell ref="B233:G233"/>
    <mergeCell ref="B186:G186"/>
    <mergeCell ref="H186:L186"/>
    <mergeCell ref="H187:L187"/>
    <mergeCell ref="H188:L188"/>
    <mergeCell ref="H189:L189"/>
    <mergeCell ref="G192:H192"/>
    <mergeCell ref="K192:L192"/>
    <mergeCell ref="K194:L194"/>
    <mergeCell ref="B213:L213"/>
    <mergeCell ref="B180:G180"/>
    <mergeCell ref="H180:L180"/>
    <mergeCell ref="B181:G181"/>
    <mergeCell ref="H181:L181"/>
    <mergeCell ref="H182:L182"/>
    <mergeCell ref="B184:G184"/>
    <mergeCell ref="H184:L184"/>
    <mergeCell ref="B185:G185"/>
    <mergeCell ref="H185:L185"/>
    <mergeCell ref="B127:G127"/>
    <mergeCell ref="H127:L127"/>
    <mergeCell ref="B128:G128"/>
    <mergeCell ref="H128:L128"/>
    <mergeCell ref="H129:L129"/>
    <mergeCell ref="B131:G131"/>
    <mergeCell ref="H131:L131"/>
    <mergeCell ref="B132:G132"/>
    <mergeCell ref="H132:L132"/>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H28:L28"/>
    <mergeCell ref="H29:L29"/>
    <mergeCell ref="H30:L30"/>
    <mergeCell ref="G33:H33"/>
    <mergeCell ref="K33:L33"/>
    <mergeCell ref="B54:L54"/>
    <mergeCell ref="B55:L55"/>
    <mergeCell ref="B56:F57"/>
    <mergeCell ref="H56:L57"/>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81:L81"/>
    <mergeCell ref="H82:L82"/>
    <mergeCell ref="G85:H85"/>
    <mergeCell ref="K85:L85"/>
    <mergeCell ref="K87:L87"/>
    <mergeCell ref="H105:L105"/>
    <mergeCell ref="H106:L106"/>
    <mergeCell ref="B107:L107"/>
    <mergeCell ref="B108:L108"/>
    <mergeCell ref="B109:L109"/>
    <mergeCell ref="B110:F111"/>
    <mergeCell ref="H110:L111"/>
    <mergeCell ref="B118:F118"/>
    <mergeCell ref="H118:L118"/>
    <mergeCell ref="B125:G125"/>
    <mergeCell ref="H125:L125"/>
    <mergeCell ref="B126:G126"/>
    <mergeCell ref="H126:L126"/>
    <mergeCell ref="B133:G133"/>
    <mergeCell ref="H133:L133"/>
    <mergeCell ref="H134:L134"/>
    <mergeCell ref="H135:L135"/>
    <mergeCell ref="H136:L136"/>
    <mergeCell ref="G139:H139"/>
    <mergeCell ref="K139:L139"/>
    <mergeCell ref="K141:L141"/>
    <mergeCell ref="B160:L160"/>
    <mergeCell ref="B161:L161"/>
    <mergeCell ref="B162:L162"/>
    <mergeCell ref="B163:F164"/>
    <mergeCell ref="H163:L164"/>
    <mergeCell ref="B171:F171"/>
    <mergeCell ref="H171:L171"/>
    <mergeCell ref="B178:G178"/>
    <mergeCell ref="H178:L178"/>
    <mergeCell ref="B179:G179"/>
    <mergeCell ref="H179:L179"/>
    <mergeCell ref="B214:L214"/>
    <mergeCell ref="B215:L215"/>
    <mergeCell ref="B216:F217"/>
    <mergeCell ref="H216:L217"/>
    <mergeCell ref="B224:F224"/>
    <mergeCell ref="H224:L224"/>
    <mergeCell ref="B231:G231"/>
    <mergeCell ref="H231:L231"/>
    <mergeCell ref="B232:G232"/>
    <mergeCell ref="H232:L232"/>
    <mergeCell ref="H293:L293"/>
    <mergeCell ref="H294:L294"/>
    <mergeCell ref="H295:L295"/>
    <mergeCell ref="G298:H298"/>
    <mergeCell ref="K298:L298"/>
    <mergeCell ref="K300:L300"/>
    <mergeCell ref="B319:L319"/>
    <mergeCell ref="B320:L320"/>
    <mergeCell ref="B321:L321"/>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446:L446"/>
    <mergeCell ref="B448:G448"/>
    <mergeCell ref="H448:L448"/>
    <mergeCell ref="B449:G449"/>
    <mergeCell ref="H449:L449"/>
    <mergeCell ref="B450:G450"/>
    <mergeCell ref="H450:L450"/>
    <mergeCell ref="H451:L451"/>
    <mergeCell ref="H452:L452"/>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555:L555"/>
    <mergeCell ref="H556:L556"/>
    <mergeCell ref="G559:H559"/>
    <mergeCell ref="K559:L559"/>
    <mergeCell ref="K561:L561"/>
    <mergeCell ref="B593:G593"/>
    <mergeCell ref="H593:L593"/>
    <mergeCell ref="B594:G594"/>
    <mergeCell ref="H594:L594"/>
    <mergeCell ref="B597:G597"/>
    <mergeCell ref="H597:L597"/>
    <mergeCell ref="B584:F584"/>
    <mergeCell ref="H584:L584"/>
    <mergeCell ref="B591:G591"/>
    <mergeCell ref="H591:L591"/>
    <mergeCell ref="B592:G592"/>
    <mergeCell ref="H592:L592"/>
    <mergeCell ref="B613:L613"/>
    <mergeCell ref="B614:F615"/>
    <mergeCell ref="H614:L615"/>
    <mergeCell ref="B622:F622"/>
    <mergeCell ref="H622:L622"/>
    <mergeCell ref="B629:G629"/>
    <mergeCell ref="H629:L629"/>
    <mergeCell ref="B598:G598"/>
    <mergeCell ref="H598:L598"/>
    <mergeCell ref="B599:G599"/>
    <mergeCell ref="H599:L599"/>
    <mergeCell ref="B611:L611"/>
    <mergeCell ref="B612:L612"/>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709:G709"/>
    <mergeCell ref="H709:L709"/>
    <mergeCell ref="B710:G710"/>
    <mergeCell ref="H710:L710"/>
    <mergeCell ref="B713:G713"/>
    <mergeCell ref="H713:L713"/>
    <mergeCell ref="B700:F700"/>
    <mergeCell ref="H700:L700"/>
    <mergeCell ref="B707:G707"/>
    <mergeCell ref="H707:L707"/>
    <mergeCell ref="B708:G708"/>
    <mergeCell ref="H708:L708"/>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52:G752"/>
    <mergeCell ref="H752:L752"/>
    <mergeCell ref="B753:G753"/>
    <mergeCell ref="H753:L753"/>
    <mergeCell ref="B754:G754"/>
    <mergeCell ref="H754:L754"/>
    <mergeCell ref="B747:G747"/>
    <mergeCell ref="H747:L747"/>
    <mergeCell ref="B748:G748"/>
    <mergeCell ref="H748:L748"/>
    <mergeCell ref="B749:G749"/>
    <mergeCell ref="H749:L749"/>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66"/>
  <sheetViews>
    <sheetView zoomScale="110" zoomScaleNormal="110" workbookViewId="0">
      <selection activeCell="G49" sqref="G49"/>
    </sheetView>
  </sheetViews>
  <sheetFormatPr defaultRowHeight="15"/>
  <cols>
    <col min="3" max="3" width="9.140625" customWidth="1"/>
    <col min="6" max="6" width="16.85546875" customWidth="1"/>
    <col min="10" max="10" width="14.5703125" customWidth="1"/>
    <col min="12" max="12" width="22.7109375" customWidth="1"/>
  </cols>
  <sheetData>
    <row r="1" spans="1:12" ht="32.25" customHeight="1">
      <c r="A1" s="50"/>
      <c r="B1" s="51"/>
      <c r="C1" s="51"/>
      <c r="D1" s="173"/>
      <c r="E1" s="173"/>
      <c r="F1" s="173"/>
      <c r="G1" s="173"/>
      <c r="H1" s="173"/>
      <c r="I1" s="173"/>
      <c r="J1" s="51"/>
      <c r="K1" s="175" t="s">
        <v>216</v>
      </c>
      <c r="L1" s="174"/>
    </row>
    <row r="2" spans="1:12" ht="21">
      <c r="A2" s="13"/>
      <c r="B2" s="926" t="s">
        <v>215</v>
      </c>
      <c r="C2" s="926"/>
      <c r="D2" s="926"/>
      <c r="E2" s="926"/>
      <c r="F2" s="926"/>
      <c r="G2" s="926"/>
      <c r="H2" s="926"/>
      <c r="I2" s="926"/>
      <c r="J2" s="926"/>
      <c r="K2" s="926"/>
      <c r="L2" s="927"/>
    </row>
    <row r="3" spans="1:12" ht="15.75">
      <c r="A3" s="13"/>
      <c r="B3" s="904" t="s">
        <v>217</v>
      </c>
      <c r="C3" s="904"/>
      <c r="D3" s="904"/>
      <c r="E3" s="904"/>
      <c r="F3" s="904"/>
      <c r="G3" s="904"/>
      <c r="H3" s="904"/>
      <c r="I3" s="904"/>
      <c r="J3" s="904"/>
      <c r="K3" s="904"/>
      <c r="L3" s="928"/>
    </row>
    <row r="4" spans="1:12" ht="15" customHeight="1">
      <c r="A4" s="13"/>
      <c r="B4" s="176" t="s">
        <v>218</v>
      </c>
      <c r="C4" s="176"/>
      <c r="D4" s="176"/>
      <c r="E4" s="176"/>
      <c r="F4" s="176"/>
      <c r="H4" s="177"/>
      <c r="I4" s="177"/>
      <c r="J4" s="177"/>
      <c r="K4" s="177"/>
      <c r="L4" s="185"/>
    </row>
    <row r="5" spans="1:12">
      <c r="A5" s="13"/>
      <c r="B5" s="176"/>
      <c r="C5" s="176"/>
      <c r="D5" s="176"/>
      <c r="E5" s="176"/>
      <c r="F5" s="176"/>
      <c r="H5" s="177"/>
      <c r="I5" s="177"/>
      <c r="J5" s="177"/>
      <c r="K5" s="177"/>
      <c r="L5" s="185"/>
    </row>
    <row r="6" spans="1:12">
      <c r="A6" s="13"/>
      <c r="B6" s="742" t="s">
        <v>188</v>
      </c>
      <c r="C6" s="742"/>
      <c r="D6" s="742"/>
      <c r="E6" s="742"/>
      <c r="F6" s="742"/>
      <c r="G6" s="742"/>
      <c r="H6" s="743" t="e">
        <f>'BOM 04 22Master'!#REF!</f>
        <v>#REF!</v>
      </c>
      <c r="I6" s="744"/>
      <c r="J6" s="744"/>
      <c r="K6" s="744"/>
      <c r="L6" s="745"/>
    </row>
    <row r="7" spans="1:12">
      <c r="A7" s="13"/>
      <c r="B7" s="755" t="s">
        <v>189</v>
      </c>
      <c r="C7" s="755"/>
      <c r="D7" s="755"/>
      <c r="E7" s="755"/>
      <c r="F7" s="755"/>
      <c r="G7" s="755"/>
      <c r="H7" s="743" t="e">
        <f>'BOM 04 22Master'!#REF!</f>
        <v>#REF!</v>
      </c>
      <c r="I7" s="744"/>
      <c r="J7" s="744"/>
      <c r="K7" s="744"/>
      <c r="L7" s="745"/>
    </row>
    <row r="8" spans="1:12">
      <c r="A8" s="13"/>
      <c r="B8" s="742" t="s">
        <v>190</v>
      </c>
      <c r="C8" s="742"/>
      <c r="D8" s="742"/>
      <c r="E8" s="742"/>
      <c r="F8" s="742"/>
      <c r="G8" s="742"/>
      <c r="H8" s="743" t="e">
        <f>'BOM 04 22Master'!#REF!</f>
        <v>#REF!</v>
      </c>
      <c r="I8" s="744"/>
      <c r="J8" s="744"/>
      <c r="K8" s="744"/>
      <c r="L8" s="745"/>
    </row>
    <row r="9" spans="1:12">
      <c r="A9" s="13"/>
      <c r="B9" s="742" t="s">
        <v>191</v>
      </c>
      <c r="C9" s="742"/>
      <c r="D9" s="742"/>
      <c r="E9" s="742"/>
      <c r="F9" s="742"/>
      <c r="G9" s="742"/>
      <c r="H9" s="916" t="e">
        <f>'BOM 04 22Master'!#REF!</f>
        <v>#REF!</v>
      </c>
      <c r="I9" s="744"/>
      <c r="J9" s="744"/>
      <c r="K9" s="744"/>
      <c r="L9" s="745"/>
    </row>
    <row r="10" spans="1:12">
      <c r="A10" s="13"/>
      <c r="B10" s="62" t="s">
        <v>192</v>
      </c>
      <c r="C10" s="63"/>
      <c r="D10" s="63"/>
      <c r="E10" s="63"/>
      <c r="F10" s="63"/>
      <c r="G10" s="63"/>
      <c r="H10" s="913" t="s">
        <v>193</v>
      </c>
      <c r="I10" s="914"/>
      <c r="J10" s="914"/>
      <c r="K10" s="914"/>
      <c r="L10" s="915"/>
    </row>
    <row r="11" spans="1:12">
      <c r="A11" s="13"/>
      <c r="B11" s="62" t="s">
        <v>194</v>
      </c>
      <c r="C11" s="63"/>
      <c r="D11" s="63"/>
      <c r="E11" s="63"/>
      <c r="F11" s="63"/>
      <c r="G11" s="63"/>
      <c r="H11" s="64"/>
      <c r="I11" s="66"/>
      <c r="J11" s="167"/>
      <c r="K11" s="66"/>
      <c r="L11" s="71"/>
    </row>
    <row r="12" spans="1:12">
      <c r="A12" s="13"/>
      <c r="B12" s="749" t="s">
        <v>195</v>
      </c>
      <c r="C12" s="749"/>
      <c r="D12" s="749"/>
      <c r="E12" s="749"/>
      <c r="F12" s="749"/>
      <c r="G12" s="749"/>
      <c r="H12" s="750" t="e">
        <f>'BOM 04 22Master'!#REF!</f>
        <v>#REF!</v>
      </c>
      <c r="I12" s="751"/>
      <c r="J12" s="751"/>
      <c r="K12" s="751"/>
      <c r="L12" s="752"/>
    </row>
    <row r="13" spans="1:12">
      <c r="A13" s="13"/>
      <c r="B13" s="742"/>
      <c r="C13" s="742"/>
      <c r="D13" s="742"/>
      <c r="E13" s="742"/>
      <c r="F13" s="742"/>
      <c r="G13" s="742"/>
      <c r="H13" s="766" t="e">
        <f>'BOM 04 22Master'!#REF!</f>
        <v>#REF!</v>
      </c>
      <c r="I13" s="744"/>
      <c r="J13" s="744"/>
      <c r="K13" s="744"/>
      <c r="L13" s="745"/>
    </row>
    <row r="14" spans="1:12">
      <c r="A14" s="13"/>
      <c r="B14" s="742"/>
      <c r="C14" s="742"/>
      <c r="D14" s="742"/>
      <c r="E14" s="742"/>
      <c r="F14" s="742"/>
      <c r="G14" s="742"/>
      <c r="H14" s="743" t="e">
        <f>'BOM 04 22Master'!#REF!</f>
        <v>#REF!</v>
      </c>
      <c r="I14" s="744"/>
      <c r="J14" s="744"/>
      <c r="K14" s="744"/>
      <c r="L14" s="745"/>
    </row>
    <row r="15" spans="1:12">
      <c r="A15" s="13"/>
      <c r="G15" s="2" t="s">
        <v>219</v>
      </c>
      <c r="H15" s="2"/>
      <c r="I15" s="2"/>
      <c r="J15" s="2"/>
      <c r="K15" s="2"/>
      <c r="L15" s="57"/>
    </row>
    <row r="16" spans="1:12">
      <c r="A16" s="13"/>
      <c r="B16" s="169" t="s">
        <v>203</v>
      </c>
      <c r="C16" s="165"/>
      <c r="D16" s="165"/>
      <c r="E16" s="165"/>
      <c r="F16" s="165"/>
      <c r="G16" s="165"/>
      <c r="H16" s="154"/>
      <c r="I16" s="154"/>
      <c r="J16" s="154"/>
      <c r="K16" s="154"/>
      <c r="L16" s="172"/>
    </row>
    <row r="17" spans="1:12">
      <c r="A17" s="13"/>
      <c r="B17" s="169" t="s">
        <v>204</v>
      </c>
      <c r="C17" s="165"/>
      <c r="D17" s="165"/>
      <c r="E17" s="165"/>
      <c r="F17" s="165"/>
      <c r="G17" s="165"/>
      <c r="H17" s="154"/>
      <c r="I17" s="154"/>
      <c r="J17" s="155"/>
      <c r="K17" s="154"/>
      <c r="L17" s="172"/>
    </row>
    <row r="18" spans="1:12" ht="27.95" customHeight="1">
      <c r="A18" s="61"/>
      <c r="B18" s="62" t="s">
        <v>207</v>
      </c>
      <c r="C18" s="63"/>
      <c r="D18" s="182"/>
      <c r="E18" s="160" t="s">
        <v>209</v>
      </c>
      <c r="F18" s="45"/>
      <c r="G18" s="908" t="s">
        <v>208</v>
      </c>
      <c r="H18" s="909"/>
      <c r="I18" s="159" t="s">
        <v>205</v>
      </c>
      <c r="J18" s="162" t="s">
        <v>210</v>
      </c>
      <c r="K18" s="908" t="s">
        <v>206</v>
      </c>
      <c r="L18" s="910"/>
    </row>
    <row r="19" spans="1:12" ht="20.100000000000001" customHeight="1">
      <c r="A19" s="61"/>
      <c r="B19" s="163">
        <v>1</v>
      </c>
      <c r="C19" s="63"/>
      <c r="D19" s="63"/>
      <c r="E19" s="166">
        <v>2</v>
      </c>
      <c r="F19" s="67"/>
      <c r="G19" s="166">
        <v>3</v>
      </c>
      <c r="H19" s="182"/>
      <c r="I19" s="182">
        <v>4</v>
      </c>
      <c r="J19" s="85">
        <v>5</v>
      </c>
      <c r="K19" s="69"/>
      <c r="L19" s="70">
        <v>6</v>
      </c>
    </row>
    <row r="20" spans="1:12" ht="20.100000000000001" customHeight="1">
      <c r="A20" s="61"/>
      <c r="B20" s="62" t="e">
        <f>'BOM 04 22Master'!#REF!</f>
        <v>#REF!</v>
      </c>
      <c r="C20" s="178"/>
      <c r="D20" s="179"/>
      <c r="E20" s="180" t="s">
        <v>369</v>
      </c>
      <c r="F20" s="179"/>
      <c r="G20" s="180" t="s">
        <v>367</v>
      </c>
      <c r="H20" s="45"/>
      <c r="I20" s="11" t="s">
        <v>370</v>
      </c>
      <c r="J20" s="279">
        <v>1</v>
      </c>
      <c r="K20" s="181" t="s">
        <v>37</v>
      </c>
      <c r="L20" s="186"/>
    </row>
    <row r="21" spans="1:12" ht="20.100000000000001" customHeight="1">
      <c r="A21" s="61"/>
      <c r="B21" s="62"/>
      <c r="C21" s="178"/>
      <c r="D21" s="179"/>
      <c r="E21" s="180"/>
      <c r="F21" s="179"/>
      <c r="G21" s="180"/>
      <c r="H21" s="45"/>
      <c r="I21" s="11"/>
      <c r="J21" s="11"/>
      <c r="K21" s="181"/>
      <c r="L21" s="186"/>
    </row>
    <row r="22" spans="1:12" ht="20.100000000000001" customHeight="1">
      <c r="A22" s="61"/>
      <c r="B22" s="62"/>
      <c r="C22" s="178"/>
      <c r="D22" s="179"/>
      <c r="E22" s="180"/>
      <c r="F22" s="179"/>
      <c r="G22" s="180"/>
      <c r="H22" s="45"/>
      <c r="I22" s="11"/>
      <c r="J22" s="11"/>
      <c r="K22" s="181"/>
      <c r="L22" s="186"/>
    </row>
    <row r="23" spans="1:12" ht="20.100000000000001" customHeight="1">
      <c r="A23" s="61"/>
      <c r="B23" s="48"/>
      <c r="C23" s="17"/>
      <c r="D23" s="49"/>
      <c r="E23" s="180"/>
      <c r="F23" s="179"/>
      <c r="G23" s="180"/>
      <c r="H23" s="45"/>
      <c r="I23" s="11"/>
      <c r="J23" s="11"/>
      <c r="K23" s="181"/>
      <c r="L23" s="186"/>
    </row>
    <row r="24" spans="1:12" ht="27.95" customHeight="1">
      <c r="A24" s="61"/>
      <c r="B24" t="s">
        <v>211</v>
      </c>
      <c r="L24" s="14"/>
    </row>
    <row r="25" spans="1:12" ht="27.95" customHeight="1">
      <c r="A25" s="13"/>
      <c r="B25" t="s">
        <v>212</v>
      </c>
      <c r="L25" s="14"/>
    </row>
    <row r="26" spans="1:12" ht="27.95" customHeight="1">
      <c r="A26" s="13"/>
      <c r="B26" t="s">
        <v>223</v>
      </c>
      <c r="J26" t="s">
        <v>222</v>
      </c>
      <c r="L26" s="14"/>
    </row>
    <row r="27" spans="1:12" ht="19.5" customHeight="1">
      <c r="A27" s="13"/>
      <c r="G27" s="2" t="s">
        <v>220</v>
      </c>
      <c r="H27" s="2"/>
      <c r="I27" s="2"/>
      <c r="J27" s="2"/>
      <c r="K27" s="2"/>
      <c r="L27" s="57"/>
    </row>
    <row r="28" spans="1:12" ht="11.25" customHeight="1">
      <c r="A28" s="13"/>
      <c r="B28" s="2"/>
      <c r="G28" t="s">
        <v>221</v>
      </c>
      <c r="H28" s="2"/>
      <c r="I28" s="2"/>
      <c r="J28" s="2"/>
      <c r="K28" s="2"/>
      <c r="L28" s="57"/>
    </row>
    <row r="29" spans="1:12" ht="27.95" customHeight="1">
      <c r="A29" s="13"/>
      <c r="B29" s="169" t="s">
        <v>224</v>
      </c>
      <c r="C29" s="165"/>
      <c r="D29" s="165"/>
      <c r="E29" s="165"/>
      <c r="F29" s="165"/>
      <c r="G29" s="165"/>
      <c r="H29" s="154"/>
      <c r="I29" s="154"/>
      <c r="J29" s="154"/>
      <c r="K29" s="154"/>
      <c r="L29" s="172"/>
    </row>
    <row r="30" spans="1:12" ht="27.95" customHeight="1">
      <c r="A30" s="13"/>
      <c r="B30" s="169" t="s">
        <v>225</v>
      </c>
      <c r="C30" s="165"/>
      <c r="D30" s="165"/>
      <c r="E30" s="165"/>
      <c r="F30" s="165"/>
      <c r="G30" s="165"/>
      <c r="H30" s="154"/>
      <c r="I30" s="154"/>
      <c r="J30" s="155"/>
      <c r="K30" s="154"/>
      <c r="L30" s="172"/>
    </row>
    <row r="31" spans="1:12" ht="27.95" customHeight="1">
      <c r="A31" s="13"/>
      <c r="B31" s="62" t="s">
        <v>5</v>
      </c>
      <c r="C31" s="920" t="s">
        <v>226</v>
      </c>
      <c r="D31" s="779"/>
      <c r="E31" s="779"/>
      <c r="F31" s="779"/>
      <c r="G31" s="779"/>
      <c r="H31" s="780"/>
      <c r="I31" s="161" t="s">
        <v>105</v>
      </c>
      <c r="J31" s="921" t="s">
        <v>227</v>
      </c>
      <c r="K31" s="922"/>
      <c r="L31" s="923"/>
    </row>
    <row r="32" spans="1:12" ht="20.100000000000001" customHeight="1">
      <c r="A32" s="13"/>
      <c r="B32" s="163">
        <v>1</v>
      </c>
      <c r="C32" s="197"/>
      <c r="D32" s="66"/>
      <c r="E32" s="72">
        <v>2</v>
      </c>
      <c r="F32" s="44"/>
      <c r="G32" s="919"/>
      <c r="H32" s="909"/>
      <c r="I32" s="66">
        <v>3</v>
      </c>
      <c r="J32" s="184" t="s">
        <v>228</v>
      </c>
      <c r="K32" s="924">
        <v>4</v>
      </c>
      <c r="L32" s="925"/>
    </row>
    <row r="33" spans="1:12" ht="20.100000000000001" customHeight="1">
      <c r="A33" s="13"/>
      <c r="B33" s="62"/>
      <c r="C33" s="197"/>
      <c r="D33" s="66"/>
      <c r="E33" s="72"/>
      <c r="F33" s="44"/>
      <c r="G33" s="919"/>
      <c r="H33" s="909"/>
      <c r="I33" s="181"/>
      <c r="J33" s="197"/>
      <c r="K33" s="919"/>
      <c r="L33" s="910"/>
    </row>
    <row r="34" spans="1:12" ht="20.100000000000001" customHeight="1">
      <c r="A34" s="13"/>
      <c r="B34" s="62"/>
      <c r="C34" s="197"/>
      <c r="D34" s="66"/>
      <c r="E34" s="72"/>
      <c r="F34" s="44"/>
      <c r="G34" s="919"/>
      <c r="H34" s="909"/>
      <c r="I34" s="181"/>
      <c r="J34" s="183"/>
      <c r="K34" s="919"/>
      <c r="L34" s="910"/>
    </row>
    <row r="35" spans="1:12" ht="20.100000000000001" customHeight="1">
      <c r="A35" s="13"/>
      <c r="B35" s="62"/>
      <c r="C35" s="197"/>
      <c r="D35" s="66"/>
      <c r="E35" s="72"/>
      <c r="F35" s="44"/>
      <c r="G35" s="919"/>
      <c r="H35" s="909"/>
      <c r="I35" s="181"/>
      <c r="J35" s="183"/>
      <c r="K35" s="919"/>
      <c r="L35" s="910"/>
    </row>
    <row r="36" spans="1:12" ht="20.100000000000001" customHeight="1">
      <c r="A36" s="13"/>
      <c r="B36" s="48"/>
      <c r="C36" s="197"/>
      <c r="D36" s="66"/>
      <c r="E36" s="72"/>
      <c r="F36" s="44"/>
      <c r="G36" s="919"/>
      <c r="H36" s="909"/>
      <c r="I36" s="181"/>
      <c r="J36" s="183"/>
      <c r="K36" s="919"/>
      <c r="L36" s="910"/>
    </row>
    <row r="37" spans="1:12" ht="27.95" customHeight="1">
      <c r="A37" s="13"/>
      <c r="B37" t="s">
        <v>232</v>
      </c>
      <c r="L37" s="14"/>
    </row>
    <row r="38" spans="1:12" ht="19.5" customHeight="1">
      <c r="A38" s="13"/>
      <c r="B38" t="s">
        <v>233</v>
      </c>
      <c r="L38" s="14"/>
    </row>
    <row r="39" spans="1:12" ht="19.5" customHeight="1">
      <c r="A39" s="13"/>
      <c r="B39" t="s">
        <v>234</v>
      </c>
      <c r="L39" s="14"/>
    </row>
    <row r="40" spans="1:12" ht="15.75" customHeight="1">
      <c r="A40" s="13"/>
      <c r="B40" t="s">
        <v>235</v>
      </c>
      <c r="L40" s="14"/>
    </row>
    <row r="41" spans="1:12" ht="27.95" customHeight="1">
      <c r="A41" s="13"/>
      <c r="B41" s="180" t="s">
        <v>229</v>
      </c>
      <c r="C41" s="44"/>
      <c r="D41" s="44"/>
      <c r="E41" s="44"/>
      <c r="F41" s="45"/>
      <c r="G41" s="180" t="s">
        <v>205</v>
      </c>
      <c r="H41" s="45"/>
      <c r="I41" s="180" t="s">
        <v>230</v>
      </c>
      <c r="J41" s="44"/>
      <c r="K41" s="45"/>
      <c r="L41" s="14"/>
    </row>
    <row r="42" spans="1:12" ht="27.95" customHeight="1">
      <c r="A42" s="13"/>
      <c r="B42" s="911"/>
      <c r="C42" s="918"/>
      <c r="D42" s="918"/>
      <c r="E42" s="918"/>
      <c r="F42" s="917"/>
      <c r="G42" s="911"/>
      <c r="H42" s="917"/>
      <c r="I42" s="911"/>
      <c r="J42" s="918"/>
      <c r="K42" s="917"/>
      <c r="L42" s="14"/>
    </row>
    <row r="43" spans="1:12" ht="27.95" customHeight="1">
      <c r="A43" s="13"/>
      <c r="B43" s="911"/>
      <c r="C43" s="918"/>
      <c r="D43" s="918"/>
      <c r="E43" s="918"/>
      <c r="F43" s="917"/>
      <c r="G43" s="911"/>
      <c r="H43" s="917"/>
      <c r="I43" s="911"/>
      <c r="J43" s="918"/>
      <c r="K43" s="917"/>
      <c r="L43" s="14"/>
    </row>
    <row r="44" spans="1:12" ht="27.95" customHeight="1">
      <c r="A44" s="13"/>
      <c r="B44" s="911"/>
      <c r="C44" s="918"/>
      <c r="D44" s="918"/>
      <c r="E44" s="918"/>
      <c r="F44" s="917"/>
      <c r="G44" s="911"/>
      <c r="H44" s="917"/>
      <c r="I44" s="911"/>
      <c r="J44" s="918"/>
      <c r="K44" s="917"/>
      <c r="L44" s="14"/>
    </row>
    <row r="45" spans="1:12" ht="27.95" customHeight="1">
      <c r="A45" s="13"/>
      <c r="B45" s="911"/>
      <c r="C45" s="918"/>
      <c r="D45" s="918"/>
      <c r="E45" s="918"/>
      <c r="F45" s="917"/>
      <c r="G45" s="911"/>
      <c r="H45" s="917"/>
      <c r="I45" s="911"/>
      <c r="J45" s="918"/>
      <c r="K45" s="917"/>
      <c r="L45" s="14"/>
    </row>
    <row r="46" spans="1:12">
      <c r="A46" s="13"/>
      <c r="L46" s="14"/>
    </row>
    <row r="47" spans="1:12">
      <c r="A47" s="13"/>
      <c r="B47" t="s">
        <v>202</v>
      </c>
      <c r="C47" s="278" t="e">
        <f>'BOM 04 22Master'!#REF!</f>
        <v>#REF!</v>
      </c>
      <c r="I47" t="s">
        <v>231</v>
      </c>
      <c r="L47" s="14"/>
    </row>
    <row r="48" spans="1:12" ht="18.75">
      <c r="A48" s="13"/>
      <c r="F48" s="168" t="s">
        <v>197</v>
      </c>
      <c r="L48" s="14"/>
    </row>
    <row r="49" spans="1:12">
      <c r="A49" s="13" t="s">
        <v>198</v>
      </c>
      <c r="K49" s="218" t="e">
        <f>'BOM 04 22Master'!#REF!</f>
        <v>#REF!</v>
      </c>
      <c r="L49" s="14"/>
    </row>
    <row r="50" spans="1:12">
      <c r="A50" s="13" t="s">
        <v>199</v>
      </c>
      <c r="L50" s="14"/>
    </row>
    <row r="51" spans="1:12">
      <c r="A51" s="13"/>
      <c r="L51" s="14"/>
    </row>
    <row r="52" spans="1:12">
      <c r="A52" s="13"/>
      <c r="F52" t="s">
        <v>200</v>
      </c>
      <c r="L52" s="14"/>
    </row>
    <row r="53" spans="1:12">
      <c r="A53" s="13" t="s">
        <v>201</v>
      </c>
      <c r="B53" t="s">
        <v>365</v>
      </c>
      <c r="F53" t="str">
        <f>'BOM 04 22Master'!F5</f>
        <v>Burgeon IT Services Pvt.Ltd.</v>
      </c>
      <c r="L53" s="14"/>
    </row>
    <row r="54" spans="1:12" ht="15.75" thickBot="1">
      <c r="A54" s="25" t="s">
        <v>202</v>
      </c>
      <c r="B54" s="281" t="e">
        <f>'BOM 04 22Master'!#REF!</f>
        <v>#REF!</v>
      </c>
      <c r="C54" s="23"/>
      <c r="D54" s="23"/>
      <c r="E54" s="23"/>
      <c r="F54" s="23" t="str">
        <f>'BOM 04 22Master'!F6</f>
        <v>Siri Mansion LIGB 436 Dr.A S Rao Nagar,Hyderabad</v>
      </c>
      <c r="G54" s="23"/>
      <c r="H54" s="23"/>
      <c r="I54" s="23"/>
      <c r="J54" s="23"/>
      <c r="K54" s="23"/>
      <c r="L54" s="24"/>
    </row>
    <row r="55" spans="1:12" ht="27.95" customHeight="1">
      <c r="A55" s="50"/>
      <c r="B55" s="51"/>
      <c r="C55" s="51"/>
      <c r="D55" s="173"/>
      <c r="E55" s="173"/>
      <c r="F55" s="173"/>
      <c r="G55" s="173"/>
      <c r="H55" s="173"/>
      <c r="I55" s="173"/>
      <c r="J55" s="51"/>
      <c r="K55" s="175" t="s">
        <v>216</v>
      </c>
      <c r="L55" s="174"/>
    </row>
    <row r="56" spans="1:12" ht="27.95" customHeight="1">
      <c r="A56" s="13"/>
      <c r="B56" s="926" t="s">
        <v>215</v>
      </c>
      <c r="C56" s="926"/>
      <c r="D56" s="926"/>
      <c r="E56" s="926"/>
      <c r="F56" s="926"/>
      <c r="G56" s="926"/>
      <c r="H56" s="926"/>
      <c r="I56" s="926"/>
      <c r="J56" s="926"/>
      <c r="K56" s="926"/>
      <c r="L56" s="927"/>
    </row>
    <row r="57" spans="1:12" ht="27.95" customHeight="1">
      <c r="A57" s="13"/>
      <c r="B57" s="904" t="s">
        <v>217</v>
      </c>
      <c r="C57" s="904"/>
      <c r="D57" s="904"/>
      <c r="E57" s="904"/>
      <c r="F57" s="904"/>
      <c r="G57" s="904"/>
      <c r="H57" s="904"/>
      <c r="I57" s="904"/>
      <c r="J57" s="904"/>
      <c r="K57" s="904"/>
      <c r="L57" s="928"/>
    </row>
    <row r="58" spans="1:12" ht="27.95" customHeight="1">
      <c r="A58" s="13"/>
      <c r="B58" s="176" t="s">
        <v>218</v>
      </c>
      <c r="C58" s="176"/>
      <c r="D58" s="176"/>
      <c r="E58" s="176"/>
      <c r="F58" s="176"/>
      <c r="H58" s="177"/>
      <c r="I58" s="177"/>
      <c r="J58" s="177"/>
      <c r="K58" s="177"/>
      <c r="L58" s="185"/>
    </row>
    <row r="59" spans="1:12" ht="27.95" customHeight="1">
      <c r="A59" s="13"/>
      <c r="B59" s="176"/>
      <c r="C59" s="176"/>
      <c r="D59" s="176"/>
      <c r="E59" s="176"/>
      <c r="F59" s="176"/>
      <c r="H59" s="177"/>
      <c r="I59" s="177"/>
      <c r="J59" s="177"/>
      <c r="K59" s="177"/>
      <c r="L59" s="185"/>
    </row>
    <row r="60" spans="1:12" ht="27.95" customHeight="1">
      <c r="A60" s="13"/>
      <c r="B60" s="742" t="s">
        <v>188</v>
      </c>
      <c r="C60" s="742"/>
      <c r="D60" s="742"/>
      <c r="E60" s="742"/>
      <c r="F60" s="742"/>
      <c r="G60" s="742"/>
      <c r="H60" s="743" t="e">
        <f>'BOM 04 22Master'!#REF!</f>
        <v>#REF!</v>
      </c>
      <c r="I60" s="744"/>
      <c r="J60" s="744"/>
      <c r="K60" s="744"/>
      <c r="L60" s="745"/>
    </row>
    <row r="61" spans="1:12" ht="27.95" customHeight="1">
      <c r="A61" s="13"/>
      <c r="B61" s="755" t="s">
        <v>189</v>
      </c>
      <c r="C61" s="755"/>
      <c r="D61" s="755"/>
      <c r="E61" s="755"/>
      <c r="F61" s="755"/>
      <c r="G61" s="755"/>
      <c r="H61" s="743" t="e">
        <f>'BOM 04 22Master'!#REF!</f>
        <v>#REF!</v>
      </c>
      <c r="I61" s="744"/>
      <c r="J61" s="744"/>
      <c r="K61" s="744"/>
      <c r="L61" s="745"/>
    </row>
    <row r="62" spans="1:12" ht="27.95" customHeight="1">
      <c r="A62" s="13"/>
      <c r="B62" s="742" t="s">
        <v>190</v>
      </c>
      <c r="C62" s="742"/>
      <c r="D62" s="742"/>
      <c r="E62" s="742"/>
      <c r="F62" s="742"/>
      <c r="G62" s="742"/>
      <c r="H62" s="743" t="e">
        <f>'BOM 04 22Master'!#REF!</f>
        <v>#REF!</v>
      </c>
      <c r="I62" s="744"/>
      <c r="J62" s="744"/>
      <c r="K62" s="744"/>
      <c r="L62" s="745"/>
    </row>
    <row r="63" spans="1:12" ht="27.95" customHeight="1">
      <c r="A63" s="13"/>
      <c r="B63" s="742" t="s">
        <v>191</v>
      </c>
      <c r="C63" s="742"/>
      <c r="D63" s="742"/>
      <c r="E63" s="742"/>
      <c r="F63" s="742"/>
      <c r="G63" s="742"/>
      <c r="H63" s="916" t="e">
        <f>'BOM 04 22Master'!#REF!</f>
        <v>#REF!</v>
      </c>
      <c r="I63" s="744"/>
      <c r="J63" s="744"/>
      <c r="K63" s="744"/>
      <c r="L63" s="745"/>
    </row>
    <row r="64" spans="1:12" ht="27.95" customHeight="1">
      <c r="A64" s="13"/>
      <c r="B64" s="62" t="s">
        <v>192</v>
      </c>
      <c r="C64" s="63"/>
      <c r="D64" s="63"/>
      <c r="E64" s="63"/>
      <c r="F64" s="63"/>
      <c r="G64" s="63"/>
      <c r="H64" s="913" t="s">
        <v>193</v>
      </c>
      <c r="I64" s="914"/>
      <c r="J64" s="914"/>
      <c r="K64" s="914"/>
      <c r="L64" s="915"/>
    </row>
    <row r="65" spans="1:12" ht="27.95" customHeight="1">
      <c r="A65" s="13"/>
      <c r="B65" s="62" t="s">
        <v>194</v>
      </c>
      <c r="C65" s="63"/>
      <c r="D65" s="63"/>
      <c r="E65" s="63"/>
      <c r="F65" s="63"/>
      <c r="G65" s="63"/>
      <c r="H65" s="64"/>
      <c r="I65" s="66"/>
      <c r="J65" s="167"/>
      <c r="K65" s="66"/>
      <c r="L65" s="71"/>
    </row>
    <row r="66" spans="1:12">
      <c r="A66" s="13"/>
      <c r="B66" s="749" t="s">
        <v>195</v>
      </c>
      <c r="C66" s="749"/>
      <c r="D66" s="749"/>
      <c r="E66" s="749"/>
      <c r="F66" s="749"/>
      <c r="G66" s="749"/>
      <c r="H66" s="750" t="e">
        <f>'BOM 04 22Master'!#REF!</f>
        <v>#REF!</v>
      </c>
      <c r="I66" s="751"/>
      <c r="J66" s="751"/>
      <c r="K66" s="751"/>
      <c r="L66" s="752"/>
    </row>
    <row r="67" spans="1:12">
      <c r="A67" s="13"/>
      <c r="B67" s="742"/>
      <c r="C67" s="742"/>
      <c r="D67" s="742"/>
      <c r="E67" s="742"/>
      <c r="F67" s="742"/>
      <c r="G67" s="742"/>
      <c r="H67" s="766" t="e">
        <f>'BOM 04 22Master'!#REF!</f>
        <v>#REF!</v>
      </c>
      <c r="I67" s="744"/>
      <c r="J67" s="744"/>
      <c r="K67" s="744"/>
      <c r="L67" s="745"/>
    </row>
    <row r="68" spans="1:12">
      <c r="A68" s="13"/>
      <c r="B68" s="742"/>
      <c r="C68" s="742"/>
      <c r="D68" s="742"/>
      <c r="E68" s="742"/>
      <c r="F68" s="742"/>
      <c r="G68" s="742"/>
      <c r="H68" s="743" t="e">
        <f>'BOM 04 22Master'!#REF!</f>
        <v>#REF!</v>
      </c>
      <c r="I68" s="744"/>
      <c r="J68" s="744"/>
      <c r="K68" s="744"/>
      <c r="L68" s="745"/>
    </row>
    <row r="69" spans="1:12">
      <c r="A69" s="13"/>
      <c r="G69" s="2" t="s">
        <v>219</v>
      </c>
      <c r="H69" s="2"/>
      <c r="I69" s="2"/>
      <c r="J69" s="2"/>
      <c r="K69" s="2"/>
      <c r="L69" s="57"/>
    </row>
    <row r="70" spans="1:12">
      <c r="A70" s="13"/>
      <c r="B70" s="169" t="s">
        <v>203</v>
      </c>
      <c r="C70" s="165"/>
      <c r="D70" s="165"/>
      <c r="E70" s="165"/>
      <c r="F70" s="165"/>
      <c r="G70" s="165"/>
      <c r="H70" s="154"/>
      <c r="I70" s="154"/>
      <c r="J70" s="154"/>
      <c r="K70" s="154"/>
      <c r="L70" s="172"/>
    </row>
    <row r="71" spans="1:12">
      <c r="A71" s="13"/>
      <c r="B71" s="169" t="s">
        <v>204</v>
      </c>
      <c r="C71" s="165"/>
      <c r="D71" s="165"/>
      <c r="E71" s="165"/>
      <c r="F71" s="165"/>
      <c r="G71" s="165"/>
      <c r="H71" s="154"/>
      <c r="I71" s="154"/>
      <c r="J71" s="155"/>
      <c r="K71" s="154"/>
      <c r="L71" s="172"/>
    </row>
    <row r="72" spans="1:12" ht="45">
      <c r="A72" s="61"/>
      <c r="B72" s="62" t="s">
        <v>207</v>
      </c>
      <c r="C72" s="63"/>
      <c r="D72" s="182"/>
      <c r="E72" s="160" t="s">
        <v>209</v>
      </c>
      <c r="F72" s="45"/>
      <c r="G72" s="908" t="s">
        <v>208</v>
      </c>
      <c r="H72" s="909"/>
      <c r="I72" s="159" t="s">
        <v>205</v>
      </c>
      <c r="J72" s="162" t="s">
        <v>210</v>
      </c>
      <c r="K72" s="908" t="s">
        <v>206</v>
      </c>
      <c r="L72" s="910"/>
    </row>
    <row r="73" spans="1:12">
      <c r="A73" s="61"/>
      <c r="B73" s="163">
        <v>1</v>
      </c>
      <c r="C73" s="63"/>
      <c r="D73" s="63"/>
      <c r="E73" s="166">
        <v>2</v>
      </c>
      <c r="F73" s="67"/>
      <c r="G73" s="166">
        <v>3</v>
      </c>
      <c r="H73" s="182"/>
      <c r="I73" s="182">
        <v>4</v>
      </c>
      <c r="J73" s="85">
        <v>5</v>
      </c>
      <c r="K73" s="69"/>
      <c r="L73" s="70">
        <v>6</v>
      </c>
    </row>
    <row r="74" spans="1:12">
      <c r="A74" s="61"/>
      <c r="B74" s="62" t="e">
        <f>'BOM 04 22Master'!#REF!</f>
        <v>#REF!</v>
      </c>
      <c r="C74" s="178"/>
      <c r="D74" s="179"/>
      <c r="E74" s="180" t="s">
        <v>369</v>
      </c>
      <c r="F74" s="179"/>
      <c r="G74" s="180" t="s">
        <v>367</v>
      </c>
      <c r="H74" s="45"/>
      <c r="I74" s="11" t="s">
        <v>370</v>
      </c>
      <c r="J74" s="279">
        <v>1</v>
      </c>
      <c r="K74" s="181" t="s">
        <v>37</v>
      </c>
      <c r="L74" s="186"/>
    </row>
    <row r="75" spans="1:12">
      <c r="A75" s="61"/>
      <c r="B75" s="62"/>
      <c r="C75" s="178"/>
      <c r="D75" s="179"/>
      <c r="E75" s="180"/>
      <c r="F75" s="179"/>
      <c r="G75" s="180"/>
      <c r="H75" s="45"/>
      <c r="I75" s="11"/>
      <c r="J75" s="11"/>
      <c r="K75" s="181"/>
      <c r="L75" s="186"/>
    </row>
    <row r="76" spans="1:12">
      <c r="A76" s="61"/>
      <c r="B76" s="62"/>
      <c r="C76" s="178"/>
      <c r="D76" s="179"/>
      <c r="E76" s="180"/>
      <c r="F76" s="179"/>
      <c r="G76" s="180"/>
      <c r="H76" s="45"/>
      <c r="I76" s="11"/>
      <c r="J76" s="11"/>
      <c r="K76" s="181"/>
      <c r="L76" s="186"/>
    </row>
    <row r="77" spans="1:12">
      <c r="A77" s="61"/>
      <c r="B77" s="48"/>
      <c r="C77" s="17"/>
      <c r="D77" s="49"/>
      <c r="E77" s="180"/>
      <c r="F77" s="179"/>
      <c r="G77" s="180"/>
      <c r="H77" s="45"/>
      <c r="I77" s="11"/>
      <c r="J77" s="11"/>
      <c r="K77" s="181"/>
      <c r="L77" s="186"/>
    </row>
    <row r="78" spans="1:12">
      <c r="A78" s="61"/>
      <c r="B78" t="s">
        <v>211</v>
      </c>
      <c r="L78" s="14"/>
    </row>
    <row r="79" spans="1:12">
      <c r="A79" s="13"/>
      <c r="B79" t="s">
        <v>212</v>
      </c>
      <c r="L79" s="14"/>
    </row>
    <row r="80" spans="1:12">
      <c r="A80" s="13"/>
      <c r="B80" t="s">
        <v>223</v>
      </c>
      <c r="J80" t="s">
        <v>222</v>
      </c>
      <c r="L80" s="14"/>
    </row>
    <row r="81" spans="1:12">
      <c r="A81" s="13"/>
      <c r="G81" s="2" t="s">
        <v>220</v>
      </c>
      <c r="H81" s="2"/>
      <c r="I81" s="2"/>
      <c r="J81" s="2"/>
      <c r="K81" s="2"/>
      <c r="L81" s="57"/>
    </row>
    <row r="82" spans="1:12">
      <c r="A82" s="13"/>
      <c r="B82" s="2"/>
      <c r="G82" t="s">
        <v>221</v>
      </c>
      <c r="H82" s="2"/>
      <c r="I82" s="2"/>
      <c r="J82" s="2"/>
      <c r="K82" s="2"/>
      <c r="L82" s="57"/>
    </row>
    <row r="83" spans="1:12">
      <c r="A83" s="13"/>
      <c r="B83" s="169" t="s">
        <v>224</v>
      </c>
      <c r="C83" s="165"/>
      <c r="D83" s="165"/>
      <c r="E83" s="165"/>
      <c r="F83" s="165"/>
      <c r="G83" s="165"/>
      <c r="H83" s="154"/>
      <c r="I83" s="154"/>
      <c r="J83" s="154"/>
      <c r="K83" s="154"/>
      <c r="L83" s="172"/>
    </row>
    <row r="84" spans="1:12">
      <c r="A84" s="13"/>
      <c r="B84" s="169" t="s">
        <v>225</v>
      </c>
      <c r="C84" s="165"/>
      <c r="D84" s="165"/>
      <c r="E84" s="165"/>
      <c r="F84" s="165"/>
      <c r="G84" s="165"/>
      <c r="H84" s="154"/>
      <c r="I84" s="154"/>
      <c r="J84" s="155"/>
      <c r="K84" s="154"/>
      <c r="L84" s="172"/>
    </row>
    <row r="85" spans="1:12">
      <c r="A85" s="13"/>
      <c r="B85" s="62" t="s">
        <v>5</v>
      </c>
      <c r="C85" s="920" t="s">
        <v>226</v>
      </c>
      <c r="D85" s="779"/>
      <c r="E85" s="779"/>
      <c r="F85" s="779"/>
      <c r="G85" s="779"/>
      <c r="H85" s="780"/>
      <c r="I85" s="161" t="s">
        <v>105</v>
      </c>
      <c r="J85" s="921" t="s">
        <v>227</v>
      </c>
      <c r="K85" s="922"/>
      <c r="L85" s="923"/>
    </row>
    <row r="86" spans="1:12">
      <c r="A86" s="13"/>
      <c r="B86" s="163">
        <v>1</v>
      </c>
      <c r="C86" s="197"/>
      <c r="D86" s="66"/>
      <c r="E86" s="72">
        <v>2</v>
      </c>
      <c r="F86" s="44"/>
      <c r="G86" s="919"/>
      <c r="H86" s="909"/>
      <c r="I86" s="66">
        <v>3</v>
      </c>
      <c r="J86" s="184" t="s">
        <v>228</v>
      </c>
      <c r="K86" s="924">
        <v>4</v>
      </c>
      <c r="L86" s="925"/>
    </row>
    <row r="87" spans="1:12" ht="15" customHeight="1">
      <c r="A87" s="13"/>
      <c r="B87" s="62"/>
      <c r="C87" s="197"/>
      <c r="D87" s="66"/>
      <c r="E87" s="72"/>
      <c r="F87" s="44"/>
      <c r="G87" s="919"/>
      <c r="H87" s="909"/>
      <c r="I87" s="181"/>
      <c r="J87" s="183"/>
      <c r="K87" s="919"/>
      <c r="L87" s="910"/>
    </row>
    <row r="88" spans="1:12">
      <c r="A88" s="13"/>
      <c r="B88" s="62"/>
      <c r="C88" s="197"/>
      <c r="D88" s="66"/>
      <c r="E88" s="72"/>
      <c r="F88" s="44"/>
      <c r="G88" s="919"/>
      <c r="H88" s="909"/>
      <c r="I88" s="181"/>
      <c r="J88" s="183"/>
      <c r="K88" s="919"/>
      <c r="L88" s="910"/>
    </row>
    <row r="89" spans="1:12">
      <c r="A89" s="13"/>
      <c r="B89" s="62"/>
      <c r="C89" s="197"/>
      <c r="D89" s="66"/>
      <c r="E89" s="72"/>
      <c r="F89" s="44"/>
      <c r="G89" s="919"/>
      <c r="H89" s="909"/>
      <c r="I89" s="181"/>
      <c r="J89" s="183"/>
      <c r="K89" s="919"/>
      <c r="L89" s="910"/>
    </row>
    <row r="90" spans="1:12">
      <c r="A90" s="13"/>
      <c r="B90" s="48"/>
      <c r="C90" s="197"/>
      <c r="D90" s="66"/>
      <c r="E90" s="72"/>
      <c r="F90" s="44"/>
      <c r="G90" s="919"/>
      <c r="H90" s="909"/>
      <c r="I90" s="181"/>
      <c r="J90" s="183"/>
      <c r="K90" s="919"/>
      <c r="L90" s="910"/>
    </row>
    <row r="91" spans="1:12">
      <c r="A91" s="13"/>
      <c r="B91" t="s">
        <v>232</v>
      </c>
      <c r="L91" s="14"/>
    </row>
    <row r="92" spans="1:12">
      <c r="A92" s="13"/>
      <c r="B92" t="s">
        <v>233</v>
      </c>
      <c r="L92" s="14"/>
    </row>
    <row r="93" spans="1:12">
      <c r="A93" s="13"/>
      <c r="B93" t="s">
        <v>234</v>
      </c>
      <c r="L93" s="14"/>
    </row>
    <row r="94" spans="1:12">
      <c r="A94" s="13"/>
      <c r="B94" t="s">
        <v>235</v>
      </c>
      <c r="L94" s="14"/>
    </row>
    <row r="95" spans="1:12">
      <c r="A95" s="13"/>
      <c r="B95" s="180" t="s">
        <v>229</v>
      </c>
      <c r="C95" s="44"/>
      <c r="D95" s="44"/>
      <c r="E95" s="44"/>
      <c r="F95" s="45"/>
      <c r="G95" s="180" t="s">
        <v>205</v>
      </c>
      <c r="H95" s="45"/>
      <c r="I95" s="180" t="s">
        <v>230</v>
      </c>
      <c r="J95" s="44"/>
      <c r="K95" s="45"/>
      <c r="L95" s="14"/>
    </row>
    <row r="96" spans="1:12">
      <c r="A96" s="13"/>
      <c r="B96" s="911"/>
      <c r="C96" s="918"/>
      <c r="D96" s="918"/>
      <c r="E96" s="918"/>
      <c r="F96" s="917"/>
      <c r="G96" s="911"/>
      <c r="H96" s="917"/>
      <c r="I96" s="911"/>
      <c r="J96" s="918"/>
      <c r="K96" s="917"/>
      <c r="L96" s="14"/>
    </row>
    <row r="97" spans="1:12">
      <c r="A97" s="13"/>
      <c r="B97" s="911"/>
      <c r="C97" s="918"/>
      <c r="D97" s="918"/>
      <c r="E97" s="918"/>
      <c r="F97" s="917"/>
      <c r="G97" s="911"/>
      <c r="H97" s="917"/>
      <c r="I97" s="911"/>
      <c r="J97" s="918"/>
      <c r="K97" s="917"/>
      <c r="L97" s="14"/>
    </row>
    <row r="98" spans="1:12">
      <c r="A98" s="13"/>
      <c r="B98" s="911"/>
      <c r="C98" s="918"/>
      <c r="D98" s="918"/>
      <c r="E98" s="918"/>
      <c r="F98" s="917"/>
      <c r="G98" s="911"/>
      <c r="H98" s="917"/>
      <c r="I98" s="911"/>
      <c r="J98" s="918"/>
      <c r="K98" s="917"/>
      <c r="L98" s="14"/>
    </row>
    <row r="99" spans="1:12">
      <c r="A99" s="13"/>
      <c r="B99" s="911"/>
      <c r="C99" s="918"/>
      <c r="D99" s="918"/>
      <c r="E99" s="918"/>
      <c r="F99" s="917"/>
      <c r="G99" s="911"/>
      <c r="H99" s="917"/>
      <c r="I99" s="911"/>
      <c r="J99" s="918"/>
      <c r="K99" s="917"/>
      <c r="L99" s="14"/>
    </row>
    <row r="100" spans="1:12">
      <c r="A100" s="13"/>
      <c r="L100" s="14"/>
    </row>
    <row r="101" spans="1:12">
      <c r="A101" s="13"/>
      <c r="B101" t="s">
        <v>202</v>
      </c>
      <c r="C101" s="278" t="e">
        <f>'BOM 04 22Master'!#REF!</f>
        <v>#REF!</v>
      </c>
      <c r="I101" t="s">
        <v>231</v>
      </c>
      <c r="L101" s="14"/>
    </row>
    <row r="102" spans="1:12" ht="27.95" customHeight="1">
      <c r="A102" s="13"/>
      <c r="F102" s="168" t="s">
        <v>197</v>
      </c>
      <c r="L102" s="14"/>
    </row>
    <row r="103" spans="1:12" ht="27.95" customHeight="1">
      <c r="A103" s="13" t="s">
        <v>198</v>
      </c>
      <c r="K103" s="218" t="e">
        <f>'BOM 04 22Master'!#REF!</f>
        <v>#REF!</v>
      </c>
      <c r="L103" s="14"/>
    </row>
    <row r="104" spans="1:12" ht="27.95" customHeight="1">
      <c r="A104" s="13" t="s">
        <v>199</v>
      </c>
      <c r="L104" s="14"/>
    </row>
    <row r="105" spans="1:12" ht="27.95" customHeight="1">
      <c r="A105" s="13"/>
      <c r="L105" s="14"/>
    </row>
    <row r="106" spans="1:12" ht="27.95" customHeight="1">
      <c r="A106" s="13"/>
      <c r="F106" t="s">
        <v>200</v>
      </c>
      <c r="L106" s="14"/>
    </row>
    <row r="107" spans="1:12" ht="27.95" customHeight="1">
      <c r="A107" s="13" t="s">
        <v>201</v>
      </c>
      <c r="B107" t="s">
        <v>365</v>
      </c>
      <c r="F107" t="str">
        <f>'BOM 04 22Master'!F5</f>
        <v>Burgeon IT Services Pvt.Ltd.</v>
      </c>
      <c r="L107" s="14"/>
    </row>
    <row r="108" spans="1:12" ht="27.95" customHeight="1" thickBot="1">
      <c r="A108" s="25" t="s">
        <v>202</v>
      </c>
      <c r="B108" s="281" t="e">
        <f>'BOM 04 22Master'!#REF!</f>
        <v>#REF!</v>
      </c>
      <c r="C108" s="23"/>
      <c r="D108" s="23"/>
      <c r="E108" s="23"/>
      <c r="F108" s="23" t="str">
        <f>'BOM 04 22Master'!F6</f>
        <v>Siri Mansion LIGB 436 Dr.A S Rao Nagar,Hyderabad</v>
      </c>
      <c r="G108" s="23"/>
      <c r="H108" s="23"/>
      <c r="I108" s="23"/>
      <c r="J108" s="23"/>
      <c r="K108" s="23"/>
      <c r="L108" s="24"/>
    </row>
    <row r="109" spans="1:12" ht="27.95" customHeight="1">
      <c r="A109" s="50"/>
      <c r="B109" s="51"/>
      <c r="C109" s="51"/>
      <c r="D109" s="173"/>
      <c r="E109" s="173"/>
      <c r="F109" s="173"/>
      <c r="G109" s="173"/>
      <c r="H109" s="173"/>
      <c r="I109" s="173"/>
      <c r="J109" s="51"/>
      <c r="K109" s="175" t="s">
        <v>216</v>
      </c>
      <c r="L109" s="174"/>
    </row>
    <row r="110" spans="1:12" ht="27.95" customHeight="1">
      <c r="A110" s="13"/>
      <c r="B110" s="926" t="s">
        <v>215</v>
      </c>
      <c r="C110" s="926"/>
      <c r="D110" s="926"/>
      <c r="E110" s="926"/>
      <c r="F110" s="926"/>
      <c r="G110" s="926"/>
      <c r="H110" s="926"/>
      <c r="I110" s="926"/>
      <c r="J110" s="926"/>
      <c r="K110" s="926"/>
      <c r="L110" s="927"/>
    </row>
    <row r="111" spans="1:12" ht="27.95" customHeight="1">
      <c r="A111" s="13"/>
      <c r="B111" s="904" t="s">
        <v>217</v>
      </c>
      <c r="C111" s="904"/>
      <c r="D111" s="904"/>
      <c r="E111" s="904"/>
      <c r="F111" s="904"/>
      <c r="G111" s="904"/>
      <c r="H111" s="904"/>
      <c r="I111" s="904"/>
      <c r="J111" s="904"/>
      <c r="K111" s="904"/>
      <c r="L111" s="928"/>
    </row>
    <row r="112" spans="1:12" ht="27.95" customHeight="1">
      <c r="A112" s="13"/>
      <c r="B112" s="176" t="s">
        <v>218</v>
      </c>
      <c r="C112" s="176"/>
      <c r="D112" s="176"/>
      <c r="E112" s="176"/>
      <c r="F112" s="176"/>
      <c r="H112" s="177"/>
      <c r="I112" s="177"/>
      <c r="J112" s="177"/>
      <c r="K112" s="177"/>
      <c r="L112" s="185"/>
    </row>
    <row r="113" spans="1:12" ht="27.95" customHeight="1">
      <c r="A113" s="13"/>
      <c r="B113" s="176"/>
      <c r="C113" s="176"/>
      <c r="D113" s="176"/>
      <c r="E113" s="176"/>
      <c r="F113" s="176"/>
      <c r="H113" s="177"/>
      <c r="I113" s="177"/>
      <c r="J113" s="177"/>
      <c r="K113" s="177"/>
      <c r="L113" s="185"/>
    </row>
    <row r="114" spans="1:12" ht="27.95" customHeight="1">
      <c r="A114" s="13"/>
      <c r="B114" s="742" t="s">
        <v>188</v>
      </c>
      <c r="C114" s="742"/>
      <c r="D114" s="742"/>
      <c r="E114" s="742"/>
      <c r="F114" s="742"/>
      <c r="G114" s="742"/>
      <c r="H114" s="743" t="e">
        <f>'BOM 04 22Master'!#REF!</f>
        <v>#REF!</v>
      </c>
      <c r="I114" s="744"/>
      <c r="J114" s="744"/>
      <c r="K114" s="744"/>
      <c r="L114" s="745"/>
    </row>
    <row r="115" spans="1:12" ht="27.95" customHeight="1">
      <c r="A115" s="13"/>
      <c r="B115" s="755" t="s">
        <v>189</v>
      </c>
      <c r="C115" s="755"/>
      <c r="D115" s="755"/>
      <c r="E115" s="755"/>
      <c r="F115" s="755"/>
      <c r="G115" s="755"/>
      <c r="H115" s="743" t="e">
        <f>'BOM 04 22Master'!#REF!</f>
        <v>#REF!</v>
      </c>
      <c r="I115" s="744"/>
      <c r="J115" s="744"/>
      <c r="K115" s="744"/>
      <c r="L115" s="745"/>
    </row>
    <row r="116" spans="1:12" ht="27.95" customHeight="1">
      <c r="A116" s="13"/>
      <c r="B116" s="742" t="s">
        <v>190</v>
      </c>
      <c r="C116" s="742"/>
      <c r="D116" s="742"/>
      <c r="E116" s="742"/>
      <c r="F116" s="742"/>
      <c r="G116" s="742"/>
      <c r="H116" s="743" t="e">
        <f>'BOM 04 22Master'!#REF!</f>
        <v>#REF!</v>
      </c>
      <c r="I116" s="744"/>
      <c r="J116" s="744"/>
      <c r="K116" s="744"/>
      <c r="L116" s="745"/>
    </row>
    <row r="117" spans="1:12" ht="27.95" customHeight="1">
      <c r="A117" s="13"/>
      <c r="B117" s="742" t="s">
        <v>191</v>
      </c>
      <c r="C117" s="742"/>
      <c r="D117" s="742"/>
      <c r="E117" s="742"/>
      <c r="F117" s="742"/>
      <c r="G117" s="742"/>
      <c r="H117" s="916" t="e">
        <f>'BOM 04 22Master'!#REF!</f>
        <v>#REF!</v>
      </c>
      <c r="I117" s="744"/>
      <c r="J117" s="744"/>
      <c r="K117" s="744"/>
      <c r="L117" s="745"/>
    </row>
    <row r="118" spans="1:12" ht="27.95" customHeight="1">
      <c r="A118" s="13"/>
      <c r="B118" s="62" t="s">
        <v>192</v>
      </c>
      <c r="C118" s="63"/>
      <c r="D118" s="63"/>
      <c r="E118" s="63"/>
      <c r="F118" s="63"/>
      <c r="G118" s="63"/>
      <c r="H118" s="913" t="s">
        <v>193</v>
      </c>
      <c r="I118" s="914"/>
      <c r="J118" s="914"/>
      <c r="K118" s="914"/>
      <c r="L118" s="915"/>
    </row>
    <row r="119" spans="1:12">
      <c r="A119" s="13"/>
      <c r="B119" s="62" t="s">
        <v>194</v>
      </c>
      <c r="C119" s="63"/>
      <c r="D119" s="63"/>
      <c r="E119" s="63"/>
      <c r="F119" s="63"/>
      <c r="G119" s="63"/>
    </row>
    <row r="120" spans="1:12">
      <c r="A120" s="13"/>
      <c r="B120" s="749" t="s">
        <v>195</v>
      </c>
      <c r="C120" s="749"/>
      <c r="D120" s="749"/>
      <c r="E120" s="749"/>
      <c r="F120" s="749"/>
      <c r="G120" s="749"/>
      <c r="H120" s="743" t="e">
        <f>'BOM 04 22Master'!#REF!</f>
        <v>#REF!</v>
      </c>
      <c r="I120" s="744"/>
      <c r="J120" s="744"/>
      <c r="K120" s="744"/>
      <c r="L120" s="744"/>
    </row>
    <row r="121" spans="1:12">
      <c r="A121" s="13"/>
      <c r="B121" s="742"/>
      <c r="C121" s="742"/>
      <c r="D121" s="742"/>
      <c r="E121" s="742"/>
      <c r="F121" s="742"/>
      <c r="G121" s="742"/>
      <c r="H121" s="743" t="e">
        <f>'BOM 04 22Master'!#REF!</f>
        <v>#REF!</v>
      </c>
      <c r="I121" s="744"/>
      <c r="J121" s="744"/>
      <c r="K121" s="744"/>
      <c r="L121" s="744"/>
    </row>
    <row r="122" spans="1:12">
      <c r="A122" s="13"/>
      <c r="B122" s="742"/>
      <c r="C122" s="742"/>
      <c r="D122" s="742"/>
      <c r="E122" s="742"/>
      <c r="F122" s="742"/>
      <c r="G122" s="742"/>
      <c r="H122" s="766" t="e">
        <f>'BOM 04 22Master'!#REF!</f>
        <v>#REF!</v>
      </c>
      <c r="I122" s="744"/>
      <c r="J122" s="744"/>
      <c r="K122" s="744"/>
      <c r="L122" s="745"/>
    </row>
    <row r="123" spans="1:12">
      <c r="A123" s="13"/>
      <c r="G123" s="2" t="s">
        <v>219</v>
      </c>
      <c r="H123" s="2"/>
      <c r="I123" s="2"/>
      <c r="J123" s="2"/>
      <c r="K123" s="2"/>
      <c r="L123" s="57"/>
    </row>
    <row r="124" spans="1:12">
      <c r="A124" s="13"/>
      <c r="B124" s="169" t="s">
        <v>203</v>
      </c>
      <c r="C124" s="165"/>
      <c r="D124" s="165"/>
      <c r="E124" s="165"/>
      <c r="F124" s="165"/>
      <c r="G124" s="165"/>
      <c r="H124" s="154"/>
      <c r="I124" s="154"/>
      <c r="J124" s="154"/>
      <c r="K124" s="154"/>
      <c r="L124" s="172"/>
    </row>
    <row r="125" spans="1:12">
      <c r="A125" s="13"/>
      <c r="B125" s="169" t="s">
        <v>204</v>
      </c>
      <c r="C125" s="165"/>
      <c r="D125" s="165"/>
      <c r="E125" s="165"/>
      <c r="F125" s="165"/>
      <c r="G125" s="165"/>
      <c r="H125" s="154"/>
      <c r="I125" s="154"/>
      <c r="J125" s="155"/>
      <c r="K125" s="154"/>
      <c r="L125" s="172"/>
    </row>
    <row r="126" spans="1:12" ht="45">
      <c r="A126" s="61"/>
      <c r="B126" s="62" t="s">
        <v>207</v>
      </c>
      <c r="C126" s="63"/>
      <c r="D126" s="182"/>
      <c r="E126" s="160" t="s">
        <v>209</v>
      </c>
      <c r="F126" s="45"/>
      <c r="G126" s="908" t="s">
        <v>208</v>
      </c>
      <c r="H126" s="909"/>
      <c r="I126" s="159" t="s">
        <v>205</v>
      </c>
      <c r="J126" s="162" t="s">
        <v>210</v>
      </c>
      <c r="K126" s="908" t="s">
        <v>206</v>
      </c>
      <c r="L126" s="910"/>
    </row>
    <row r="127" spans="1:12">
      <c r="A127" s="61"/>
      <c r="B127" s="163">
        <v>1</v>
      </c>
      <c r="C127" s="63"/>
      <c r="D127" s="63"/>
      <c r="E127" s="166">
        <v>2</v>
      </c>
      <c r="F127" s="67"/>
      <c r="G127" s="166">
        <v>3</v>
      </c>
      <c r="H127" s="182"/>
      <c r="I127" s="182">
        <v>4</v>
      </c>
      <c r="J127" s="85">
        <v>5</v>
      </c>
      <c r="K127" s="69"/>
      <c r="L127" s="70">
        <v>6</v>
      </c>
    </row>
    <row r="128" spans="1:12">
      <c r="A128" s="61"/>
      <c r="B128" s="62" t="e">
        <f>'BOM 04 22Master'!#REF!</f>
        <v>#REF!</v>
      </c>
      <c r="C128" s="178"/>
      <c r="D128" s="179"/>
      <c r="E128" s="180" t="s">
        <v>369</v>
      </c>
      <c r="F128" s="179"/>
      <c r="G128" s="180" t="s">
        <v>367</v>
      </c>
      <c r="H128" s="45"/>
      <c r="I128" s="11" t="s">
        <v>370</v>
      </c>
      <c r="J128" s="279">
        <v>1</v>
      </c>
      <c r="K128" s="181" t="s">
        <v>37</v>
      </c>
      <c r="L128" s="186"/>
    </row>
    <row r="129" spans="1:12">
      <c r="A129" s="61"/>
      <c r="B129" s="62"/>
      <c r="C129" s="178"/>
      <c r="D129" s="179"/>
      <c r="E129" s="180"/>
      <c r="F129" s="179"/>
      <c r="G129" s="180"/>
      <c r="H129" s="45"/>
      <c r="I129" s="11"/>
      <c r="J129" s="11"/>
      <c r="K129" s="181"/>
      <c r="L129" s="186"/>
    </row>
    <row r="130" spans="1:12">
      <c r="A130" s="61"/>
      <c r="B130" s="62"/>
      <c r="C130" s="178"/>
      <c r="D130" s="179"/>
      <c r="E130" s="180"/>
      <c r="F130" s="179"/>
      <c r="G130" s="180"/>
      <c r="H130" s="45"/>
      <c r="I130" s="11"/>
      <c r="J130" s="11"/>
      <c r="K130" s="181"/>
      <c r="L130" s="186"/>
    </row>
    <row r="131" spans="1:12">
      <c r="A131" s="61"/>
      <c r="B131" s="48"/>
      <c r="C131" s="17"/>
      <c r="D131" s="49"/>
      <c r="E131" s="180"/>
      <c r="F131" s="179"/>
      <c r="G131" s="180"/>
      <c r="H131" s="45"/>
      <c r="I131" s="11"/>
      <c r="J131" s="11"/>
      <c r="K131" s="181"/>
      <c r="L131" s="186"/>
    </row>
    <row r="132" spans="1:12">
      <c r="A132" s="61"/>
      <c r="B132" t="s">
        <v>211</v>
      </c>
      <c r="L132" s="14"/>
    </row>
    <row r="133" spans="1:12">
      <c r="A133" s="13"/>
      <c r="B133" t="s">
        <v>212</v>
      </c>
      <c r="L133" s="14"/>
    </row>
    <row r="134" spans="1:12">
      <c r="A134" s="13"/>
      <c r="B134" t="s">
        <v>223</v>
      </c>
      <c r="J134" t="s">
        <v>222</v>
      </c>
      <c r="L134" s="14"/>
    </row>
    <row r="135" spans="1:12">
      <c r="A135" s="13"/>
      <c r="G135" s="2" t="s">
        <v>220</v>
      </c>
      <c r="H135" s="2"/>
      <c r="I135" s="2"/>
      <c r="J135" s="2"/>
      <c r="K135" s="2"/>
      <c r="L135" s="57"/>
    </row>
    <row r="136" spans="1:12">
      <c r="A136" s="13"/>
      <c r="B136" s="2"/>
      <c r="G136" t="s">
        <v>221</v>
      </c>
      <c r="H136" s="2"/>
      <c r="I136" s="2"/>
      <c r="J136" s="2"/>
      <c r="K136" s="2"/>
      <c r="L136" s="57"/>
    </row>
    <row r="137" spans="1:12">
      <c r="A137" s="13"/>
      <c r="B137" s="169" t="s">
        <v>224</v>
      </c>
      <c r="C137" s="165"/>
      <c r="D137" s="165"/>
      <c r="E137" s="165"/>
      <c r="F137" s="165"/>
      <c r="G137" s="165"/>
      <c r="H137" s="154"/>
      <c r="I137" s="154"/>
      <c r="J137" s="154"/>
      <c r="K137" s="154"/>
      <c r="L137" s="172"/>
    </row>
    <row r="138" spans="1:12">
      <c r="A138" s="13"/>
      <c r="B138" s="169" t="s">
        <v>225</v>
      </c>
      <c r="C138" s="165"/>
      <c r="D138" s="165"/>
      <c r="E138" s="165"/>
      <c r="F138" s="165"/>
      <c r="G138" s="165"/>
      <c r="H138" s="154"/>
      <c r="I138" s="154"/>
      <c r="J138" s="155"/>
      <c r="K138" s="154"/>
      <c r="L138" s="172"/>
    </row>
    <row r="139" spans="1:12">
      <c r="A139" s="13"/>
      <c r="B139" s="62" t="s">
        <v>5</v>
      </c>
      <c r="C139" s="920" t="s">
        <v>226</v>
      </c>
      <c r="D139" s="779"/>
      <c r="E139" s="779"/>
      <c r="F139" s="779"/>
      <c r="G139" s="779"/>
      <c r="H139" s="780"/>
      <c r="I139" s="161" t="s">
        <v>105</v>
      </c>
      <c r="J139" s="921" t="s">
        <v>227</v>
      </c>
      <c r="K139" s="922"/>
      <c r="L139" s="923"/>
    </row>
    <row r="140" spans="1:12">
      <c r="A140" s="13"/>
      <c r="B140" s="163">
        <v>1</v>
      </c>
      <c r="C140" s="197"/>
      <c r="D140" s="66"/>
      <c r="E140" s="72">
        <v>2</v>
      </c>
      <c r="F140" s="44"/>
      <c r="G140" s="919"/>
      <c r="H140" s="909"/>
      <c r="I140" s="66">
        <v>3</v>
      </c>
      <c r="J140" s="184" t="s">
        <v>228</v>
      </c>
      <c r="K140" s="924">
        <v>4</v>
      </c>
      <c r="L140" s="925"/>
    </row>
    <row r="141" spans="1:12">
      <c r="A141" s="13"/>
      <c r="B141" s="62"/>
      <c r="C141" s="197"/>
      <c r="D141" s="66"/>
      <c r="E141" s="72"/>
      <c r="F141" s="44"/>
      <c r="G141" s="919"/>
      <c r="H141" s="909"/>
      <c r="I141" s="181"/>
      <c r="J141" s="183"/>
      <c r="K141" s="919"/>
      <c r="L141" s="910"/>
    </row>
    <row r="142" spans="1:12">
      <c r="A142" s="13"/>
      <c r="B142" s="62"/>
      <c r="C142" s="197"/>
      <c r="D142" s="66"/>
      <c r="E142" s="72"/>
      <c r="F142" s="44"/>
      <c r="G142" s="919"/>
      <c r="H142" s="909"/>
      <c r="I142" s="181"/>
      <c r="J142" s="183"/>
      <c r="K142" s="919"/>
      <c r="L142" s="910"/>
    </row>
    <row r="143" spans="1:12">
      <c r="A143" s="13"/>
      <c r="B143" s="62"/>
      <c r="C143" s="197"/>
      <c r="D143" s="66"/>
      <c r="E143" s="72"/>
      <c r="F143" s="44"/>
      <c r="G143" s="919"/>
      <c r="H143" s="909"/>
      <c r="I143" s="181"/>
      <c r="J143" s="183"/>
      <c r="K143" s="919"/>
      <c r="L143" s="910"/>
    </row>
    <row r="144" spans="1:12">
      <c r="A144" s="13"/>
      <c r="B144" s="48"/>
      <c r="C144" s="197"/>
      <c r="D144" s="66"/>
      <c r="E144" s="72"/>
      <c r="F144" s="44"/>
      <c r="G144" s="919"/>
      <c r="H144" s="909"/>
      <c r="I144" s="181"/>
      <c r="J144" s="183"/>
      <c r="K144" s="919"/>
      <c r="L144" s="910"/>
    </row>
    <row r="145" spans="1:12">
      <c r="A145" s="13"/>
      <c r="B145" t="s">
        <v>232</v>
      </c>
      <c r="L145" s="14"/>
    </row>
    <row r="146" spans="1:12">
      <c r="A146" s="13"/>
      <c r="B146" t="s">
        <v>233</v>
      </c>
      <c r="L146" s="14"/>
    </row>
    <row r="147" spans="1:12">
      <c r="A147" s="13"/>
      <c r="B147" t="s">
        <v>234</v>
      </c>
      <c r="L147" s="14"/>
    </row>
    <row r="148" spans="1:12">
      <c r="A148" s="13"/>
      <c r="B148" t="s">
        <v>235</v>
      </c>
      <c r="L148" s="14"/>
    </row>
    <row r="149" spans="1:12">
      <c r="A149" s="13"/>
      <c r="B149" s="180" t="s">
        <v>229</v>
      </c>
      <c r="C149" s="44"/>
      <c r="D149" s="44"/>
      <c r="E149" s="44"/>
      <c r="F149" s="45"/>
      <c r="G149" s="180" t="s">
        <v>205</v>
      </c>
      <c r="H149" s="45"/>
      <c r="I149" s="180" t="s">
        <v>230</v>
      </c>
      <c r="J149" s="44"/>
      <c r="K149" s="45"/>
      <c r="L149" s="14"/>
    </row>
    <row r="150" spans="1:12">
      <c r="A150" s="13"/>
      <c r="B150" s="911"/>
      <c r="C150" s="918"/>
      <c r="D150" s="918"/>
      <c r="E150" s="918"/>
      <c r="F150" s="917"/>
      <c r="G150" s="911"/>
      <c r="H150" s="917"/>
      <c r="I150" s="911"/>
      <c r="J150" s="918"/>
      <c r="K150" s="917"/>
      <c r="L150" s="14"/>
    </row>
    <row r="151" spans="1:12">
      <c r="A151" s="13"/>
      <c r="B151" s="911"/>
      <c r="C151" s="918"/>
      <c r="D151" s="918"/>
      <c r="E151" s="918"/>
      <c r="F151" s="917"/>
      <c r="G151" s="911"/>
      <c r="H151" s="917"/>
      <c r="I151" s="911"/>
      <c r="J151" s="918"/>
      <c r="K151" s="917"/>
      <c r="L151" s="14"/>
    </row>
    <row r="152" spans="1:12">
      <c r="A152" s="13"/>
      <c r="B152" s="911"/>
      <c r="C152" s="918"/>
      <c r="D152" s="918"/>
      <c r="E152" s="918"/>
      <c r="F152" s="917"/>
      <c r="G152" s="911"/>
      <c r="H152" s="917"/>
      <c r="I152" s="911"/>
      <c r="J152" s="918"/>
      <c r="K152" s="917"/>
      <c r="L152" s="14"/>
    </row>
    <row r="153" spans="1:12">
      <c r="A153" s="13"/>
      <c r="B153" s="911"/>
      <c r="C153" s="918"/>
      <c r="D153" s="918"/>
      <c r="E153" s="918"/>
      <c r="F153" s="917"/>
      <c r="G153" s="911"/>
      <c r="H153" s="917"/>
      <c r="I153" s="911"/>
      <c r="J153" s="918"/>
      <c r="K153" s="917"/>
      <c r="L153" s="14"/>
    </row>
    <row r="154" spans="1:12" ht="27.95" customHeight="1">
      <c r="A154" s="13"/>
      <c r="L154" s="14"/>
    </row>
    <row r="155" spans="1:12" ht="27.95" customHeight="1">
      <c r="A155" s="13"/>
      <c r="B155" t="s">
        <v>202</v>
      </c>
      <c r="C155" s="278" t="e">
        <f>'BOM 04 22Master'!#REF!</f>
        <v>#REF!</v>
      </c>
      <c r="I155" t="s">
        <v>231</v>
      </c>
      <c r="L155" s="14"/>
    </row>
    <row r="156" spans="1:12" ht="27.95" customHeight="1">
      <c r="A156" s="13"/>
      <c r="F156" s="168" t="s">
        <v>197</v>
      </c>
      <c r="L156" s="14"/>
    </row>
    <row r="157" spans="1:12" ht="27.95" customHeight="1">
      <c r="A157" s="13" t="s">
        <v>198</v>
      </c>
      <c r="L157" s="14"/>
    </row>
    <row r="158" spans="1:12" ht="27.95" customHeight="1">
      <c r="A158" s="13" t="s">
        <v>199</v>
      </c>
      <c r="L158" s="14"/>
    </row>
    <row r="159" spans="1:12" ht="27.95" customHeight="1">
      <c r="A159" s="13"/>
      <c r="L159" s="14"/>
    </row>
    <row r="160" spans="1:12" ht="27.95" customHeight="1">
      <c r="A160" s="13"/>
      <c r="F160" t="s">
        <v>200</v>
      </c>
      <c r="L160" s="14"/>
    </row>
    <row r="161" spans="1:12" ht="27.95" customHeight="1">
      <c r="A161" s="13" t="s">
        <v>201</v>
      </c>
      <c r="B161" t="s">
        <v>365</v>
      </c>
      <c r="F161" t="str">
        <f>'BOM 04 22Master'!F5</f>
        <v>Burgeon IT Services Pvt.Ltd.</v>
      </c>
      <c r="L161" s="14"/>
    </row>
    <row r="162" spans="1:12" ht="27.95" customHeight="1" thickBot="1">
      <c r="A162" s="25" t="s">
        <v>202</v>
      </c>
      <c r="B162" s="281" t="e">
        <f>'BOM 04 22Master'!#REF!</f>
        <v>#REF!</v>
      </c>
      <c r="C162" s="23"/>
      <c r="D162" s="23"/>
      <c r="E162" s="23"/>
      <c r="F162" s="23" t="str">
        <f>'BOM 04 22Master'!F6</f>
        <v>Siri Mansion LIGB 436 Dr.A S Rao Nagar,Hyderabad</v>
      </c>
      <c r="G162" s="23"/>
      <c r="H162" s="23"/>
      <c r="I162" s="23"/>
      <c r="J162" s="23"/>
      <c r="K162" s="23"/>
      <c r="L162" s="24"/>
    </row>
    <row r="163" spans="1:12" ht="27.95" customHeight="1">
      <c r="A163" s="50"/>
      <c r="B163" s="51"/>
      <c r="C163" s="51"/>
      <c r="D163" s="173"/>
      <c r="E163" s="173"/>
      <c r="F163" s="173"/>
      <c r="G163" s="173"/>
      <c r="H163" s="173"/>
      <c r="I163" s="173"/>
      <c r="J163" s="51"/>
      <c r="K163" s="175" t="s">
        <v>216</v>
      </c>
      <c r="L163" s="174"/>
    </row>
    <row r="164" spans="1:12" ht="27.95" customHeight="1">
      <c r="A164" s="13"/>
      <c r="B164" s="926" t="s">
        <v>215</v>
      </c>
      <c r="C164" s="926"/>
      <c r="D164" s="926"/>
      <c r="E164" s="926"/>
      <c r="F164" s="926"/>
      <c r="G164" s="926"/>
      <c r="H164" s="926"/>
      <c r="I164" s="926"/>
      <c r="J164" s="926"/>
      <c r="K164" s="926"/>
      <c r="L164" s="927"/>
    </row>
    <row r="165" spans="1:12" ht="27.95" customHeight="1">
      <c r="A165" s="13"/>
      <c r="B165" s="904" t="s">
        <v>217</v>
      </c>
      <c r="C165" s="904"/>
      <c r="D165" s="904"/>
      <c r="E165" s="904"/>
      <c r="F165" s="904"/>
      <c r="G165" s="904"/>
      <c r="H165" s="904"/>
      <c r="I165" s="904"/>
      <c r="J165" s="904"/>
      <c r="K165" s="904"/>
      <c r="L165" s="928"/>
    </row>
    <row r="166" spans="1:12" ht="27.95" customHeight="1">
      <c r="A166" s="13"/>
      <c r="B166" s="176" t="s">
        <v>218</v>
      </c>
      <c r="C166" s="176"/>
      <c r="D166" s="176"/>
      <c r="E166" s="176"/>
      <c r="F166" s="176"/>
      <c r="H166" s="177"/>
      <c r="I166" s="177"/>
      <c r="J166" s="177"/>
      <c r="K166" s="177"/>
      <c r="L166" s="185"/>
    </row>
    <row r="167" spans="1:12" ht="27.95" customHeight="1">
      <c r="A167" s="13"/>
      <c r="B167" s="176"/>
      <c r="C167" s="176"/>
      <c r="D167" s="176"/>
      <c r="E167" s="176"/>
      <c r="F167" s="176"/>
      <c r="H167" s="177"/>
      <c r="I167" s="177"/>
      <c r="J167" s="177"/>
      <c r="K167" s="177"/>
      <c r="L167" s="185"/>
    </row>
    <row r="168" spans="1:12" ht="27.95" customHeight="1">
      <c r="A168" s="13"/>
      <c r="B168" s="742" t="s">
        <v>188</v>
      </c>
      <c r="C168" s="742"/>
      <c r="D168" s="742"/>
      <c r="E168" s="742"/>
      <c r="F168" s="742"/>
      <c r="G168" s="742"/>
      <c r="H168" s="743" t="e">
        <f>'BOM 04 22Master'!#REF!</f>
        <v>#REF!</v>
      </c>
      <c r="I168" s="744"/>
      <c r="J168" s="744"/>
      <c r="K168" s="744"/>
      <c r="L168" s="745"/>
    </row>
    <row r="169" spans="1:12" ht="27.95" customHeight="1">
      <c r="A169" s="13"/>
      <c r="B169" s="755" t="s">
        <v>189</v>
      </c>
      <c r="C169" s="755"/>
      <c r="D169" s="755"/>
      <c r="E169" s="755"/>
      <c r="F169" s="755"/>
      <c r="G169" s="755"/>
      <c r="H169" s="743" t="e">
        <f>'BOM 04 22Master'!#REF!</f>
        <v>#REF!</v>
      </c>
      <c r="I169" s="744"/>
      <c r="J169" s="744"/>
      <c r="K169" s="744"/>
      <c r="L169" s="745"/>
    </row>
    <row r="170" spans="1:12" ht="27.95" customHeight="1">
      <c r="A170" s="13"/>
      <c r="B170" s="742" t="s">
        <v>190</v>
      </c>
      <c r="C170" s="742"/>
      <c r="D170" s="742"/>
      <c r="E170" s="742"/>
      <c r="F170" s="742"/>
      <c r="G170" s="742"/>
      <c r="H170" s="743" t="e">
        <f>'BOM 04 22Master'!#REF!</f>
        <v>#REF!</v>
      </c>
      <c r="I170" s="744"/>
      <c r="J170" s="744"/>
      <c r="K170" s="744"/>
      <c r="L170" s="745"/>
    </row>
    <row r="171" spans="1:12" ht="27.95" customHeight="1">
      <c r="A171" s="13"/>
      <c r="B171" s="742" t="s">
        <v>191</v>
      </c>
      <c r="C171" s="742"/>
      <c r="D171" s="742"/>
      <c r="E171" s="742"/>
      <c r="F171" s="742"/>
      <c r="G171" s="742"/>
      <c r="H171" s="916" t="e">
        <f>'BOM 04 22Master'!#REF!</f>
        <v>#REF!</v>
      </c>
      <c r="I171" s="744"/>
      <c r="J171" s="744"/>
      <c r="K171" s="744"/>
      <c r="L171" s="745"/>
    </row>
    <row r="172" spans="1:12">
      <c r="A172" s="13"/>
      <c r="B172" s="62" t="s">
        <v>192</v>
      </c>
      <c r="C172" s="63"/>
      <c r="D172" s="63"/>
      <c r="E172" s="63"/>
      <c r="F172" s="63"/>
      <c r="G172" s="63"/>
      <c r="H172" s="913" t="s">
        <v>193</v>
      </c>
      <c r="I172" s="914"/>
      <c r="J172" s="914"/>
      <c r="K172" s="914"/>
      <c r="L172" s="915"/>
    </row>
    <row r="173" spans="1:12">
      <c r="A173" s="13"/>
      <c r="B173" s="62" t="s">
        <v>194</v>
      </c>
      <c r="C173" s="63"/>
      <c r="D173" s="63"/>
      <c r="E173" s="63"/>
      <c r="F173" s="63"/>
      <c r="G173" s="63"/>
      <c r="H173" s="64"/>
      <c r="I173" s="66"/>
      <c r="J173" s="167"/>
      <c r="K173" s="66"/>
      <c r="L173" s="71"/>
    </row>
    <row r="174" spans="1:12">
      <c r="A174" s="13"/>
      <c r="B174" s="749" t="s">
        <v>195</v>
      </c>
      <c r="C174" s="749"/>
      <c r="D174" s="749"/>
      <c r="E174" s="749"/>
      <c r="F174" s="749"/>
      <c r="G174" s="749"/>
      <c r="H174" s="750" t="e">
        <f>'BOM 04 22Master'!#REF!</f>
        <v>#REF!</v>
      </c>
      <c r="I174" s="751"/>
      <c r="J174" s="751"/>
      <c r="K174" s="751"/>
      <c r="L174" s="752"/>
    </row>
    <row r="175" spans="1:12">
      <c r="A175" s="13"/>
      <c r="B175" s="742"/>
      <c r="C175" s="742"/>
      <c r="D175" s="742"/>
      <c r="E175" s="742"/>
      <c r="F175" s="742"/>
      <c r="G175" s="742"/>
      <c r="H175" s="766" t="e">
        <f>'BOM 04 22Master'!#REF!</f>
        <v>#REF!</v>
      </c>
      <c r="I175" s="744"/>
      <c r="J175" s="744"/>
      <c r="K175" s="744"/>
      <c r="L175" s="745"/>
    </row>
    <row r="176" spans="1:12">
      <c r="A176" s="13"/>
      <c r="B176" s="742"/>
      <c r="C176" s="742"/>
      <c r="D176" s="742"/>
      <c r="E176" s="742"/>
      <c r="F176" s="742"/>
      <c r="G176" s="742"/>
      <c r="H176" s="743" t="e">
        <f>'BOM 04 22Master'!#REF!</f>
        <v>#REF!</v>
      </c>
      <c r="I176" s="744"/>
      <c r="J176" s="744"/>
      <c r="K176" s="744"/>
      <c r="L176" s="745"/>
    </row>
    <row r="177" spans="1:12">
      <c r="A177" s="13"/>
      <c r="G177" s="2" t="s">
        <v>219</v>
      </c>
      <c r="H177" s="2"/>
      <c r="I177" s="2"/>
      <c r="J177" s="2"/>
      <c r="K177" s="2"/>
      <c r="L177" s="57"/>
    </row>
    <row r="178" spans="1:12">
      <c r="A178" s="13"/>
      <c r="B178" s="169" t="s">
        <v>203</v>
      </c>
      <c r="C178" s="165"/>
      <c r="D178" s="165"/>
      <c r="E178" s="165"/>
      <c r="F178" s="165"/>
      <c r="G178" s="165"/>
      <c r="H178" s="154"/>
      <c r="I178" s="154"/>
      <c r="J178" s="154"/>
      <c r="K178" s="154"/>
      <c r="L178" s="172"/>
    </row>
    <row r="179" spans="1:12">
      <c r="A179" s="13"/>
      <c r="B179" s="169" t="s">
        <v>204</v>
      </c>
      <c r="C179" s="165"/>
      <c r="D179" s="165"/>
      <c r="E179" s="165"/>
      <c r="F179" s="165"/>
      <c r="G179" s="165"/>
      <c r="H179" s="154"/>
      <c r="I179" s="154"/>
      <c r="J179" s="155"/>
      <c r="K179" s="154"/>
      <c r="L179" s="172"/>
    </row>
    <row r="180" spans="1:12" ht="45">
      <c r="A180" s="61"/>
      <c r="B180" s="62" t="s">
        <v>207</v>
      </c>
      <c r="C180" s="63"/>
      <c r="D180" s="182"/>
      <c r="E180" s="160" t="s">
        <v>209</v>
      </c>
      <c r="F180" s="45"/>
      <c r="G180" s="908" t="s">
        <v>208</v>
      </c>
      <c r="H180" s="909"/>
      <c r="I180" s="159" t="s">
        <v>205</v>
      </c>
      <c r="J180" s="162" t="s">
        <v>210</v>
      </c>
      <c r="K180" s="908" t="s">
        <v>206</v>
      </c>
      <c r="L180" s="910"/>
    </row>
    <row r="181" spans="1:12">
      <c r="A181" s="61"/>
      <c r="B181" s="163">
        <v>1</v>
      </c>
      <c r="C181" s="63"/>
      <c r="D181" s="63"/>
      <c r="E181" s="166">
        <v>2</v>
      </c>
      <c r="F181" s="67"/>
      <c r="G181" s="166">
        <v>3</v>
      </c>
      <c r="H181" s="182"/>
      <c r="I181" s="182">
        <v>4</v>
      </c>
      <c r="J181" s="85">
        <v>5</v>
      </c>
      <c r="K181" s="69"/>
      <c r="L181" s="70">
        <v>6</v>
      </c>
    </row>
    <row r="182" spans="1:12">
      <c r="A182" s="61"/>
      <c r="B182" s="62" t="e">
        <f>'BOM 04 22Master'!#REF!</f>
        <v>#REF!</v>
      </c>
      <c r="C182" s="178"/>
      <c r="D182" s="179"/>
      <c r="E182" s="180" t="s">
        <v>369</v>
      </c>
      <c r="F182" s="179"/>
      <c r="G182" s="180" t="s">
        <v>367</v>
      </c>
      <c r="H182" s="45"/>
      <c r="I182" s="11" t="s">
        <v>370</v>
      </c>
      <c r="J182" s="279">
        <v>1</v>
      </c>
      <c r="K182" s="181" t="s">
        <v>37</v>
      </c>
      <c r="L182" s="186"/>
    </row>
    <row r="183" spans="1:12">
      <c r="A183" s="61"/>
      <c r="B183" s="62"/>
      <c r="C183" s="178"/>
      <c r="D183" s="179"/>
      <c r="E183" s="180"/>
      <c r="F183" s="179"/>
      <c r="G183" s="180"/>
      <c r="H183" s="45"/>
      <c r="I183" s="11"/>
      <c r="J183" s="11"/>
      <c r="K183" s="181"/>
      <c r="L183" s="186"/>
    </row>
    <row r="184" spans="1:12">
      <c r="A184" s="61"/>
      <c r="B184" s="62"/>
      <c r="C184" s="178"/>
      <c r="D184" s="179"/>
      <c r="E184" s="180"/>
      <c r="F184" s="179"/>
      <c r="G184" s="180"/>
      <c r="H184" s="45"/>
      <c r="I184" s="11"/>
      <c r="J184" s="11"/>
      <c r="K184" s="181"/>
      <c r="L184" s="186"/>
    </row>
    <row r="185" spans="1:12">
      <c r="A185" s="61"/>
      <c r="B185" s="48"/>
      <c r="C185" s="17"/>
      <c r="D185" s="49"/>
      <c r="E185" s="180"/>
      <c r="F185" s="179"/>
      <c r="G185" s="180"/>
      <c r="H185" s="45"/>
      <c r="I185" s="11"/>
      <c r="J185" s="11"/>
      <c r="K185" s="181"/>
      <c r="L185" s="186"/>
    </row>
    <row r="186" spans="1:12">
      <c r="A186" s="61"/>
      <c r="B186" t="s">
        <v>211</v>
      </c>
      <c r="L186" s="14"/>
    </row>
    <row r="187" spans="1:12">
      <c r="A187" s="13"/>
      <c r="B187" t="s">
        <v>212</v>
      </c>
      <c r="L187" s="14"/>
    </row>
    <row r="188" spans="1:12">
      <c r="A188" s="13"/>
      <c r="B188" t="s">
        <v>223</v>
      </c>
      <c r="J188" t="s">
        <v>222</v>
      </c>
      <c r="L188" s="14"/>
    </row>
    <row r="189" spans="1:12">
      <c r="A189" s="13"/>
      <c r="G189" s="2" t="s">
        <v>220</v>
      </c>
      <c r="H189" s="2"/>
      <c r="I189" s="2"/>
      <c r="J189" s="2"/>
      <c r="K189" s="2"/>
      <c r="L189" s="57"/>
    </row>
    <row r="190" spans="1:12">
      <c r="A190" s="13"/>
      <c r="B190" s="2"/>
      <c r="G190" t="s">
        <v>221</v>
      </c>
      <c r="H190" s="2"/>
      <c r="I190" s="2"/>
      <c r="J190" s="2"/>
      <c r="K190" s="2"/>
      <c r="L190" s="57"/>
    </row>
    <row r="191" spans="1:12">
      <c r="A191" s="13"/>
      <c r="B191" s="169" t="s">
        <v>224</v>
      </c>
      <c r="C191" s="165"/>
      <c r="D191" s="165"/>
      <c r="E191" s="165"/>
      <c r="F191" s="165"/>
      <c r="G191" s="165"/>
      <c r="H191" s="154"/>
      <c r="I191" s="154"/>
      <c r="J191" s="154"/>
      <c r="K191" s="154"/>
      <c r="L191" s="172"/>
    </row>
    <row r="192" spans="1:12">
      <c r="A192" s="13"/>
      <c r="B192" s="169" t="s">
        <v>225</v>
      </c>
      <c r="C192" s="165"/>
      <c r="D192" s="165"/>
      <c r="E192" s="165"/>
      <c r="F192" s="165"/>
      <c r="G192" s="165"/>
      <c r="H192" s="154"/>
      <c r="I192" s="154"/>
      <c r="J192" s="155"/>
      <c r="K192" s="154"/>
      <c r="L192" s="172"/>
    </row>
    <row r="193" spans="1:12">
      <c r="A193" s="13"/>
      <c r="B193" s="62" t="s">
        <v>5</v>
      </c>
      <c r="C193" s="920" t="s">
        <v>226</v>
      </c>
      <c r="D193" s="779"/>
      <c r="E193" s="779"/>
      <c r="F193" s="779"/>
      <c r="G193" s="779"/>
      <c r="H193" s="780"/>
      <c r="I193" s="161" t="s">
        <v>105</v>
      </c>
      <c r="J193" s="921" t="s">
        <v>227</v>
      </c>
      <c r="K193" s="922"/>
      <c r="L193" s="923"/>
    </row>
    <row r="194" spans="1:12">
      <c r="A194" s="13"/>
      <c r="B194" s="163">
        <v>1</v>
      </c>
      <c r="C194" s="197"/>
      <c r="D194" s="66"/>
      <c r="E194" s="72">
        <v>2</v>
      </c>
      <c r="F194" s="44"/>
      <c r="G194" s="919"/>
      <c r="H194" s="909"/>
      <c r="I194" s="66">
        <v>3</v>
      </c>
      <c r="J194" s="184" t="s">
        <v>228</v>
      </c>
      <c r="K194" s="924">
        <v>4</v>
      </c>
      <c r="L194" s="925"/>
    </row>
    <row r="195" spans="1:12">
      <c r="A195" s="13"/>
      <c r="B195" s="62"/>
      <c r="C195" s="197"/>
      <c r="D195" s="66"/>
      <c r="E195" s="72"/>
      <c r="F195" s="44"/>
      <c r="G195" s="919"/>
      <c r="H195" s="909"/>
      <c r="I195" s="181"/>
      <c r="J195" s="183"/>
      <c r="K195" s="919"/>
      <c r="L195" s="910"/>
    </row>
    <row r="196" spans="1:12">
      <c r="A196" s="13"/>
      <c r="B196" s="62"/>
      <c r="C196" s="197"/>
      <c r="D196" s="66"/>
      <c r="E196" s="72"/>
      <c r="F196" s="44"/>
      <c r="G196" s="919"/>
      <c r="H196" s="909"/>
      <c r="I196" s="181"/>
      <c r="J196" s="183"/>
      <c r="K196" s="919"/>
      <c r="L196" s="910"/>
    </row>
    <row r="197" spans="1:12">
      <c r="A197" s="13"/>
      <c r="B197" s="62"/>
      <c r="C197" s="197"/>
      <c r="D197" s="66"/>
      <c r="E197" s="72"/>
      <c r="F197" s="44"/>
      <c r="G197" s="919"/>
      <c r="H197" s="909"/>
      <c r="I197" s="181"/>
      <c r="J197" s="183"/>
      <c r="K197" s="919"/>
      <c r="L197" s="910"/>
    </row>
    <row r="198" spans="1:12">
      <c r="A198" s="13"/>
      <c r="B198" s="48"/>
      <c r="C198" s="197"/>
      <c r="D198" s="66"/>
      <c r="E198" s="72"/>
      <c r="F198" s="44"/>
      <c r="G198" s="919"/>
      <c r="H198" s="909"/>
      <c r="I198" s="181"/>
      <c r="J198" s="183"/>
      <c r="K198" s="919"/>
      <c r="L198" s="910"/>
    </row>
    <row r="199" spans="1:12">
      <c r="A199" s="13"/>
      <c r="B199" t="s">
        <v>232</v>
      </c>
      <c r="L199" s="14"/>
    </row>
    <row r="200" spans="1:12">
      <c r="A200" s="13"/>
      <c r="B200" t="s">
        <v>233</v>
      </c>
      <c r="L200" s="14"/>
    </row>
    <row r="201" spans="1:12">
      <c r="A201" s="13"/>
      <c r="B201" t="s">
        <v>234</v>
      </c>
      <c r="L201" s="14"/>
    </row>
    <row r="202" spans="1:12">
      <c r="A202" s="13"/>
      <c r="B202" t="s">
        <v>235</v>
      </c>
      <c r="L202" s="14"/>
    </row>
    <row r="203" spans="1:12">
      <c r="A203" s="13"/>
      <c r="B203" s="180" t="s">
        <v>229</v>
      </c>
      <c r="C203" s="44"/>
      <c r="D203" s="44"/>
      <c r="E203" s="44"/>
      <c r="F203" s="45"/>
      <c r="G203" s="180" t="s">
        <v>205</v>
      </c>
      <c r="H203" s="45"/>
      <c r="I203" s="180" t="s">
        <v>230</v>
      </c>
      <c r="J203" s="44"/>
      <c r="K203" s="45"/>
      <c r="L203" s="14"/>
    </row>
    <row r="204" spans="1:12">
      <c r="A204" s="13"/>
      <c r="B204" s="911"/>
      <c r="C204" s="918"/>
      <c r="D204" s="918"/>
      <c r="E204" s="918"/>
      <c r="F204" s="917"/>
      <c r="G204" s="911"/>
      <c r="H204" s="917"/>
      <c r="I204" s="911"/>
      <c r="J204" s="918"/>
      <c r="K204" s="917"/>
      <c r="L204" s="14"/>
    </row>
    <row r="205" spans="1:12">
      <c r="A205" s="13"/>
      <c r="B205" s="911"/>
      <c r="C205" s="918"/>
      <c r="D205" s="918"/>
      <c r="E205" s="918"/>
      <c r="F205" s="917"/>
      <c r="G205" s="911"/>
      <c r="H205" s="917"/>
      <c r="I205" s="911"/>
      <c r="J205" s="918"/>
      <c r="K205" s="917"/>
      <c r="L205" s="14"/>
    </row>
    <row r="206" spans="1:12">
      <c r="A206" s="13"/>
      <c r="B206" s="911"/>
      <c r="C206" s="918"/>
      <c r="D206" s="918"/>
      <c r="E206" s="918"/>
      <c r="F206" s="917"/>
      <c r="G206" s="911"/>
      <c r="H206" s="917"/>
      <c r="I206" s="911"/>
      <c r="J206" s="918"/>
      <c r="K206" s="917"/>
      <c r="L206" s="14"/>
    </row>
    <row r="207" spans="1:12" ht="27.95" customHeight="1">
      <c r="A207" s="13"/>
      <c r="B207" s="911"/>
      <c r="C207" s="918"/>
      <c r="D207" s="918"/>
      <c r="E207" s="918"/>
      <c r="F207" s="917"/>
      <c r="G207" s="911"/>
      <c r="H207" s="917"/>
      <c r="I207" s="911"/>
      <c r="J207" s="918"/>
      <c r="K207" s="917"/>
      <c r="L207" s="14"/>
    </row>
    <row r="208" spans="1:12" ht="27.95" customHeight="1">
      <c r="A208" s="13"/>
      <c r="L208" s="14"/>
    </row>
    <row r="209" spans="1:12" ht="27.95" customHeight="1">
      <c r="A209" s="13"/>
      <c r="B209" t="s">
        <v>202</v>
      </c>
      <c r="C209" s="278" t="e">
        <f>'BOM 04 22Master'!#REF!</f>
        <v>#REF!</v>
      </c>
      <c r="I209" t="s">
        <v>231</v>
      </c>
      <c r="L209" s="14"/>
    </row>
    <row r="210" spans="1:12" ht="27.95" customHeight="1">
      <c r="A210" s="13"/>
      <c r="F210" s="168" t="s">
        <v>197</v>
      </c>
      <c r="L210" s="14"/>
    </row>
    <row r="211" spans="1:12" ht="27.95" customHeight="1">
      <c r="A211" s="13" t="s">
        <v>198</v>
      </c>
      <c r="K211" s="218" t="e">
        <f>'BOM 04 22Master'!#REF!</f>
        <v>#REF!</v>
      </c>
      <c r="L211" s="14"/>
    </row>
    <row r="212" spans="1:12" ht="27.95" customHeight="1">
      <c r="A212" s="13" t="s">
        <v>199</v>
      </c>
      <c r="L212" s="14"/>
    </row>
    <row r="213" spans="1:12" ht="27.95" customHeight="1">
      <c r="A213" s="13"/>
      <c r="L213" s="14"/>
    </row>
    <row r="214" spans="1:12" ht="27.95" customHeight="1">
      <c r="A214" s="13"/>
      <c r="F214" t="s">
        <v>200</v>
      </c>
      <c r="L214" s="14"/>
    </row>
    <row r="215" spans="1:12" ht="27.95" customHeight="1">
      <c r="A215" s="13" t="s">
        <v>201</v>
      </c>
      <c r="B215" t="s">
        <v>365</v>
      </c>
      <c r="F215" t="str">
        <f>'BOM 04 22Master'!F5</f>
        <v>Burgeon IT Services Pvt.Ltd.</v>
      </c>
      <c r="L215" s="14"/>
    </row>
    <row r="216" spans="1:12" ht="27.95" customHeight="1" thickBot="1">
      <c r="A216" s="25" t="s">
        <v>202</v>
      </c>
      <c r="B216" s="281" t="e">
        <f>'BOM 04 22Master'!#REF!</f>
        <v>#REF!</v>
      </c>
      <c r="C216" s="23"/>
      <c r="D216" s="23"/>
      <c r="E216" s="23"/>
      <c r="F216" s="23" t="str">
        <f>'BOM 04 22Master'!F6</f>
        <v>Siri Mansion LIGB 436 Dr.A S Rao Nagar,Hyderabad</v>
      </c>
      <c r="G216" s="23"/>
      <c r="H216" s="23"/>
      <c r="I216" s="23"/>
      <c r="J216" s="23"/>
      <c r="K216" s="23"/>
      <c r="L216" s="24"/>
    </row>
    <row r="217" spans="1:12" ht="27.95" customHeight="1">
      <c r="A217" s="50"/>
      <c r="B217" s="51"/>
      <c r="C217" s="51"/>
      <c r="D217" s="173"/>
      <c r="E217" s="173"/>
      <c r="F217" s="173"/>
      <c r="G217" s="173"/>
      <c r="H217" s="173"/>
      <c r="I217" s="173"/>
      <c r="J217" s="51"/>
      <c r="K217" s="175" t="s">
        <v>216</v>
      </c>
      <c r="L217" s="174"/>
    </row>
    <row r="218" spans="1:12" ht="27.95" customHeight="1">
      <c r="A218" s="13"/>
      <c r="B218" s="926" t="s">
        <v>215</v>
      </c>
      <c r="C218" s="926"/>
      <c r="D218" s="926"/>
      <c r="E218" s="926"/>
      <c r="F218" s="926"/>
      <c r="G218" s="926"/>
      <c r="H218" s="926"/>
      <c r="I218" s="926"/>
      <c r="J218" s="926"/>
      <c r="K218" s="926"/>
      <c r="L218" s="927"/>
    </row>
    <row r="219" spans="1:12" ht="27.95" customHeight="1">
      <c r="A219" s="13"/>
      <c r="B219" s="904" t="s">
        <v>217</v>
      </c>
      <c r="C219" s="904"/>
      <c r="D219" s="904"/>
      <c r="E219" s="904"/>
      <c r="F219" s="904"/>
      <c r="G219" s="904"/>
      <c r="H219" s="904"/>
      <c r="I219" s="904"/>
      <c r="J219" s="904"/>
      <c r="K219" s="904"/>
      <c r="L219" s="928"/>
    </row>
    <row r="220" spans="1:12" ht="27.95" customHeight="1">
      <c r="A220" s="13"/>
      <c r="B220" s="176" t="s">
        <v>218</v>
      </c>
      <c r="C220" s="176"/>
      <c r="D220" s="176"/>
      <c r="E220" s="176"/>
      <c r="F220" s="176"/>
      <c r="H220" s="177"/>
      <c r="I220" s="177"/>
      <c r="J220" s="177"/>
      <c r="K220" s="177"/>
      <c r="L220" s="185"/>
    </row>
    <row r="221" spans="1:12" ht="27.95" customHeight="1">
      <c r="A221" s="13"/>
      <c r="B221" s="176"/>
      <c r="C221" s="176"/>
      <c r="D221" s="176"/>
      <c r="E221" s="176"/>
      <c r="F221" s="176"/>
      <c r="H221" s="177"/>
      <c r="I221" s="177"/>
      <c r="J221" s="177"/>
      <c r="K221" s="177"/>
      <c r="L221" s="185"/>
    </row>
    <row r="222" spans="1:12" ht="27.95" customHeight="1">
      <c r="A222" s="13"/>
      <c r="B222" s="742" t="s">
        <v>188</v>
      </c>
      <c r="C222" s="742"/>
      <c r="D222" s="742"/>
      <c r="E222" s="742"/>
      <c r="F222" s="742"/>
      <c r="G222" s="742"/>
      <c r="H222" s="743" t="e">
        <f>'BOM 04 22Master'!#REF!</f>
        <v>#REF!</v>
      </c>
      <c r="I222" s="744"/>
      <c r="J222" s="744"/>
      <c r="K222" s="744"/>
      <c r="L222" s="745"/>
    </row>
    <row r="223" spans="1:12" ht="27.95" customHeight="1">
      <c r="A223" s="13"/>
      <c r="B223" s="755" t="s">
        <v>189</v>
      </c>
      <c r="C223" s="755"/>
      <c r="D223" s="755"/>
      <c r="E223" s="755"/>
      <c r="F223" s="755"/>
      <c r="G223" s="755"/>
      <c r="H223" s="743" t="e">
        <f>'BOM 04 22Master'!#REF!</f>
        <v>#REF!</v>
      </c>
      <c r="I223" s="744"/>
      <c r="J223" s="744"/>
      <c r="K223" s="744"/>
      <c r="L223" s="745"/>
    </row>
    <row r="224" spans="1:12" ht="27.95" customHeight="1">
      <c r="A224" s="13"/>
      <c r="B224" s="742" t="s">
        <v>190</v>
      </c>
      <c r="C224" s="742"/>
      <c r="D224" s="742"/>
      <c r="E224" s="742"/>
      <c r="F224" s="742"/>
      <c r="G224" s="742"/>
      <c r="H224" s="743" t="e">
        <f>'BOM 04 22Master'!#REF!</f>
        <v>#REF!</v>
      </c>
      <c r="I224" s="744"/>
      <c r="J224" s="744"/>
      <c r="K224" s="744"/>
      <c r="L224" s="745"/>
    </row>
    <row r="225" spans="1:12">
      <c r="A225" s="13"/>
      <c r="B225" s="742" t="s">
        <v>191</v>
      </c>
      <c r="C225" s="742"/>
      <c r="D225" s="742"/>
      <c r="E225" s="742"/>
      <c r="F225" s="742"/>
      <c r="G225" s="742"/>
      <c r="H225" s="916" t="e">
        <f>'BOM 04 22Master'!#REF!</f>
        <v>#REF!</v>
      </c>
      <c r="I225" s="744"/>
      <c r="J225" s="744"/>
      <c r="K225" s="744"/>
      <c r="L225" s="745"/>
    </row>
    <row r="226" spans="1:12">
      <c r="A226" s="13"/>
      <c r="B226" s="62" t="s">
        <v>192</v>
      </c>
      <c r="C226" s="63"/>
      <c r="D226" s="63"/>
      <c r="E226" s="63"/>
      <c r="F226" s="63"/>
      <c r="G226" s="63"/>
      <c r="H226" s="913" t="s">
        <v>193</v>
      </c>
      <c r="I226" s="914"/>
      <c r="J226" s="914"/>
      <c r="K226" s="914"/>
      <c r="L226" s="915"/>
    </row>
    <row r="227" spans="1:12">
      <c r="A227" s="13"/>
      <c r="B227" s="62" t="s">
        <v>194</v>
      </c>
      <c r="C227" s="63"/>
      <c r="D227" s="63"/>
      <c r="E227" s="63"/>
      <c r="F227" s="63"/>
      <c r="G227" s="63"/>
      <c r="H227" s="64"/>
      <c r="I227" s="66"/>
      <c r="J227" s="167"/>
      <c r="K227" s="66"/>
      <c r="L227" s="71"/>
    </row>
    <row r="228" spans="1:12">
      <c r="A228" s="13"/>
      <c r="B228" s="749" t="s">
        <v>195</v>
      </c>
      <c r="C228" s="749"/>
      <c r="D228" s="749"/>
      <c r="E228" s="749"/>
      <c r="F228" s="749"/>
      <c r="G228" s="749"/>
      <c r="H228" s="750" t="e">
        <f>'BOM 04 22Master'!#REF!</f>
        <v>#REF!</v>
      </c>
      <c r="I228" s="751"/>
      <c r="J228" s="751"/>
      <c r="K228" s="751"/>
      <c r="L228" s="752"/>
    </row>
    <row r="229" spans="1:12">
      <c r="A229" s="13"/>
      <c r="B229" s="742"/>
      <c r="C229" s="742"/>
      <c r="D229" s="742"/>
      <c r="E229" s="742"/>
      <c r="F229" s="742"/>
      <c r="G229" s="742"/>
      <c r="H229" s="766" t="e">
        <f>'BOM 04 22Master'!#REF!</f>
        <v>#REF!</v>
      </c>
      <c r="I229" s="744"/>
      <c r="J229" s="744"/>
      <c r="K229" s="744"/>
      <c r="L229" s="745"/>
    </row>
    <row r="230" spans="1:12">
      <c r="A230" s="13"/>
      <c r="B230" s="742"/>
      <c r="C230" s="742"/>
      <c r="D230" s="742"/>
      <c r="E230" s="742"/>
      <c r="F230" s="742"/>
      <c r="G230" s="742"/>
      <c r="H230" s="743" t="e">
        <f>'BOM 04 22Master'!#REF!</f>
        <v>#REF!</v>
      </c>
      <c r="I230" s="744"/>
      <c r="J230" s="744"/>
      <c r="K230" s="744"/>
      <c r="L230" s="745"/>
    </row>
    <row r="231" spans="1:12">
      <c r="A231" s="13"/>
      <c r="G231" s="2" t="s">
        <v>219</v>
      </c>
      <c r="H231" s="2"/>
      <c r="I231" s="2"/>
      <c r="J231" s="2"/>
      <c r="K231" s="2"/>
      <c r="L231" s="57"/>
    </row>
    <row r="232" spans="1:12">
      <c r="A232" s="13"/>
      <c r="B232" s="169" t="s">
        <v>203</v>
      </c>
      <c r="C232" s="165"/>
      <c r="D232" s="165"/>
      <c r="E232" s="165"/>
      <c r="F232" s="165"/>
      <c r="G232" s="165"/>
      <c r="H232" s="154"/>
      <c r="I232" s="154"/>
      <c r="J232" s="154"/>
      <c r="K232" s="154"/>
      <c r="L232" s="172"/>
    </row>
    <row r="233" spans="1:12">
      <c r="A233" s="13"/>
      <c r="B233" s="169" t="s">
        <v>204</v>
      </c>
      <c r="C233" s="165"/>
      <c r="D233" s="165"/>
      <c r="E233" s="165"/>
      <c r="F233" s="165"/>
      <c r="G233" s="165"/>
      <c r="H233" s="154"/>
      <c r="I233" s="154"/>
      <c r="J233" s="155"/>
      <c r="K233" s="154"/>
      <c r="L233" s="172"/>
    </row>
    <row r="234" spans="1:12" ht="45">
      <c r="A234" s="61"/>
      <c r="B234" s="62" t="s">
        <v>207</v>
      </c>
      <c r="C234" s="63"/>
      <c r="D234" s="182"/>
      <c r="E234" s="160" t="s">
        <v>209</v>
      </c>
      <c r="F234" s="45"/>
      <c r="G234" s="908" t="s">
        <v>208</v>
      </c>
      <c r="H234" s="909"/>
      <c r="I234" s="159" t="s">
        <v>205</v>
      </c>
      <c r="J234" s="162" t="s">
        <v>210</v>
      </c>
      <c r="K234" s="908" t="s">
        <v>206</v>
      </c>
      <c r="L234" s="910"/>
    </row>
    <row r="235" spans="1:12">
      <c r="A235" s="61"/>
      <c r="B235" s="163">
        <v>1</v>
      </c>
      <c r="C235" s="63"/>
      <c r="D235" s="63"/>
      <c r="E235" s="166">
        <v>2</v>
      </c>
      <c r="F235" s="67"/>
      <c r="G235" s="166">
        <v>3</v>
      </c>
      <c r="H235" s="182"/>
      <c r="I235" s="182">
        <v>4</v>
      </c>
      <c r="J235" s="85">
        <v>5</v>
      </c>
      <c r="K235" s="69"/>
      <c r="L235" s="70">
        <v>6</v>
      </c>
    </row>
    <row r="236" spans="1:12">
      <c r="A236" s="61"/>
      <c r="B236" s="62" t="e">
        <f>'BOM 04 22Master'!#REF!</f>
        <v>#REF!</v>
      </c>
      <c r="C236" s="178"/>
      <c r="D236" s="179"/>
      <c r="E236" s="180" t="s">
        <v>369</v>
      </c>
      <c r="F236" s="179"/>
      <c r="G236" s="180" t="s">
        <v>367</v>
      </c>
      <c r="H236" s="45"/>
      <c r="I236" s="11" t="s">
        <v>370</v>
      </c>
      <c r="J236" s="279">
        <v>1</v>
      </c>
      <c r="K236" s="181" t="s">
        <v>37</v>
      </c>
      <c r="L236" s="186"/>
    </row>
    <row r="237" spans="1:12">
      <c r="A237" s="61"/>
      <c r="B237" s="62"/>
      <c r="C237" s="178"/>
      <c r="D237" s="179"/>
      <c r="E237" s="180"/>
      <c r="F237" s="179"/>
      <c r="G237" s="180"/>
      <c r="H237" s="45"/>
      <c r="I237" s="11"/>
      <c r="J237" s="11"/>
      <c r="K237" s="181"/>
      <c r="L237" s="186"/>
    </row>
    <row r="238" spans="1:12">
      <c r="A238" s="61"/>
      <c r="B238" s="62"/>
      <c r="C238" s="178"/>
      <c r="D238" s="179"/>
      <c r="E238" s="180"/>
      <c r="F238" s="179"/>
      <c r="G238" s="180"/>
      <c r="H238" s="45"/>
      <c r="I238" s="11"/>
      <c r="J238" s="11"/>
      <c r="K238" s="181"/>
      <c r="L238" s="186"/>
    </row>
    <row r="239" spans="1:12">
      <c r="A239" s="61"/>
      <c r="B239" s="48"/>
      <c r="C239" s="17"/>
      <c r="D239" s="49"/>
      <c r="E239" s="180"/>
      <c r="F239" s="179"/>
      <c r="G239" s="180"/>
      <c r="H239" s="45"/>
      <c r="I239" s="11"/>
      <c r="J239" s="11"/>
      <c r="K239" s="181"/>
      <c r="L239" s="186"/>
    </row>
    <row r="240" spans="1:12">
      <c r="A240" s="61"/>
      <c r="B240" t="s">
        <v>211</v>
      </c>
      <c r="L240" s="14"/>
    </row>
    <row r="241" spans="1:12">
      <c r="A241" s="13"/>
      <c r="B241" t="s">
        <v>212</v>
      </c>
      <c r="L241" s="14"/>
    </row>
    <row r="242" spans="1:12">
      <c r="A242" s="13"/>
      <c r="B242" t="s">
        <v>223</v>
      </c>
      <c r="J242" t="s">
        <v>222</v>
      </c>
      <c r="L242" s="14"/>
    </row>
    <row r="243" spans="1:12">
      <c r="A243" s="13"/>
      <c r="G243" s="2" t="s">
        <v>220</v>
      </c>
      <c r="H243" s="2"/>
      <c r="I243" s="2"/>
      <c r="J243" s="2"/>
      <c r="K243" s="2"/>
      <c r="L243" s="57"/>
    </row>
    <row r="244" spans="1:12">
      <c r="A244" s="13"/>
      <c r="B244" s="2"/>
      <c r="G244" t="s">
        <v>221</v>
      </c>
      <c r="H244" s="2"/>
      <c r="I244" s="2"/>
      <c r="J244" s="2"/>
      <c r="K244" s="2"/>
      <c r="L244" s="57"/>
    </row>
    <row r="245" spans="1:12">
      <c r="A245" s="13"/>
      <c r="B245" s="169" t="s">
        <v>224</v>
      </c>
      <c r="C245" s="165"/>
      <c r="D245" s="165"/>
      <c r="E245" s="165"/>
      <c r="F245" s="165"/>
      <c r="G245" s="165"/>
      <c r="H245" s="154"/>
      <c r="I245" s="154"/>
      <c r="J245" s="154"/>
      <c r="K245" s="154"/>
      <c r="L245" s="172"/>
    </row>
    <row r="246" spans="1:12">
      <c r="A246" s="13"/>
      <c r="B246" s="169" t="s">
        <v>225</v>
      </c>
      <c r="C246" s="165"/>
      <c r="D246" s="165"/>
      <c r="E246" s="165"/>
      <c r="F246" s="165"/>
      <c r="G246" s="165"/>
      <c r="H246" s="154"/>
      <c r="I246" s="154"/>
      <c r="J246" s="155"/>
      <c r="K246" s="154"/>
      <c r="L246" s="172"/>
    </row>
    <row r="247" spans="1:12">
      <c r="A247" s="13"/>
      <c r="B247" s="62" t="s">
        <v>5</v>
      </c>
      <c r="C247" s="920" t="s">
        <v>226</v>
      </c>
      <c r="D247" s="779"/>
      <c r="E247" s="779"/>
      <c r="F247" s="779"/>
      <c r="G247" s="779"/>
      <c r="H247" s="780"/>
      <c r="I247" s="161" t="s">
        <v>105</v>
      </c>
      <c r="J247" s="921" t="s">
        <v>227</v>
      </c>
      <c r="K247" s="922"/>
      <c r="L247" s="923"/>
    </row>
    <row r="248" spans="1:12">
      <c r="A248" s="13"/>
      <c r="B248" s="163">
        <v>1</v>
      </c>
      <c r="C248" s="197"/>
      <c r="D248" s="66"/>
      <c r="E248" s="72">
        <v>2</v>
      </c>
      <c r="F248" s="44"/>
      <c r="G248" s="919"/>
      <c r="H248" s="909"/>
      <c r="I248" s="66">
        <v>3</v>
      </c>
      <c r="J248" s="184" t="s">
        <v>228</v>
      </c>
      <c r="K248" s="924">
        <v>4</v>
      </c>
      <c r="L248" s="925"/>
    </row>
    <row r="249" spans="1:12">
      <c r="A249" s="13"/>
      <c r="B249" s="62"/>
      <c r="C249" s="197"/>
      <c r="D249" s="66"/>
      <c r="E249" s="72"/>
      <c r="F249" s="44"/>
      <c r="G249" s="919"/>
      <c r="H249" s="909"/>
      <c r="I249" s="181"/>
      <c r="J249" s="183"/>
      <c r="K249" s="919"/>
      <c r="L249" s="910"/>
    </row>
    <row r="250" spans="1:12">
      <c r="A250" s="13"/>
      <c r="B250" s="62"/>
      <c r="C250" s="197"/>
      <c r="D250" s="66"/>
      <c r="E250" s="72"/>
      <c r="F250" s="44"/>
      <c r="G250" s="919"/>
      <c r="H250" s="909"/>
      <c r="I250" s="181"/>
      <c r="J250" s="183"/>
      <c r="K250" s="919"/>
      <c r="L250" s="910"/>
    </row>
    <row r="251" spans="1:12">
      <c r="A251" s="13"/>
      <c r="B251" s="62"/>
      <c r="C251" s="197"/>
      <c r="D251" s="66"/>
      <c r="E251" s="72"/>
      <c r="F251" s="44"/>
      <c r="G251" s="919"/>
      <c r="H251" s="909"/>
      <c r="I251" s="181"/>
      <c r="J251" s="183"/>
      <c r="K251" s="919"/>
      <c r="L251" s="910"/>
    </row>
    <row r="252" spans="1:12">
      <c r="A252" s="13"/>
      <c r="B252" s="48"/>
      <c r="C252" s="197"/>
      <c r="D252" s="66"/>
      <c r="E252" s="72"/>
      <c r="F252" s="44"/>
      <c r="G252" s="919"/>
      <c r="H252" s="909"/>
      <c r="I252" s="181"/>
      <c r="J252" s="183"/>
      <c r="K252" s="919"/>
      <c r="L252" s="910"/>
    </row>
    <row r="253" spans="1:12">
      <c r="A253" s="13"/>
      <c r="B253" t="s">
        <v>232</v>
      </c>
      <c r="L253" s="14"/>
    </row>
    <row r="254" spans="1:12">
      <c r="A254" s="13"/>
      <c r="B254" t="s">
        <v>233</v>
      </c>
      <c r="L254" s="14"/>
    </row>
    <row r="255" spans="1:12">
      <c r="A255" s="13"/>
      <c r="B255" t="s">
        <v>234</v>
      </c>
      <c r="L255" s="14"/>
    </row>
    <row r="256" spans="1:12">
      <c r="A256" s="13"/>
      <c r="B256" t="s">
        <v>235</v>
      </c>
      <c r="L256" s="14"/>
    </row>
    <row r="257" spans="1:12">
      <c r="A257" s="13"/>
      <c r="B257" s="180" t="s">
        <v>229</v>
      </c>
      <c r="C257" s="44"/>
      <c r="D257" s="44"/>
      <c r="E257" s="44"/>
      <c r="F257" s="45"/>
      <c r="G257" s="180" t="s">
        <v>205</v>
      </c>
      <c r="H257" s="45"/>
      <c r="I257" s="180" t="s">
        <v>230</v>
      </c>
      <c r="J257" s="44"/>
      <c r="K257" s="45"/>
      <c r="L257" s="14"/>
    </row>
    <row r="258" spans="1:12">
      <c r="A258" s="13"/>
      <c r="B258" s="911"/>
      <c r="C258" s="918"/>
      <c r="D258" s="918"/>
      <c r="E258" s="918"/>
      <c r="F258" s="917"/>
      <c r="G258" s="911"/>
      <c r="H258" s="917"/>
      <c r="I258" s="911"/>
      <c r="J258" s="918"/>
      <c r="K258" s="917"/>
      <c r="L258" s="14"/>
    </row>
    <row r="259" spans="1:12">
      <c r="A259" s="13"/>
      <c r="B259" s="911"/>
      <c r="C259" s="918"/>
      <c r="D259" s="918"/>
      <c r="E259" s="918"/>
      <c r="F259" s="917"/>
      <c r="G259" s="911"/>
      <c r="H259" s="917"/>
      <c r="I259" s="911"/>
      <c r="J259" s="918"/>
      <c r="K259" s="917"/>
      <c r="L259" s="14"/>
    </row>
    <row r="260" spans="1:12" ht="27.95" customHeight="1">
      <c r="A260" s="13"/>
      <c r="B260" s="911"/>
      <c r="C260" s="918"/>
      <c r="D260" s="918"/>
      <c r="E260" s="918"/>
      <c r="F260" s="917"/>
      <c r="G260" s="911"/>
      <c r="H260" s="917"/>
      <c r="I260" s="911"/>
      <c r="J260" s="918"/>
      <c r="K260" s="917"/>
      <c r="L260" s="14"/>
    </row>
    <row r="261" spans="1:12" ht="27.95" customHeight="1">
      <c r="A261" s="13"/>
      <c r="B261" s="911"/>
      <c r="C261" s="918"/>
      <c r="D261" s="918"/>
      <c r="E261" s="918"/>
      <c r="F261" s="917"/>
      <c r="G261" s="911"/>
      <c r="H261" s="917"/>
      <c r="I261" s="911"/>
      <c r="J261" s="918"/>
      <c r="K261" s="917"/>
      <c r="L261" s="14"/>
    </row>
    <row r="262" spans="1:12" ht="27.95" customHeight="1">
      <c r="A262" s="13"/>
      <c r="L262" s="14"/>
    </row>
    <row r="263" spans="1:12" ht="27.95" customHeight="1">
      <c r="A263" s="13"/>
      <c r="B263" t="s">
        <v>202</v>
      </c>
      <c r="C263" s="278" t="e">
        <f>'BOM 04 22Master'!#REF!</f>
        <v>#REF!</v>
      </c>
      <c r="I263" t="s">
        <v>231</v>
      </c>
      <c r="L263" s="14"/>
    </row>
    <row r="264" spans="1:12" ht="27.95" customHeight="1">
      <c r="A264" s="13"/>
      <c r="F264" s="168" t="s">
        <v>197</v>
      </c>
      <c r="L264" s="14"/>
    </row>
    <row r="265" spans="1:12" ht="27.95" customHeight="1">
      <c r="A265" s="13" t="s">
        <v>198</v>
      </c>
      <c r="K265" s="218" t="e">
        <f>'BOM 04 22Master'!#REF!</f>
        <v>#REF!</v>
      </c>
      <c r="L265" s="14"/>
    </row>
    <row r="266" spans="1:12" ht="27.95" customHeight="1">
      <c r="A266" s="13" t="s">
        <v>199</v>
      </c>
      <c r="L266" s="14"/>
    </row>
    <row r="267" spans="1:12" ht="27.95" customHeight="1">
      <c r="A267" s="13"/>
      <c r="L267" s="14"/>
    </row>
    <row r="268" spans="1:12" ht="27.95" customHeight="1">
      <c r="A268" s="13"/>
      <c r="F268" t="s">
        <v>200</v>
      </c>
      <c r="L268" s="14"/>
    </row>
    <row r="269" spans="1:12" ht="27.95" customHeight="1">
      <c r="A269" s="13" t="s">
        <v>201</v>
      </c>
      <c r="B269" t="s">
        <v>365</v>
      </c>
      <c r="F269" s="238" t="str">
        <f>'BOM 04 22Master'!F5</f>
        <v>Burgeon IT Services Pvt.Ltd.</v>
      </c>
      <c r="L269" s="14"/>
    </row>
    <row r="270" spans="1:12" ht="27.95" customHeight="1" thickBot="1">
      <c r="A270" s="25" t="s">
        <v>202</v>
      </c>
      <c r="B270" s="281" t="e">
        <f>'BOM 04 22Master'!#REF!</f>
        <v>#REF!</v>
      </c>
      <c r="C270" s="23"/>
      <c r="D270" s="23"/>
      <c r="E270" s="23"/>
      <c r="F270" s="23" t="str">
        <f>'BOM 04 22Master'!F6</f>
        <v>Siri Mansion LIGB 436 Dr.A S Rao Nagar,Hyderabad</v>
      </c>
      <c r="G270" s="23"/>
      <c r="H270" s="23"/>
      <c r="I270" s="23"/>
      <c r="J270" s="23"/>
      <c r="K270" s="23"/>
      <c r="L270" s="24"/>
    </row>
    <row r="271" spans="1:12" ht="27.95" customHeight="1">
      <c r="A271" s="50"/>
      <c r="B271" s="51"/>
      <c r="C271" s="51"/>
      <c r="D271" s="173"/>
      <c r="E271" s="173"/>
      <c r="F271" s="173"/>
      <c r="G271" s="173"/>
      <c r="H271" s="173"/>
      <c r="I271" s="173"/>
      <c r="J271" s="51"/>
      <c r="K271" s="175" t="s">
        <v>216</v>
      </c>
      <c r="L271" s="174"/>
    </row>
    <row r="272" spans="1:12" ht="27.95" customHeight="1">
      <c r="A272" s="13"/>
      <c r="B272" s="926" t="s">
        <v>215</v>
      </c>
      <c r="C272" s="926"/>
      <c r="D272" s="926"/>
      <c r="E272" s="926"/>
      <c r="F272" s="926"/>
      <c r="G272" s="926"/>
      <c r="H272" s="926"/>
      <c r="I272" s="926"/>
      <c r="J272" s="926"/>
      <c r="K272" s="926"/>
      <c r="L272" s="927"/>
    </row>
    <row r="273" spans="1:12" ht="27.95" customHeight="1">
      <c r="A273" s="13"/>
      <c r="B273" s="904" t="s">
        <v>217</v>
      </c>
      <c r="C273" s="904"/>
      <c r="D273" s="904"/>
      <c r="E273" s="904"/>
      <c r="F273" s="904"/>
      <c r="G273" s="904"/>
      <c r="H273" s="904"/>
      <c r="I273" s="904"/>
      <c r="J273" s="904"/>
      <c r="K273" s="904"/>
      <c r="L273" s="928"/>
    </row>
    <row r="274" spans="1:12" ht="27.95" customHeight="1">
      <c r="A274" s="13"/>
      <c r="B274" s="176" t="s">
        <v>218</v>
      </c>
      <c r="C274" s="176"/>
      <c r="D274" s="176"/>
      <c r="E274" s="176"/>
      <c r="F274" s="176"/>
      <c r="H274" s="177"/>
      <c r="I274" s="177"/>
      <c r="J274" s="177"/>
      <c r="K274" s="177"/>
      <c r="L274" s="185"/>
    </row>
    <row r="275" spans="1:12" ht="27.95" customHeight="1">
      <c r="A275" s="13"/>
      <c r="B275" s="742" t="s">
        <v>188</v>
      </c>
      <c r="C275" s="742"/>
      <c r="D275" s="742"/>
      <c r="E275" s="742"/>
      <c r="F275" s="742"/>
      <c r="G275" s="742"/>
      <c r="H275" s="743" t="e">
        <f>'BOM 04 22Master'!#REF!</f>
        <v>#REF!</v>
      </c>
      <c r="I275" s="744"/>
      <c r="J275" s="744"/>
      <c r="K275" s="744"/>
      <c r="L275" s="745"/>
    </row>
    <row r="276" spans="1:12" ht="27.95" customHeight="1">
      <c r="A276" s="13"/>
      <c r="B276" s="755" t="s">
        <v>189</v>
      </c>
      <c r="C276" s="755"/>
      <c r="D276" s="755"/>
      <c r="E276" s="755"/>
      <c r="F276" s="755"/>
      <c r="G276" s="755"/>
      <c r="H276" s="743" t="e">
        <f>'BOM 04 22Master'!#REF!</f>
        <v>#REF!</v>
      </c>
      <c r="I276" s="744"/>
      <c r="J276" s="744"/>
      <c r="K276" s="744"/>
      <c r="L276" s="745"/>
    </row>
    <row r="277" spans="1:12">
      <c r="A277" s="13"/>
      <c r="B277" s="742" t="s">
        <v>190</v>
      </c>
      <c r="C277" s="742"/>
      <c r="D277" s="742"/>
      <c r="E277" s="742"/>
      <c r="F277" s="742"/>
      <c r="G277" s="742"/>
      <c r="H277" s="743" t="e">
        <f>'BOM 04 22Master'!#REF!</f>
        <v>#REF!</v>
      </c>
      <c r="I277" s="744"/>
      <c r="J277" s="744"/>
      <c r="K277" s="744"/>
      <c r="L277" s="745"/>
    </row>
    <row r="278" spans="1:12">
      <c r="A278" s="13"/>
      <c r="B278" s="742" t="s">
        <v>191</v>
      </c>
      <c r="C278" s="742"/>
      <c r="D278" s="742"/>
      <c r="E278" s="742"/>
      <c r="F278" s="742"/>
      <c r="G278" s="742"/>
      <c r="H278" s="916" t="e">
        <f>'BOM 04 22Master'!#REF!</f>
        <v>#REF!</v>
      </c>
      <c r="I278" s="744"/>
      <c r="J278" s="744"/>
      <c r="K278" s="744"/>
      <c r="L278" s="745"/>
    </row>
    <row r="279" spans="1:12">
      <c r="A279" s="13"/>
      <c r="B279" s="62" t="s">
        <v>192</v>
      </c>
      <c r="C279" s="63"/>
      <c r="D279" s="63"/>
      <c r="E279" s="63"/>
      <c r="F279" s="63"/>
      <c r="G279" s="63"/>
      <c r="H279" s="913" t="s">
        <v>193</v>
      </c>
      <c r="I279" s="914"/>
      <c r="J279" s="914"/>
      <c r="K279" s="914"/>
      <c r="L279" s="915"/>
    </row>
    <row r="280" spans="1:12">
      <c r="A280" s="13"/>
      <c r="B280" s="62" t="s">
        <v>194</v>
      </c>
      <c r="C280" s="63"/>
      <c r="D280" s="63"/>
      <c r="E280" s="63"/>
      <c r="F280" s="63"/>
      <c r="G280" s="63"/>
      <c r="H280" s="64"/>
      <c r="I280" s="66"/>
      <c r="J280" s="167"/>
      <c r="K280" s="66"/>
      <c r="L280" s="71"/>
    </row>
    <row r="281" spans="1:12">
      <c r="A281" s="13"/>
      <c r="B281" s="749" t="s">
        <v>195</v>
      </c>
      <c r="C281" s="749"/>
      <c r="D281" s="749"/>
      <c r="E281" s="749"/>
      <c r="F281" s="749"/>
      <c r="G281" s="749"/>
      <c r="H281" s="750" t="e">
        <f>'BOM 04 22Master'!#REF!</f>
        <v>#REF!</v>
      </c>
      <c r="I281" s="751"/>
      <c r="J281" s="751"/>
      <c r="K281" s="751"/>
      <c r="L281" s="752"/>
    </row>
    <row r="282" spans="1:12">
      <c r="A282" s="13"/>
      <c r="B282" s="742"/>
      <c r="C282" s="742"/>
      <c r="D282" s="742"/>
      <c r="E282" s="742"/>
      <c r="F282" s="742"/>
      <c r="G282" s="742"/>
      <c r="H282" s="766" t="e">
        <f>'BOM 04 22Master'!#REF!</f>
        <v>#REF!</v>
      </c>
      <c r="I282" s="744"/>
      <c r="J282" s="744"/>
      <c r="K282" s="744"/>
      <c r="L282" s="745"/>
    </row>
    <row r="283" spans="1:12">
      <c r="A283" s="13"/>
      <c r="B283" s="742"/>
      <c r="C283" s="742"/>
      <c r="D283" s="742"/>
      <c r="E283" s="742"/>
      <c r="F283" s="742"/>
      <c r="G283" s="742"/>
      <c r="H283" s="743" t="e">
        <f>'BOM 04 22Master'!#REF!</f>
        <v>#REF!</v>
      </c>
      <c r="I283" s="744"/>
      <c r="J283" s="744"/>
      <c r="K283" s="744"/>
      <c r="L283" s="745"/>
    </row>
    <row r="284" spans="1:12">
      <c r="A284" s="13"/>
      <c r="G284" s="2" t="s">
        <v>219</v>
      </c>
      <c r="H284" s="2"/>
      <c r="I284" s="2"/>
      <c r="J284" s="2"/>
      <c r="K284" s="2"/>
      <c r="L284" s="57"/>
    </row>
    <row r="285" spans="1:12">
      <c r="A285" s="13"/>
      <c r="B285" s="169" t="s">
        <v>203</v>
      </c>
      <c r="C285" s="165"/>
      <c r="D285" s="165"/>
      <c r="E285" s="165"/>
      <c r="F285" s="165"/>
      <c r="G285" s="165"/>
      <c r="H285" s="154"/>
      <c r="I285" s="154"/>
      <c r="J285" s="154"/>
      <c r="K285" s="154"/>
      <c r="L285" s="172"/>
    </row>
    <row r="286" spans="1:12">
      <c r="A286" s="13"/>
      <c r="B286" s="169" t="s">
        <v>204</v>
      </c>
      <c r="C286" s="165"/>
      <c r="D286" s="165"/>
      <c r="E286" s="165"/>
      <c r="F286" s="165"/>
      <c r="G286" s="165"/>
      <c r="H286" s="154"/>
      <c r="I286" s="154"/>
      <c r="J286" s="155"/>
      <c r="K286" s="154"/>
      <c r="L286" s="172"/>
    </row>
    <row r="287" spans="1:12" ht="45">
      <c r="A287" s="61"/>
      <c r="B287" s="62" t="s">
        <v>207</v>
      </c>
      <c r="C287" s="63"/>
      <c r="D287" s="182"/>
      <c r="E287" s="160" t="s">
        <v>209</v>
      </c>
      <c r="F287" s="45"/>
      <c r="G287" s="908" t="s">
        <v>208</v>
      </c>
      <c r="H287" s="909"/>
      <c r="I287" s="159" t="s">
        <v>205</v>
      </c>
      <c r="J287" s="162" t="s">
        <v>210</v>
      </c>
      <c r="K287" s="908" t="s">
        <v>206</v>
      </c>
      <c r="L287" s="910"/>
    </row>
    <row r="288" spans="1:12">
      <c r="A288" s="61"/>
      <c r="B288" s="163">
        <v>1</v>
      </c>
      <c r="C288" s="63"/>
      <c r="D288" s="63"/>
      <c r="E288" s="166">
        <v>2</v>
      </c>
      <c r="F288" s="67"/>
      <c r="G288" s="166">
        <v>3</v>
      </c>
      <c r="H288" s="182"/>
      <c r="I288" s="182">
        <v>4</v>
      </c>
      <c r="J288" s="85">
        <v>5</v>
      </c>
      <c r="K288" s="69"/>
      <c r="L288" s="70">
        <v>6</v>
      </c>
    </row>
    <row r="289" spans="1:12">
      <c r="A289" s="61"/>
      <c r="B289" s="62" t="e">
        <f>'BOM 04 22Master'!#REF!</f>
        <v>#REF!</v>
      </c>
      <c r="C289" s="178"/>
      <c r="D289" s="179"/>
      <c r="E289" s="180" t="s">
        <v>369</v>
      </c>
      <c r="F289" s="179"/>
      <c r="G289" s="180" t="s">
        <v>367</v>
      </c>
      <c r="H289" s="45"/>
      <c r="I289" s="11" t="s">
        <v>370</v>
      </c>
      <c r="J289" s="279">
        <v>1</v>
      </c>
      <c r="K289" s="181" t="s">
        <v>37</v>
      </c>
      <c r="L289" s="186"/>
    </row>
    <row r="290" spans="1:12">
      <c r="A290" s="61"/>
      <c r="B290" s="62"/>
      <c r="C290" s="178"/>
      <c r="D290" s="179"/>
      <c r="E290" s="180"/>
      <c r="F290" s="179"/>
      <c r="G290" s="180"/>
      <c r="H290" s="45"/>
      <c r="I290" s="11"/>
      <c r="J290" s="11"/>
      <c r="K290" s="181"/>
      <c r="L290" s="186"/>
    </row>
    <row r="291" spans="1:12">
      <c r="A291" s="61"/>
      <c r="B291" s="62"/>
      <c r="C291" s="178"/>
      <c r="D291" s="179"/>
      <c r="E291" s="180"/>
      <c r="F291" s="179"/>
      <c r="G291" s="180"/>
      <c r="H291" s="45"/>
      <c r="I291" s="11"/>
      <c r="J291" s="11"/>
      <c r="K291" s="181"/>
      <c r="L291" s="186"/>
    </row>
    <row r="292" spans="1:12">
      <c r="A292" s="61"/>
      <c r="B292" s="48"/>
      <c r="C292" s="17"/>
      <c r="D292" s="49"/>
      <c r="E292" s="180"/>
      <c r="F292" s="179"/>
      <c r="G292" s="180"/>
      <c r="H292" s="45"/>
      <c r="I292" s="11"/>
      <c r="J292" s="11"/>
      <c r="K292" s="181"/>
      <c r="L292" s="186"/>
    </row>
    <row r="293" spans="1:12">
      <c r="A293" s="61"/>
      <c r="B293" t="s">
        <v>211</v>
      </c>
      <c r="L293" s="14"/>
    </row>
    <row r="294" spans="1:12">
      <c r="A294" s="13"/>
      <c r="B294" t="s">
        <v>212</v>
      </c>
      <c r="L294" s="14"/>
    </row>
    <row r="295" spans="1:12">
      <c r="A295" s="13"/>
      <c r="B295" t="s">
        <v>223</v>
      </c>
      <c r="J295" t="s">
        <v>222</v>
      </c>
      <c r="L295" s="14"/>
    </row>
    <row r="296" spans="1:12">
      <c r="A296" s="13"/>
      <c r="G296" s="2" t="s">
        <v>220</v>
      </c>
      <c r="H296" s="2"/>
      <c r="I296" s="2"/>
      <c r="J296" s="2"/>
      <c r="K296" s="2"/>
      <c r="L296" s="57"/>
    </row>
    <row r="297" spans="1:12">
      <c r="A297" s="13"/>
      <c r="B297" s="2"/>
      <c r="G297" t="s">
        <v>221</v>
      </c>
      <c r="H297" s="2"/>
      <c r="I297" s="2"/>
      <c r="J297" s="2"/>
      <c r="K297" s="2"/>
      <c r="L297" s="57"/>
    </row>
    <row r="298" spans="1:12">
      <c r="A298" s="13"/>
      <c r="B298" s="169" t="s">
        <v>224</v>
      </c>
      <c r="C298" s="165"/>
      <c r="D298" s="165"/>
      <c r="E298" s="165"/>
      <c r="F298" s="165"/>
      <c r="G298" s="165"/>
      <c r="H298" s="154"/>
      <c r="I298" s="154"/>
      <c r="J298" s="154"/>
      <c r="K298" s="154"/>
      <c r="L298" s="172"/>
    </row>
    <row r="299" spans="1:12">
      <c r="A299" s="13"/>
      <c r="B299" s="169" t="s">
        <v>225</v>
      </c>
      <c r="C299" s="165"/>
      <c r="D299" s="165"/>
      <c r="E299" s="165"/>
      <c r="F299" s="165"/>
      <c r="G299" s="165"/>
      <c r="H299" s="154"/>
      <c r="I299" s="154"/>
      <c r="J299" s="155"/>
      <c r="K299" s="154"/>
      <c r="L299" s="172"/>
    </row>
    <row r="300" spans="1:12">
      <c r="A300" s="13"/>
      <c r="B300" s="62" t="s">
        <v>5</v>
      </c>
      <c r="C300" s="920" t="s">
        <v>226</v>
      </c>
      <c r="D300" s="779"/>
      <c r="E300" s="779"/>
      <c r="F300" s="779"/>
      <c r="G300" s="779"/>
      <c r="H300" s="780"/>
      <c r="I300" s="161" t="s">
        <v>105</v>
      </c>
      <c r="J300" s="921" t="s">
        <v>227</v>
      </c>
      <c r="K300" s="922"/>
      <c r="L300" s="923"/>
    </row>
    <row r="301" spans="1:12">
      <c r="A301" s="13"/>
      <c r="B301" s="163">
        <v>1</v>
      </c>
      <c r="C301" s="197"/>
      <c r="D301" s="66"/>
      <c r="E301" s="72">
        <v>2</v>
      </c>
      <c r="F301" s="44"/>
      <c r="G301" s="919"/>
      <c r="H301" s="909"/>
      <c r="I301" s="66">
        <v>3</v>
      </c>
      <c r="J301" s="184" t="s">
        <v>228</v>
      </c>
      <c r="K301" s="924">
        <v>4</v>
      </c>
      <c r="L301" s="925"/>
    </row>
    <row r="302" spans="1:12">
      <c r="A302" s="13"/>
      <c r="B302" s="62"/>
      <c r="C302" s="197"/>
      <c r="D302" s="66"/>
      <c r="E302" s="72"/>
      <c r="F302" s="44"/>
      <c r="G302" s="919"/>
      <c r="H302" s="909"/>
      <c r="I302" s="181"/>
      <c r="J302" s="183"/>
      <c r="K302" s="919"/>
      <c r="L302" s="910"/>
    </row>
    <row r="303" spans="1:12">
      <c r="A303" s="13"/>
      <c r="B303" s="62"/>
      <c r="C303" s="197"/>
      <c r="D303" s="66"/>
      <c r="E303" s="72"/>
      <c r="F303" s="44"/>
      <c r="G303" s="919"/>
      <c r="H303" s="909"/>
      <c r="I303" s="181"/>
      <c r="J303" s="183"/>
      <c r="K303" s="919"/>
      <c r="L303" s="910"/>
    </row>
    <row r="304" spans="1:12">
      <c r="A304" s="13"/>
      <c r="B304" s="62"/>
      <c r="C304" s="197"/>
      <c r="D304" s="66"/>
      <c r="E304" s="72"/>
      <c r="F304" s="44"/>
      <c r="G304" s="919"/>
      <c r="H304" s="909"/>
      <c r="I304" s="181"/>
      <c r="J304" s="183"/>
      <c r="K304" s="919"/>
      <c r="L304" s="910"/>
    </row>
    <row r="305" spans="1:12">
      <c r="A305" s="13"/>
      <c r="B305" s="48"/>
      <c r="C305" s="197"/>
      <c r="D305" s="66"/>
      <c r="E305" s="72"/>
      <c r="F305" s="44"/>
      <c r="G305" s="919"/>
      <c r="H305" s="909"/>
      <c r="I305" s="181"/>
      <c r="J305" s="183"/>
      <c r="K305" s="919"/>
      <c r="L305" s="910"/>
    </row>
    <row r="306" spans="1:12">
      <c r="A306" s="13"/>
      <c r="B306" t="s">
        <v>232</v>
      </c>
      <c r="L306" s="14"/>
    </row>
    <row r="307" spans="1:12">
      <c r="A307" s="13"/>
      <c r="B307" t="s">
        <v>233</v>
      </c>
      <c r="L307" s="14"/>
    </row>
    <row r="308" spans="1:12">
      <c r="A308" s="13"/>
      <c r="B308" t="s">
        <v>234</v>
      </c>
      <c r="L308" s="14"/>
    </row>
    <row r="309" spans="1:12">
      <c r="A309" s="13"/>
      <c r="B309" t="s">
        <v>235</v>
      </c>
      <c r="L309" s="14"/>
    </row>
    <row r="310" spans="1:12">
      <c r="A310" s="13"/>
      <c r="B310" s="180" t="s">
        <v>229</v>
      </c>
      <c r="C310" s="44"/>
      <c r="D310" s="44"/>
      <c r="E310" s="44"/>
      <c r="F310" s="45"/>
      <c r="G310" s="180" t="s">
        <v>205</v>
      </c>
      <c r="H310" s="45"/>
      <c r="I310" s="180" t="s">
        <v>230</v>
      </c>
      <c r="J310" s="44"/>
      <c r="K310" s="45"/>
      <c r="L310" s="14"/>
    </row>
    <row r="311" spans="1:12">
      <c r="A311" s="13"/>
      <c r="B311" s="911"/>
      <c r="C311" s="918"/>
      <c r="D311" s="918"/>
      <c r="E311" s="918"/>
      <c r="F311" s="917"/>
      <c r="G311" s="911"/>
      <c r="H311" s="917"/>
      <c r="I311" s="911"/>
      <c r="J311" s="918"/>
      <c r="K311" s="917"/>
      <c r="L311" s="14"/>
    </row>
    <row r="312" spans="1:12" ht="27.95" customHeight="1">
      <c r="A312" s="13"/>
      <c r="B312" s="911"/>
      <c r="C312" s="918"/>
      <c r="D312" s="918"/>
      <c r="E312" s="918"/>
      <c r="F312" s="917"/>
      <c r="G312" s="911"/>
      <c r="H312" s="917"/>
      <c r="I312" s="911"/>
      <c r="J312" s="918"/>
      <c r="K312" s="917"/>
      <c r="L312" s="14"/>
    </row>
    <row r="313" spans="1:12" ht="27.95" customHeight="1">
      <c r="A313" s="13"/>
      <c r="B313" s="911"/>
      <c r="C313" s="918"/>
      <c r="D313" s="918"/>
      <c r="E313" s="918"/>
      <c r="F313" s="917"/>
      <c r="G313" s="911"/>
      <c r="H313" s="917"/>
      <c r="I313" s="911"/>
      <c r="J313" s="918"/>
      <c r="K313" s="917"/>
      <c r="L313" s="14"/>
    </row>
    <row r="314" spans="1:12" ht="27.95" customHeight="1">
      <c r="A314" s="13"/>
      <c r="B314" s="911"/>
      <c r="C314" s="918"/>
      <c r="D314" s="918"/>
      <c r="E314" s="918"/>
      <c r="F314" s="917"/>
      <c r="G314" s="911"/>
      <c r="H314" s="917"/>
      <c r="I314" s="911"/>
      <c r="J314" s="918"/>
      <c r="K314" s="917"/>
      <c r="L314" s="14"/>
    </row>
    <row r="315" spans="1:12" ht="27.95" customHeight="1">
      <c r="A315" s="13"/>
      <c r="L315" s="14"/>
    </row>
    <row r="316" spans="1:12" ht="27.95" customHeight="1">
      <c r="A316" s="13"/>
      <c r="B316" t="s">
        <v>202</v>
      </c>
      <c r="C316" s="278" t="e">
        <f>'BOM 04 22Master'!#REF!</f>
        <v>#REF!</v>
      </c>
      <c r="I316" t="s">
        <v>231</v>
      </c>
      <c r="L316" s="14"/>
    </row>
    <row r="317" spans="1:12" ht="27.95" customHeight="1">
      <c r="A317" s="13"/>
      <c r="F317" s="168" t="s">
        <v>197</v>
      </c>
      <c r="L317" s="14"/>
    </row>
    <row r="318" spans="1:12" ht="27.95" customHeight="1">
      <c r="A318" s="13" t="s">
        <v>198</v>
      </c>
      <c r="K318" s="218" t="e">
        <f>'BOM 04 22Master'!#REF!</f>
        <v>#REF!</v>
      </c>
      <c r="L318" s="14"/>
    </row>
    <row r="319" spans="1:12" ht="27.95" customHeight="1">
      <c r="A319" s="13" t="s">
        <v>199</v>
      </c>
      <c r="L319" s="14"/>
    </row>
    <row r="320" spans="1:12" ht="27.95" customHeight="1">
      <c r="A320" s="13"/>
      <c r="L320" s="14"/>
    </row>
    <row r="321" spans="1:12" ht="27.95" customHeight="1">
      <c r="A321" s="13"/>
      <c r="F321" t="s">
        <v>200</v>
      </c>
      <c r="L321" s="14"/>
    </row>
    <row r="322" spans="1:12" ht="27.95" customHeight="1">
      <c r="A322" s="13" t="s">
        <v>201</v>
      </c>
      <c r="B322" t="s">
        <v>365</v>
      </c>
      <c r="F322" t="str">
        <f>'BOM 04 22Master'!F5</f>
        <v>Burgeon IT Services Pvt.Ltd.</v>
      </c>
      <c r="L322" s="14"/>
    </row>
    <row r="323" spans="1:12" ht="27.95" customHeight="1" thickBot="1">
      <c r="A323" s="25" t="s">
        <v>202</v>
      </c>
      <c r="B323" s="281" t="e">
        <f>'BOM 04 22Master'!#REF!</f>
        <v>#REF!</v>
      </c>
      <c r="C323" s="23"/>
      <c r="D323" s="23"/>
      <c r="E323" s="23"/>
      <c r="F323" s="23" t="str">
        <f>'BOM 04 22Master'!F6</f>
        <v>Siri Mansion LIGB 436 Dr.A S Rao Nagar,Hyderabad</v>
      </c>
      <c r="G323" s="23"/>
      <c r="H323" s="23"/>
      <c r="I323" s="23"/>
      <c r="J323" s="23"/>
      <c r="K323" s="23"/>
      <c r="L323" s="24"/>
    </row>
    <row r="324" spans="1:12" ht="27.95" customHeight="1" thickBot="1">
      <c r="A324" s="13"/>
      <c r="B324" s="278"/>
      <c r="L324" s="14"/>
    </row>
    <row r="325" spans="1:12" ht="27.95" customHeight="1">
      <c r="A325" s="50"/>
      <c r="B325" s="51"/>
      <c r="C325" s="51"/>
      <c r="D325" s="173"/>
      <c r="E325" s="173"/>
      <c r="F325" s="173"/>
      <c r="G325" s="173"/>
      <c r="H325" s="173"/>
      <c r="I325" s="173"/>
      <c r="J325" s="51"/>
      <c r="K325" s="175" t="s">
        <v>216</v>
      </c>
      <c r="L325" s="174"/>
    </row>
    <row r="326" spans="1:12" ht="27.95" customHeight="1">
      <c r="A326" s="13"/>
      <c r="B326" s="926" t="s">
        <v>215</v>
      </c>
      <c r="C326" s="926"/>
      <c r="D326" s="926"/>
      <c r="E326" s="926"/>
      <c r="F326" s="926"/>
      <c r="G326" s="926"/>
      <c r="H326" s="926"/>
      <c r="I326" s="926"/>
      <c r="J326" s="926"/>
      <c r="K326" s="926"/>
      <c r="L326" s="927"/>
    </row>
    <row r="327" spans="1:12" ht="27.95" customHeight="1">
      <c r="A327" s="13"/>
      <c r="B327" s="904" t="s">
        <v>217</v>
      </c>
      <c r="C327" s="904"/>
      <c r="D327" s="904"/>
      <c r="E327" s="904"/>
      <c r="F327" s="904"/>
      <c r="G327" s="904"/>
      <c r="H327" s="904"/>
      <c r="I327" s="904"/>
      <c r="J327" s="904"/>
      <c r="K327" s="904"/>
      <c r="L327" s="928"/>
    </row>
    <row r="328" spans="1:12" ht="27.95" customHeight="1">
      <c r="A328" s="13"/>
      <c r="B328" s="176" t="s">
        <v>218</v>
      </c>
      <c r="C328" s="176"/>
      <c r="D328" s="176"/>
      <c r="E328" s="176"/>
      <c r="F328" s="176"/>
      <c r="H328" s="177"/>
      <c r="I328" s="177"/>
      <c r="J328" s="177"/>
      <c r="K328" s="177"/>
      <c r="L328" s="185"/>
    </row>
    <row r="329" spans="1:12" ht="27.95" customHeight="1">
      <c r="A329" s="13"/>
      <c r="B329" s="176"/>
      <c r="C329" s="176"/>
      <c r="D329" s="176"/>
      <c r="E329" s="176"/>
      <c r="F329" s="176"/>
      <c r="H329" s="177"/>
      <c r="I329" s="177"/>
      <c r="J329" s="177"/>
      <c r="K329" s="177"/>
      <c r="L329" s="185"/>
    </row>
    <row r="330" spans="1:12" ht="27.95" customHeight="1">
      <c r="A330" s="13"/>
      <c r="B330" s="742" t="s">
        <v>188</v>
      </c>
      <c r="C330" s="742"/>
      <c r="D330" s="742"/>
      <c r="E330" s="742"/>
      <c r="F330" s="742"/>
      <c r="G330" s="742"/>
      <c r="H330" s="743" t="e">
        <f>'BOM 04 22Master'!#REF!</f>
        <v>#REF!</v>
      </c>
      <c r="I330" s="744"/>
      <c r="J330" s="744"/>
      <c r="K330" s="744"/>
      <c r="L330" s="745"/>
    </row>
    <row r="331" spans="1:12">
      <c r="A331" s="13"/>
      <c r="B331" s="755" t="s">
        <v>189</v>
      </c>
      <c r="C331" s="755"/>
      <c r="D331" s="755"/>
      <c r="E331" s="755"/>
      <c r="F331" s="755"/>
      <c r="G331" s="755"/>
      <c r="H331" s="743" t="e">
        <f>'BOM 04 22Master'!#REF!</f>
        <v>#REF!</v>
      </c>
      <c r="I331" s="744"/>
      <c r="J331" s="744"/>
      <c r="K331" s="744"/>
      <c r="L331" s="745"/>
    </row>
    <row r="332" spans="1:12">
      <c r="A332" s="13"/>
      <c r="B332" s="742" t="s">
        <v>190</v>
      </c>
      <c r="C332" s="742"/>
      <c r="D332" s="742"/>
      <c r="E332" s="742"/>
      <c r="F332" s="742"/>
      <c r="G332" s="742"/>
      <c r="H332" s="743" t="e">
        <f>'BOM 04 22Master'!#REF!</f>
        <v>#REF!</v>
      </c>
      <c r="I332" s="744"/>
      <c r="J332" s="744"/>
      <c r="K332" s="744"/>
      <c r="L332" s="745"/>
    </row>
    <row r="333" spans="1:12">
      <c r="A333" s="13"/>
      <c r="B333" s="742" t="s">
        <v>191</v>
      </c>
      <c r="C333" s="742"/>
      <c r="D333" s="742"/>
      <c r="E333" s="742"/>
      <c r="F333" s="742"/>
      <c r="G333" s="742"/>
      <c r="H333" s="916" t="e">
        <f>'BOM 04 22Master'!#REF!</f>
        <v>#REF!</v>
      </c>
      <c r="I333" s="744"/>
      <c r="J333" s="744"/>
      <c r="K333" s="744"/>
      <c r="L333" s="745"/>
    </row>
    <row r="334" spans="1:12">
      <c r="A334" s="13"/>
      <c r="B334" s="62" t="s">
        <v>192</v>
      </c>
      <c r="C334" s="63"/>
      <c r="D334" s="63"/>
      <c r="E334" s="63"/>
      <c r="F334" s="63"/>
      <c r="G334" s="63"/>
      <c r="H334" s="913" t="s">
        <v>193</v>
      </c>
      <c r="I334" s="914"/>
      <c r="J334" s="914"/>
      <c r="K334" s="914"/>
      <c r="L334" s="915"/>
    </row>
    <row r="335" spans="1:12">
      <c r="A335" s="13"/>
      <c r="B335" s="62" t="s">
        <v>194</v>
      </c>
      <c r="C335" s="63"/>
      <c r="D335" s="63"/>
      <c r="E335" s="63"/>
      <c r="F335" s="63"/>
      <c r="G335" s="63"/>
      <c r="H335" s="64"/>
      <c r="I335" s="66"/>
      <c r="J335" s="167"/>
      <c r="K335" s="66"/>
      <c r="L335" s="71"/>
    </row>
    <row r="336" spans="1:12">
      <c r="A336" s="13"/>
      <c r="B336" s="749" t="s">
        <v>195</v>
      </c>
      <c r="C336" s="749"/>
      <c r="D336" s="749"/>
      <c r="E336" s="749"/>
      <c r="F336" s="749"/>
      <c r="G336" s="749"/>
      <c r="H336" s="750" t="e">
        <f>'BOM 04 22Master'!#REF!</f>
        <v>#REF!</v>
      </c>
      <c r="I336" s="751"/>
      <c r="J336" s="751"/>
      <c r="K336" s="751"/>
      <c r="L336" s="752"/>
    </row>
    <row r="337" spans="1:12">
      <c r="A337" s="13"/>
      <c r="B337" s="742"/>
      <c r="C337" s="742"/>
      <c r="D337" s="742"/>
      <c r="E337" s="742"/>
      <c r="F337" s="742"/>
      <c r="G337" s="742"/>
      <c r="H337" s="766" t="e">
        <f>'BOM 04 22Master'!#REF!</f>
        <v>#REF!</v>
      </c>
      <c r="I337" s="744"/>
      <c r="J337" s="744"/>
      <c r="K337" s="744"/>
      <c r="L337" s="745"/>
    </row>
    <row r="338" spans="1:12">
      <c r="A338" s="13"/>
      <c r="B338" s="742"/>
      <c r="C338" s="742"/>
      <c r="D338" s="742"/>
      <c r="E338" s="742"/>
      <c r="F338" s="742"/>
      <c r="G338" s="742"/>
      <c r="H338" s="743" t="e">
        <f>'BOM 04 22Master'!#REF!</f>
        <v>#REF!</v>
      </c>
      <c r="I338" s="744"/>
      <c r="J338" s="744"/>
      <c r="K338" s="744"/>
      <c r="L338" s="745"/>
    </row>
    <row r="339" spans="1:12">
      <c r="A339" s="13"/>
      <c r="G339" s="2" t="s">
        <v>219</v>
      </c>
      <c r="H339" s="2"/>
      <c r="I339" s="2"/>
      <c r="J339" s="2"/>
      <c r="K339" s="2"/>
      <c r="L339" s="57"/>
    </row>
    <row r="340" spans="1:12">
      <c r="A340" s="13"/>
      <c r="B340" s="169" t="s">
        <v>203</v>
      </c>
      <c r="C340" s="165"/>
      <c r="D340" s="165"/>
      <c r="E340" s="165"/>
      <c r="F340" s="165"/>
      <c r="G340" s="165"/>
      <c r="H340" s="154"/>
      <c r="I340" s="154"/>
      <c r="J340" s="154"/>
      <c r="K340" s="154"/>
      <c r="L340" s="172"/>
    </row>
    <row r="341" spans="1:12">
      <c r="A341" s="13"/>
      <c r="B341" s="169" t="s">
        <v>204</v>
      </c>
      <c r="C341" s="165"/>
      <c r="D341" s="165"/>
      <c r="E341" s="165"/>
      <c r="F341" s="165"/>
      <c r="G341" s="165"/>
      <c r="H341" s="154"/>
      <c r="I341" s="154"/>
      <c r="J341" s="155"/>
      <c r="K341" s="154"/>
      <c r="L341" s="172"/>
    </row>
    <row r="342" spans="1:12" ht="45">
      <c r="A342" s="61"/>
      <c r="B342" s="62" t="s">
        <v>207</v>
      </c>
      <c r="C342" s="63"/>
      <c r="D342" s="182"/>
      <c r="E342" s="160" t="s">
        <v>209</v>
      </c>
      <c r="F342" s="45"/>
      <c r="G342" s="908" t="s">
        <v>208</v>
      </c>
      <c r="H342" s="909"/>
      <c r="I342" s="159" t="s">
        <v>205</v>
      </c>
      <c r="J342" s="162" t="s">
        <v>210</v>
      </c>
      <c r="K342" s="908" t="s">
        <v>206</v>
      </c>
      <c r="L342" s="910"/>
    </row>
    <row r="343" spans="1:12">
      <c r="A343" s="61"/>
      <c r="B343" s="163">
        <v>1</v>
      </c>
      <c r="C343" s="63"/>
      <c r="D343" s="63"/>
      <c r="E343" s="166">
        <v>2</v>
      </c>
      <c r="F343" s="67"/>
      <c r="G343" s="166">
        <v>3</v>
      </c>
      <c r="H343" s="182"/>
      <c r="I343" s="182">
        <v>4</v>
      </c>
      <c r="J343" s="85">
        <v>5</v>
      </c>
      <c r="K343" s="69"/>
      <c r="L343" s="70">
        <v>6</v>
      </c>
    </row>
    <row r="344" spans="1:12">
      <c r="A344" s="61"/>
      <c r="B344" s="62" t="e">
        <f>'BOM 04 22Master'!#REF!</f>
        <v>#REF!</v>
      </c>
      <c r="C344" s="178"/>
      <c r="D344" s="179"/>
      <c r="E344" s="180" t="s">
        <v>369</v>
      </c>
      <c r="F344" s="179"/>
      <c r="G344" s="180" t="s">
        <v>367</v>
      </c>
      <c r="H344" s="45"/>
      <c r="I344" s="11" t="s">
        <v>370</v>
      </c>
      <c r="J344" s="279">
        <v>1</v>
      </c>
      <c r="K344" s="181" t="s">
        <v>37</v>
      </c>
      <c r="L344" s="186"/>
    </row>
    <row r="345" spans="1:12">
      <c r="A345" s="61"/>
      <c r="B345" s="62"/>
      <c r="C345" s="178"/>
      <c r="D345" s="179"/>
      <c r="E345" s="180"/>
      <c r="F345" s="179"/>
      <c r="G345" s="180"/>
      <c r="H345" s="45"/>
      <c r="I345" s="11"/>
      <c r="J345" s="11"/>
      <c r="K345" s="181"/>
      <c r="L345" s="186"/>
    </row>
    <row r="346" spans="1:12">
      <c r="A346" s="61"/>
      <c r="B346" s="62"/>
      <c r="C346" s="178"/>
      <c r="D346" s="179"/>
      <c r="E346" s="180"/>
      <c r="F346" s="179"/>
      <c r="G346" s="180"/>
      <c r="H346" s="45"/>
      <c r="I346" s="11"/>
      <c r="J346" s="11"/>
      <c r="K346" s="181"/>
      <c r="L346" s="186"/>
    </row>
    <row r="347" spans="1:12">
      <c r="A347" s="61"/>
      <c r="B347" s="48"/>
      <c r="C347" s="17"/>
      <c r="D347" s="49"/>
      <c r="E347" s="180"/>
      <c r="F347" s="179"/>
      <c r="G347" s="180"/>
      <c r="H347" s="45"/>
      <c r="I347" s="11"/>
      <c r="J347" s="11"/>
      <c r="K347" s="181"/>
      <c r="L347" s="186"/>
    </row>
    <row r="348" spans="1:12">
      <c r="A348" s="61"/>
      <c r="B348" t="s">
        <v>211</v>
      </c>
      <c r="L348" s="14"/>
    </row>
    <row r="349" spans="1:12">
      <c r="A349" s="13"/>
      <c r="B349" t="s">
        <v>212</v>
      </c>
      <c r="L349" s="14"/>
    </row>
    <row r="350" spans="1:12">
      <c r="A350" s="13"/>
      <c r="B350" t="s">
        <v>223</v>
      </c>
      <c r="J350" t="s">
        <v>222</v>
      </c>
      <c r="L350" s="14"/>
    </row>
    <row r="351" spans="1:12">
      <c r="A351" s="13"/>
      <c r="G351" s="2" t="s">
        <v>220</v>
      </c>
      <c r="H351" s="2"/>
      <c r="I351" s="2"/>
      <c r="J351" s="2"/>
      <c r="K351" s="2"/>
      <c r="L351" s="57"/>
    </row>
    <row r="352" spans="1:12">
      <c r="A352" s="13"/>
      <c r="B352" s="2"/>
      <c r="G352" t="s">
        <v>221</v>
      </c>
      <c r="H352" s="2"/>
      <c r="I352" s="2"/>
      <c r="J352" s="2"/>
      <c r="K352" s="2"/>
      <c r="L352" s="57"/>
    </row>
    <row r="353" spans="1:12">
      <c r="A353" s="13"/>
      <c r="B353" s="169" t="s">
        <v>224</v>
      </c>
      <c r="C353" s="165"/>
      <c r="D353" s="165"/>
      <c r="E353" s="165"/>
      <c r="F353" s="165"/>
      <c r="G353" s="165"/>
      <c r="H353" s="154"/>
      <c r="I353" s="154"/>
      <c r="J353" s="154"/>
      <c r="K353" s="154"/>
      <c r="L353" s="172"/>
    </row>
    <row r="354" spans="1:12">
      <c r="A354" s="13"/>
      <c r="B354" s="169" t="s">
        <v>225</v>
      </c>
      <c r="C354" s="165"/>
      <c r="D354" s="165"/>
      <c r="E354" s="165"/>
      <c r="F354" s="165"/>
      <c r="G354" s="165"/>
      <c r="H354" s="154"/>
      <c r="I354" s="154"/>
      <c r="J354" s="155"/>
      <c r="K354" s="154"/>
      <c r="L354" s="172"/>
    </row>
    <row r="355" spans="1:12">
      <c r="A355" s="13"/>
      <c r="B355" s="62" t="s">
        <v>5</v>
      </c>
      <c r="C355" s="920" t="s">
        <v>226</v>
      </c>
      <c r="D355" s="779"/>
      <c r="E355" s="779"/>
      <c r="F355" s="779"/>
      <c r="G355" s="779"/>
      <c r="H355" s="780"/>
      <c r="I355" s="161" t="s">
        <v>105</v>
      </c>
      <c r="J355" s="921" t="s">
        <v>227</v>
      </c>
      <c r="K355" s="922"/>
      <c r="L355" s="923"/>
    </row>
    <row r="356" spans="1:12">
      <c r="A356" s="13"/>
      <c r="B356" s="163">
        <v>1</v>
      </c>
      <c r="C356" s="197"/>
      <c r="D356" s="66"/>
      <c r="E356" s="72">
        <v>2</v>
      </c>
      <c r="F356" s="44"/>
      <c r="G356" s="919"/>
      <c r="H356" s="909"/>
      <c r="I356" s="66">
        <v>3</v>
      </c>
      <c r="J356" s="184" t="s">
        <v>228</v>
      </c>
      <c r="K356" s="924">
        <v>4</v>
      </c>
      <c r="L356" s="925"/>
    </row>
    <row r="357" spans="1:12">
      <c r="A357" s="13"/>
      <c r="B357" s="62"/>
      <c r="C357" s="197"/>
      <c r="D357" s="66"/>
      <c r="E357" s="72"/>
      <c r="F357" s="44"/>
      <c r="G357" s="919"/>
      <c r="H357" s="909"/>
      <c r="I357" s="181"/>
      <c r="J357" s="183"/>
      <c r="K357" s="919"/>
      <c r="L357" s="910"/>
    </row>
    <row r="358" spans="1:12">
      <c r="A358" s="13"/>
      <c r="B358" s="62"/>
      <c r="C358" s="197"/>
      <c r="D358" s="66"/>
      <c r="E358" s="72"/>
      <c r="F358" s="44"/>
      <c r="G358" s="919"/>
      <c r="H358" s="909"/>
      <c r="I358" s="181"/>
      <c r="J358" s="183"/>
      <c r="K358" s="919"/>
      <c r="L358" s="910"/>
    </row>
    <row r="359" spans="1:12">
      <c r="A359" s="13"/>
      <c r="B359" s="62"/>
      <c r="C359" s="197"/>
      <c r="D359" s="66"/>
      <c r="E359" s="72"/>
      <c r="F359" s="44"/>
      <c r="G359" s="919"/>
      <c r="H359" s="909"/>
      <c r="I359" s="181"/>
      <c r="J359" s="183"/>
      <c r="K359" s="919"/>
      <c r="L359" s="910"/>
    </row>
    <row r="360" spans="1:12">
      <c r="A360" s="13"/>
      <c r="B360" s="48"/>
      <c r="C360" s="197"/>
      <c r="D360" s="66"/>
      <c r="E360" s="72"/>
      <c r="F360" s="44"/>
      <c r="G360" s="919"/>
      <c r="H360" s="909"/>
      <c r="I360" s="181"/>
      <c r="J360" s="183"/>
      <c r="K360" s="919"/>
      <c r="L360" s="910"/>
    </row>
    <row r="361" spans="1:12">
      <c r="A361" s="13"/>
      <c r="B361" t="s">
        <v>232</v>
      </c>
      <c r="L361" s="14"/>
    </row>
    <row r="362" spans="1:12">
      <c r="A362" s="13"/>
      <c r="B362" t="s">
        <v>233</v>
      </c>
      <c r="L362" s="14"/>
    </row>
    <row r="363" spans="1:12">
      <c r="A363" s="13"/>
      <c r="B363" t="s">
        <v>234</v>
      </c>
      <c r="L363" s="14"/>
    </row>
    <row r="364" spans="1:12">
      <c r="A364" s="13"/>
      <c r="B364" t="s">
        <v>235</v>
      </c>
      <c r="L364" s="14"/>
    </row>
    <row r="365" spans="1:12">
      <c r="A365" s="13"/>
      <c r="B365" s="180" t="s">
        <v>229</v>
      </c>
      <c r="C365" s="44"/>
      <c r="D365" s="44"/>
      <c r="E365" s="44"/>
      <c r="F365" s="45"/>
      <c r="G365" s="180" t="s">
        <v>205</v>
      </c>
      <c r="H365" s="45"/>
      <c r="I365" s="180" t="s">
        <v>230</v>
      </c>
      <c r="J365" s="44"/>
      <c r="K365" s="45"/>
      <c r="L365" s="14"/>
    </row>
    <row r="366" spans="1:12" ht="27.95" customHeight="1">
      <c r="A366" s="13"/>
      <c r="B366" s="911"/>
      <c r="C366" s="918"/>
      <c r="D366" s="918"/>
      <c r="E366" s="918"/>
      <c r="F366" s="917"/>
      <c r="G366" s="911"/>
      <c r="H366" s="917"/>
      <c r="I366" s="911"/>
      <c r="J366" s="918"/>
      <c r="K366" s="917"/>
      <c r="L366" s="14"/>
    </row>
    <row r="367" spans="1:12" ht="27.95" customHeight="1">
      <c r="A367" s="13"/>
      <c r="B367" s="911"/>
      <c r="C367" s="918"/>
      <c r="D367" s="918"/>
      <c r="E367" s="918"/>
      <c r="F367" s="917"/>
      <c r="G367" s="911"/>
      <c r="H367" s="917"/>
      <c r="I367" s="911"/>
      <c r="J367" s="918"/>
      <c r="K367" s="917"/>
      <c r="L367" s="14"/>
    </row>
    <row r="368" spans="1:12" ht="27.95" customHeight="1">
      <c r="A368" s="13"/>
      <c r="B368" s="911"/>
      <c r="C368" s="918"/>
      <c r="D368" s="918"/>
      <c r="E368" s="918"/>
      <c r="F368" s="917"/>
      <c r="G368" s="911"/>
      <c r="H368" s="917"/>
      <c r="I368" s="911"/>
      <c r="J368" s="918"/>
      <c r="K368" s="917"/>
      <c r="L368" s="14"/>
    </row>
    <row r="369" spans="1:12" ht="27.95" customHeight="1">
      <c r="A369" s="13"/>
      <c r="B369" s="911"/>
      <c r="C369" s="918"/>
      <c r="D369" s="918"/>
      <c r="E369" s="918"/>
      <c r="F369" s="917"/>
      <c r="G369" s="911"/>
      <c r="H369" s="917"/>
      <c r="I369" s="911"/>
      <c r="J369" s="918"/>
      <c r="K369" s="917"/>
      <c r="L369" s="14"/>
    </row>
    <row r="370" spans="1:12" ht="27.95" customHeight="1">
      <c r="A370" s="13"/>
      <c r="L370" s="14"/>
    </row>
    <row r="371" spans="1:12" ht="27.95" customHeight="1">
      <c r="A371" s="13"/>
      <c r="B371" t="s">
        <v>202</v>
      </c>
      <c r="C371" s="278" t="e">
        <f>'BOM 04 22Master'!#REF!</f>
        <v>#REF!</v>
      </c>
      <c r="I371" t="s">
        <v>231</v>
      </c>
      <c r="L371" s="14"/>
    </row>
    <row r="372" spans="1:12" ht="27.95" customHeight="1">
      <c r="A372" s="13"/>
      <c r="F372" s="168" t="s">
        <v>197</v>
      </c>
      <c r="L372" s="14"/>
    </row>
    <row r="373" spans="1:12" ht="27.95" customHeight="1">
      <c r="A373" s="13" t="s">
        <v>198</v>
      </c>
      <c r="K373" s="218" t="e">
        <f>'BOM 04 22Master'!#REF!</f>
        <v>#REF!</v>
      </c>
      <c r="L373" s="14"/>
    </row>
    <row r="374" spans="1:12" ht="27.95" customHeight="1">
      <c r="A374" s="13" t="s">
        <v>199</v>
      </c>
      <c r="L374" s="14"/>
    </row>
    <row r="375" spans="1:12" ht="27.95" customHeight="1">
      <c r="A375" s="13"/>
      <c r="L375" s="14"/>
    </row>
    <row r="376" spans="1:12" ht="27.95" customHeight="1">
      <c r="A376" s="13"/>
      <c r="F376" t="s">
        <v>200</v>
      </c>
      <c r="L376" s="14"/>
    </row>
    <row r="377" spans="1:12" ht="27.95" customHeight="1">
      <c r="A377" s="13" t="s">
        <v>201</v>
      </c>
      <c r="B377" t="s">
        <v>365</v>
      </c>
      <c r="F377" t="str">
        <f>'BOM 04 22Master'!F5</f>
        <v>Burgeon IT Services Pvt.Ltd.</v>
      </c>
      <c r="L377" s="14"/>
    </row>
    <row r="378" spans="1:12" ht="27.95" customHeight="1" thickBot="1">
      <c r="A378" s="25" t="s">
        <v>202</v>
      </c>
      <c r="B378" s="281" t="e">
        <f>'BOM 04 22Master'!#REF!</f>
        <v>#REF!</v>
      </c>
      <c r="C378" s="23"/>
      <c r="D378" s="23"/>
      <c r="E378" s="23"/>
      <c r="F378" s="23" t="str">
        <f>'BOM 04 22Master'!F6</f>
        <v>Siri Mansion LIGB 436 Dr.A S Rao Nagar,Hyderabad</v>
      </c>
      <c r="G378" s="23"/>
      <c r="H378" s="23"/>
      <c r="I378" s="23"/>
      <c r="J378" s="23"/>
      <c r="K378" s="23"/>
      <c r="L378" s="24"/>
    </row>
    <row r="379" spans="1:12" ht="27.95" customHeight="1">
      <c r="A379" s="50"/>
      <c r="B379" s="51"/>
      <c r="C379" s="51"/>
      <c r="D379" s="173"/>
      <c r="E379" s="173"/>
      <c r="F379" s="173"/>
      <c r="G379" s="173"/>
      <c r="H379" s="173"/>
      <c r="I379" s="173"/>
      <c r="J379" s="51"/>
      <c r="K379" s="175" t="s">
        <v>216</v>
      </c>
      <c r="L379" s="174"/>
    </row>
    <row r="380" spans="1:12" ht="27.95" customHeight="1">
      <c r="A380" s="13"/>
      <c r="B380" s="926" t="s">
        <v>215</v>
      </c>
      <c r="C380" s="926"/>
      <c r="D380" s="926"/>
      <c r="E380" s="926"/>
      <c r="F380" s="926"/>
      <c r="G380" s="926"/>
      <c r="H380" s="926"/>
      <c r="I380" s="926"/>
      <c r="J380" s="926"/>
      <c r="K380" s="926"/>
      <c r="L380" s="927"/>
    </row>
    <row r="381" spans="1:12" ht="27.95" customHeight="1">
      <c r="A381" s="13"/>
      <c r="B381" s="904" t="s">
        <v>217</v>
      </c>
      <c r="C381" s="904"/>
      <c r="D381" s="904"/>
      <c r="E381" s="904"/>
      <c r="F381" s="904"/>
      <c r="G381" s="904"/>
      <c r="H381" s="904"/>
      <c r="I381" s="904"/>
      <c r="J381" s="904"/>
      <c r="K381" s="904"/>
      <c r="L381" s="928"/>
    </row>
    <row r="382" spans="1:12" ht="27.95" customHeight="1">
      <c r="A382" s="13"/>
      <c r="B382" s="176" t="s">
        <v>218</v>
      </c>
      <c r="C382" s="176"/>
      <c r="D382" s="176"/>
      <c r="E382" s="176"/>
      <c r="F382" s="176"/>
      <c r="H382" s="177"/>
      <c r="I382" s="177"/>
      <c r="J382" s="177"/>
      <c r="K382" s="177"/>
      <c r="L382" s="185"/>
    </row>
    <row r="383" spans="1:12" ht="27.95" customHeight="1">
      <c r="A383" s="13"/>
      <c r="B383" s="176"/>
      <c r="C383" s="176"/>
      <c r="D383" s="176"/>
      <c r="E383" s="176"/>
      <c r="F383" s="176"/>
      <c r="H383" s="177"/>
      <c r="I383" s="177"/>
      <c r="J383" s="177"/>
      <c r="K383" s="177"/>
      <c r="L383" s="185"/>
    </row>
    <row r="384" spans="1:12">
      <c r="A384" s="13"/>
      <c r="B384" s="742" t="s">
        <v>188</v>
      </c>
      <c r="C384" s="742"/>
      <c r="D384" s="742"/>
      <c r="E384" s="742"/>
      <c r="F384" s="742"/>
      <c r="G384" s="742"/>
      <c r="H384" s="743" t="e">
        <f>'BOM 04 22Master'!#REF!</f>
        <v>#REF!</v>
      </c>
      <c r="I384" s="744"/>
      <c r="J384" s="744"/>
      <c r="K384" s="744"/>
      <c r="L384" s="745"/>
    </row>
    <row r="385" spans="1:12">
      <c r="A385" s="13"/>
      <c r="B385" s="755" t="s">
        <v>189</v>
      </c>
      <c r="C385" s="755"/>
      <c r="D385" s="755"/>
      <c r="E385" s="755"/>
      <c r="F385" s="755"/>
      <c r="G385" s="755"/>
      <c r="H385" s="743" t="e">
        <f>'BOM 04 22Master'!#REF!</f>
        <v>#REF!</v>
      </c>
      <c r="I385" s="744"/>
      <c r="J385" s="744"/>
      <c r="K385" s="744"/>
      <c r="L385" s="745"/>
    </row>
    <row r="386" spans="1:12">
      <c r="A386" s="13"/>
      <c r="B386" s="742" t="s">
        <v>190</v>
      </c>
      <c r="C386" s="742"/>
      <c r="D386" s="742"/>
      <c r="E386" s="742"/>
      <c r="F386" s="742"/>
      <c r="G386" s="742"/>
      <c r="H386" s="743" t="e">
        <f>'BOM 04 22Master'!#REF!</f>
        <v>#REF!</v>
      </c>
      <c r="I386" s="744"/>
      <c r="J386" s="744"/>
      <c r="K386" s="744"/>
      <c r="L386" s="745"/>
    </row>
    <row r="387" spans="1:12">
      <c r="A387" s="13"/>
      <c r="B387" s="742" t="s">
        <v>191</v>
      </c>
      <c r="C387" s="742"/>
      <c r="D387" s="742"/>
      <c r="E387" s="742"/>
      <c r="F387" s="742"/>
      <c r="G387" s="742"/>
      <c r="H387" s="916" t="e">
        <f>'BOM 04 22Master'!#REF!</f>
        <v>#REF!</v>
      </c>
      <c r="I387" s="744"/>
      <c r="J387" s="744"/>
      <c r="K387" s="744"/>
      <c r="L387" s="745"/>
    </row>
    <row r="388" spans="1:12">
      <c r="A388" s="13"/>
      <c r="B388" s="62" t="s">
        <v>192</v>
      </c>
      <c r="C388" s="63"/>
      <c r="D388" s="63"/>
      <c r="E388" s="63"/>
      <c r="F388" s="63"/>
      <c r="G388" s="63"/>
      <c r="H388" s="913" t="s">
        <v>193</v>
      </c>
      <c r="I388" s="914"/>
      <c r="J388" s="914"/>
      <c r="K388" s="914"/>
      <c r="L388" s="915"/>
    </row>
    <row r="389" spans="1:12">
      <c r="A389" s="13"/>
      <c r="B389" s="62" t="s">
        <v>194</v>
      </c>
      <c r="C389" s="63"/>
      <c r="D389" s="63"/>
      <c r="E389" s="63"/>
      <c r="F389" s="63"/>
      <c r="G389" s="63"/>
      <c r="H389" s="64"/>
      <c r="I389" s="66"/>
      <c r="J389" s="167"/>
      <c r="K389" s="66"/>
      <c r="L389" s="71"/>
    </row>
    <row r="390" spans="1:12" ht="15" customHeight="1">
      <c r="A390" s="13"/>
      <c r="B390" s="749" t="s">
        <v>195</v>
      </c>
      <c r="C390" s="749"/>
      <c r="D390" s="749"/>
      <c r="E390" s="749"/>
      <c r="F390" s="749"/>
      <c r="G390" s="749"/>
      <c r="H390" s="750" t="e">
        <f>'BOM 04 22Master'!#REF!</f>
        <v>#REF!</v>
      </c>
      <c r="I390" s="751"/>
      <c r="J390" s="751"/>
      <c r="K390" s="751"/>
      <c r="L390" s="752"/>
    </row>
    <row r="391" spans="1:12">
      <c r="A391" s="13"/>
      <c r="B391" s="742"/>
      <c r="C391" s="742"/>
      <c r="D391" s="742"/>
      <c r="E391" s="742"/>
      <c r="F391" s="742"/>
      <c r="G391" s="742"/>
      <c r="H391" s="766" t="e">
        <f>'BOM 04 22Master'!#REF!</f>
        <v>#REF!</v>
      </c>
      <c r="I391" s="744"/>
      <c r="J391" s="744"/>
      <c r="K391" s="744"/>
      <c r="L391" s="745"/>
    </row>
    <row r="392" spans="1:12">
      <c r="A392" s="13"/>
      <c r="B392" s="742"/>
      <c r="C392" s="742"/>
      <c r="D392" s="742"/>
      <c r="E392" s="742"/>
      <c r="F392" s="742"/>
      <c r="G392" s="742"/>
      <c r="H392" s="743" t="e">
        <f>'BOM 04 22Master'!#REF!</f>
        <v>#REF!</v>
      </c>
      <c r="I392" s="744"/>
      <c r="J392" s="744"/>
      <c r="K392" s="744"/>
      <c r="L392" s="745"/>
    </row>
    <row r="393" spans="1:12">
      <c r="A393" s="13"/>
      <c r="G393" s="2" t="s">
        <v>219</v>
      </c>
      <c r="H393" s="2"/>
      <c r="I393" s="2"/>
      <c r="J393" s="2"/>
      <c r="K393" s="2"/>
      <c r="L393" s="57"/>
    </row>
    <row r="394" spans="1:12">
      <c r="A394" s="13"/>
      <c r="B394" s="169" t="s">
        <v>203</v>
      </c>
      <c r="C394" s="165"/>
      <c r="D394" s="165"/>
      <c r="E394" s="165"/>
      <c r="F394" s="165"/>
      <c r="G394" s="165"/>
      <c r="H394" s="154"/>
      <c r="I394" s="154"/>
      <c r="J394" s="154"/>
      <c r="K394" s="154"/>
      <c r="L394" s="172"/>
    </row>
    <row r="395" spans="1:12">
      <c r="A395" s="13"/>
      <c r="B395" s="169" t="s">
        <v>204</v>
      </c>
      <c r="C395" s="165"/>
      <c r="D395" s="165"/>
      <c r="E395" s="165"/>
      <c r="F395" s="165"/>
      <c r="G395" s="165"/>
      <c r="H395" s="154"/>
      <c r="I395" s="154"/>
      <c r="J395" s="155"/>
      <c r="K395" s="154"/>
      <c r="L395" s="172"/>
    </row>
    <row r="396" spans="1:12" ht="45">
      <c r="A396" s="61"/>
      <c r="B396" s="62" t="s">
        <v>207</v>
      </c>
      <c r="C396" s="63"/>
      <c r="D396" s="182"/>
      <c r="E396" s="160" t="s">
        <v>209</v>
      </c>
      <c r="F396" s="45"/>
      <c r="G396" s="908" t="s">
        <v>208</v>
      </c>
      <c r="H396" s="909"/>
      <c r="I396" s="159" t="s">
        <v>205</v>
      </c>
      <c r="J396" s="162" t="s">
        <v>210</v>
      </c>
      <c r="K396" s="908" t="s">
        <v>206</v>
      </c>
      <c r="L396" s="910"/>
    </row>
    <row r="397" spans="1:12">
      <c r="A397" s="61"/>
      <c r="B397" s="163">
        <v>1</v>
      </c>
      <c r="C397" s="63"/>
      <c r="D397" s="63"/>
      <c r="E397" s="166">
        <v>2</v>
      </c>
      <c r="F397" s="67"/>
      <c r="G397" s="166">
        <v>3</v>
      </c>
      <c r="H397" s="182"/>
      <c r="I397" s="182">
        <v>4</v>
      </c>
      <c r="J397" s="85">
        <v>5</v>
      </c>
      <c r="K397" s="69"/>
      <c r="L397" s="70">
        <v>6</v>
      </c>
    </row>
    <row r="398" spans="1:12">
      <c r="A398" s="61"/>
      <c r="B398" s="62" t="e">
        <f>'BOM 04 22Master'!#REF!</f>
        <v>#REF!</v>
      </c>
      <c r="C398" s="178"/>
      <c r="D398" s="179"/>
      <c r="E398" s="180" t="s">
        <v>369</v>
      </c>
      <c r="F398" s="179"/>
      <c r="G398" s="180" t="s">
        <v>367</v>
      </c>
      <c r="H398" s="45"/>
      <c r="I398" s="11" t="s">
        <v>370</v>
      </c>
      <c r="J398" s="279">
        <v>1</v>
      </c>
      <c r="K398" s="181" t="s">
        <v>37</v>
      </c>
      <c r="L398" s="186"/>
    </row>
    <row r="399" spans="1:12">
      <c r="A399" s="61"/>
      <c r="B399" s="62"/>
      <c r="C399" s="178"/>
      <c r="D399" s="179"/>
      <c r="E399" s="180"/>
      <c r="F399" s="179"/>
      <c r="G399" s="180"/>
      <c r="H399" s="45"/>
      <c r="I399" s="11"/>
      <c r="J399" s="11"/>
      <c r="K399" s="181"/>
      <c r="L399" s="186"/>
    </row>
    <row r="400" spans="1:12">
      <c r="A400" s="61"/>
      <c r="B400" s="62"/>
      <c r="C400" s="178"/>
      <c r="D400" s="179"/>
      <c r="E400" s="180"/>
      <c r="F400" s="179"/>
      <c r="G400" s="180"/>
      <c r="H400" s="45"/>
      <c r="I400" s="11"/>
      <c r="J400" s="11"/>
      <c r="K400" s="181"/>
      <c r="L400" s="186"/>
    </row>
    <row r="401" spans="1:12">
      <c r="A401" s="61"/>
      <c r="B401" s="48"/>
      <c r="C401" s="17"/>
      <c r="D401" s="49"/>
      <c r="E401" s="180"/>
      <c r="F401" s="179"/>
      <c r="G401" s="180"/>
      <c r="H401" s="45"/>
      <c r="I401" s="11"/>
      <c r="J401" s="11"/>
      <c r="K401" s="181"/>
      <c r="L401" s="186"/>
    </row>
    <row r="402" spans="1:12">
      <c r="A402" s="61"/>
      <c r="B402" t="s">
        <v>211</v>
      </c>
      <c r="L402" s="14"/>
    </row>
    <row r="403" spans="1:12">
      <c r="A403" s="13"/>
      <c r="B403" t="s">
        <v>212</v>
      </c>
      <c r="L403" s="14"/>
    </row>
    <row r="404" spans="1:12">
      <c r="A404" s="13"/>
      <c r="B404" t="s">
        <v>223</v>
      </c>
      <c r="J404" t="s">
        <v>222</v>
      </c>
      <c r="L404" s="14"/>
    </row>
    <row r="405" spans="1:12" ht="21" customHeight="1">
      <c r="A405" s="13"/>
      <c r="G405" s="2" t="s">
        <v>220</v>
      </c>
      <c r="H405" s="2"/>
      <c r="I405" s="2"/>
      <c r="J405" s="2"/>
      <c r="K405" s="2"/>
      <c r="L405" s="57"/>
    </row>
    <row r="406" spans="1:12" ht="15" customHeight="1">
      <c r="A406" s="13"/>
      <c r="B406" s="2"/>
      <c r="G406" t="s">
        <v>221</v>
      </c>
      <c r="H406" s="2"/>
      <c r="I406" s="2"/>
      <c r="J406" s="2"/>
      <c r="K406" s="2"/>
      <c r="L406" s="57"/>
    </row>
    <row r="407" spans="1:12" ht="20.25" customHeight="1">
      <c r="A407" s="13"/>
      <c r="B407" s="169" t="s">
        <v>224</v>
      </c>
      <c r="C407" s="165"/>
      <c r="D407" s="165"/>
      <c r="E407" s="165"/>
      <c r="F407" s="165"/>
      <c r="G407" s="165"/>
      <c r="H407" s="154"/>
      <c r="I407" s="154"/>
      <c r="J407" s="154"/>
      <c r="K407" s="154"/>
      <c r="L407" s="172"/>
    </row>
    <row r="408" spans="1:12" ht="18.75" customHeight="1">
      <c r="A408" s="13"/>
      <c r="B408" s="169" t="s">
        <v>225</v>
      </c>
      <c r="C408" s="165"/>
      <c r="D408" s="165"/>
      <c r="E408" s="165"/>
      <c r="F408" s="165"/>
      <c r="G408" s="165"/>
      <c r="H408" s="154"/>
      <c r="I408" s="154"/>
      <c r="J408" s="155"/>
      <c r="K408" s="154"/>
      <c r="L408" s="172"/>
    </row>
    <row r="409" spans="1:12" ht="27.95" customHeight="1">
      <c r="A409" s="13"/>
      <c r="B409" s="62" t="s">
        <v>5</v>
      </c>
      <c r="C409" s="920" t="s">
        <v>226</v>
      </c>
      <c r="D409" s="779"/>
      <c r="E409" s="779"/>
      <c r="F409" s="779"/>
      <c r="G409" s="779"/>
      <c r="H409" s="780"/>
      <c r="I409" s="161" t="s">
        <v>105</v>
      </c>
      <c r="J409" s="921" t="s">
        <v>227</v>
      </c>
      <c r="K409" s="922"/>
      <c r="L409" s="923"/>
    </row>
    <row r="410" spans="1:12" ht="27.95" customHeight="1">
      <c r="A410" s="13"/>
      <c r="B410" s="163">
        <v>1</v>
      </c>
      <c r="C410" s="197"/>
      <c r="D410" s="66"/>
      <c r="E410" s="72">
        <v>2</v>
      </c>
      <c r="F410" s="44"/>
      <c r="G410" s="919"/>
      <c r="H410" s="909"/>
      <c r="I410" s="66">
        <v>3</v>
      </c>
      <c r="J410" s="184" t="s">
        <v>228</v>
      </c>
      <c r="K410" s="924">
        <v>4</v>
      </c>
      <c r="L410" s="925"/>
    </row>
    <row r="411" spans="1:12" ht="27.95" customHeight="1">
      <c r="A411" s="13"/>
      <c r="B411" s="62"/>
      <c r="C411" s="197"/>
      <c r="D411" s="66"/>
      <c r="E411" s="72"/>
      <c r="F411" s="44"/>
      <c r="G411" s="919"/>
      <c r="H411" s="909"/>
      <c r="I411" s="181"/>
      <c r="J411" s="183"/>
      <c r="K411" s="919"/>
      <c r="L411" s="910"/>
    </row>
    <row r="412" spans="1:12" ht="27.95" customHeight="1">
      <c r="A412" s="13"/>
      <c r="B412" s="62"/>
      <c r="C412" s="197"/>
      <c r="D412" s="66"/>
      <c r="E412" s="72"/>
      <c r="F412" s="44"/>
      <c r="G412" s="919"/>
      <c r="H412" s="909"/>
      <c r="I412" s="181"/>
      <c r="J412" s="183"/>
      <c r="K412" s="919"/>
      <c r="L412" s="910"/>
    </row>
    <row r="413" spans="1:12" ht="27.95" customHeight="1">
      <c r="A413" s="13"/>
      <c r="B413" s="62"/>
      <c r="C413" s="197"/>
      <c r="D413" s="66"/>
      <c r="E413" s="72"/>
      <c r="F413" s="44"/>
      <c r="G413" s="919"/>
      <c r="H413" s="909"/>
      <c r="I413" s="181"/>
      <c r="J413" s="183"/>
      <c r="K413" s="919"/>
      <c r="L413" s="910"/>
    </row>
    <row r="414" spans="1:12" ht="27.95" customHeight="1">
      <c r="A414" s="13"/>
      <c r="B414" s="48"/>
      <c r="C414" s="197"/>
      <c r="D414" s="66"/>
      <c r="E414" s="72"/>
      <c r="F414" s="44"/>
      <c r="G414" s="919"/>
      <c r="H414" s="909"/>
      <c r="I414" s="181"/>
      <c r="J414" s="183"/>
      <c r="K414" s="919"/>
      <c r="L414" s="910"/>
    </row>
    <row r="415" spans="1:12" ht="27.95" customHeight="1">
      <c r="A415" s="13"/>
      <c r="B415" t="s">
        <v>232</v>
      </c>
      <c r="L415" s="14"/>
    </row>
    <row r="416" spans="1:12" ht="21" customHeight="1">
      <c r="A416" s="13"/>
      <c r="B416" t="s">
        <v>233</v>
      </c>
      <c r="L416" s="14"/>
    </row>
    <row r="417" spans="1:12" ht="18" customHeight="1">
      <c r="A417" s="13"/>
      <c r="B417" t="s">
        <v>234</v>
      </c>
      <c r="L417" s="14"/>
    </row>
    <row r="418" spans="1:12" ht="23.25" customHeight="1">
      <c r="A418" s="13"/>
      <c r="B418" t="s">
        <v>235</v>
      </c>
      <c r="L418" s="14"/>
    </row>
    <row r="419" spans="1:12" ht="27.95" customHeight="1">
      <c r="A419" s="13"/>
      <c r="B419" s="180" t="s">
        <v>229</v>
      </c>
      <c r="C419" s="44"/>
      <c r="D419" s="44"/>
      <c r="E419" s="44"/>
      <c r="F419" s="45"/>
      <c r="G419" s="180" t="s">
        <v>205</v>
      </c>
      <c r="H419" s="45"/>
      <c r="I419" s="180" t="s">
        <v>230</v>
      </c>
      <c r="J419" s="44"/>
      <c r="K419" s="45"/>
      <c r="L419" s="14"/>
    </row>
    <row r="420" spans="1:12" ht="27.95" customHeight="1">
      <c r="A420" s="13"/>
      <c r="B420" s="911"/>
      <c r="C420" s="918"/>
      <c r="D420" s="918"/>
      <c r="E420" s="918"/>
      <c r="F420" s="917"/>
      <c r="G420" s="911"/>
      <c r="H420" s="917"/>
      <c r="I420" s="911"/>
      <c r="J420" s="918"/>
      <c r="K420" s="917"/>
      <c r="L420" s="14"/>
    </row>
    <row r="421" spans="1:12" ht="27.95" customHeight="1">
      <c r="A421" s="13"/>
      <c r="B421" s="911"/>
      <c r="C421" s="918"/>
      <c r="D421" s="918"/>
      <c r="E421" s="918"/>
      <c r="F421" s="917"/>
      <c r="G421" s="911"/>
      <c r="H421" s="917"/>
      <c r="I421" s="911"/>
      <c r="J421" s="918"/>
      <c r="K421" s="917"/>
      <c r="L421" s="14"/>
    </row>
    <row r="422" spans="1:12" ht="27.95" customHeight="1">
      <c r="A422" s="13"/>
      <c r="B422" s="911"/>
      <c r="C422" s="918"/>
      <c r="D422" s="918"/>
      <c r="E422" s="918"/>
      <c r="F422" s="917"/>
      <c r="G422" s="911"/>
      <c r="H422" s="917"/>
      <c r="I422" s="911"/>
      <c r="J422" s="918"/>
      <c r="K422" s="917"/>
      <c r="L422" s="14"/>
    </row>
    <row r="423" spans="1:12">
      <c r="A423" s="13"/>
      <c r="B423" s="911"/>
      <c r="C423" s="918"/>
      <c r="D423" s="918"/>
      <c r="E423" s="918"/>
      <c r="F423" s="917"/>
      <c r="G423" s="911"/>
      <c r="H423" s="917"/>
      <c r="I423" s="911"/>
      <c r="J423" s="918"/>
      <c r="K423" s="917"/>
      <c r="L423" s="14"/>
    </row>
    <row r="424" spans="1:12">
      <c r="A424" s="13"/>
      <c r="L424" s="14"/>
    </row>
    <row r="425" spans="1:12">
      <c r="A425" s="13"/>
      <c r="B425" t="s">
        <v>202</v>
      </c>
      <c r="C425" s="278" t="e">
        <f>'BOM 04 22Master'!#REF!</f>
        <v>#REF!</v>
      </c>
      <c r="I425" t="s">
        <v>231</v>
      </c>
      <c r="L425" s="14"/>
    </row>
    <row r="426" spans="1:12" ht="18.75">
      <c r="A426" s="13"/>
      <c r="F426" s="168" t="s">
        <v>197</v>
      </c>
      <c r="L426" s="14"/>
    </row>
    <row r="427" spans="1:12">
      <c r="A427" s="13" t="s">
        <v>198</v>
      </c>
      <c r="K427" s="218" t="e">
        <f>'BOM 04 22Master'!#REF!</f>
        <v>#REF!</v>
      </c>
      <c r="L427" s="14"/>
    </row>
    <row r="428" spans="1:12">
      <c r="A428" s="13" t="s">
        <v>199</v>
      </c>
      <c r="L428" s="14"/>
    </row>
    <row r="429" spans="1:12" ht="15" customHeight="1">
      <c r="A429" s="13"/>
      <c r="L429" s="14"/>
    </row>
    <row r="430" spans="1:12">
      <c r="A430" s="13"/>
      <c r="F430" t="s">
        <v>200</v>
      </c>
      <c r="L430" s="14"/>
    </row>
    <row r="431" spans="1:12">
      <c r="A431" s="13" t="s">
        <v>201</v>
      </c>
      <c r="B431" t="s">
        <v>365</v>
      </c>
      <c r="F431" t="str">
        <f>'BOM 04 22Master'!F5</f>
        <v>Burgeon IT Services Pvt.Ltd.</v>
      </c>
      <c r="L431" s="14"/>
    </row>
    <row r="432" spans="1:12" ht="15.75" thickBot="1">
      <c r="A432" s="25" t="s">
        <v>202</v>
      </c>
      <c r="B432" s="281" t="e">
        <f>'BOM 04 22Master'!#REF!</f>
        <v>#REF!</v>
      </c>
      <c r="C432" s="23"/>
      <c r="D432" s="23"/>
      <c r="E432" s="23"/>
      <c r="F432" s="23" t="str">
        <f>'BOM 04 22Master'!F6</f>
        <v>Siri Mansion LIGB 436 Dr.A S Rao Nagar,Hyderabad</v>
      </c>
      <c r="G432" s="23"/>
      <c r="H432" s="23"/>
      <c r="I432" s="23"/>
      <c r="J432" s="23"/>
      <c r="K432" s="23"/>
      <c r="L432" s="24"/>
    </row>
    <row r="433" spans="1:12" ht="32.25">
      <c r="A433" s="50"/>
      <c r="B433" s="51"/>
      <c r="C433" s="51"/>
      <c r="D433" s="173"/>
      <c r="E433" s="173"/>
      <c r="F433" s="173"/>
      <c r="G433" s="173"/>
      <c r="H433" s="173"/>
      <c r="I433" s="173"/>
      <c r="J433" s="51"/>
      <c r="K433" s="175" t="s">
        <v>216</v>
      </c>
      <c r="L433" s="174"/>
    </row>
    <row r="434" spans="1:12" ht="21">
      <c r="A434" s="13"/>
      <c r="B434" s="926" t="s">
        <v>215</v>
      </c>
      <c r="C434" s="926"/>
      <c r="D434" s="926"/>
      <c r="E434" s="926"/>
      <c r="F434" s="926"/>
      <c r="G434" s="926"/>
      <c r="H434" s="926"/>
      <c r="I434" s="926"/>
      <c r="J434" s="926"/>
      <c r="K434" s="926"/>
      <c r="L434" s="927"/>
    </row>
    <row r="435" spans="1:12" ht="15.75">
      <c r="A435" s="13"/>
      <c r="B435" s="904" t="s">
        <v>217</v>
      </c>
      <c r="C435" s="904"/>
      <c r="D435" s="904"/>
      <c r="E435" s="904"/>
      <c r="F435" s="904"/>
      <c r="G435" s="904"/>
      <c r="H435" s="904"/>
      <c r="I435" s="904"/>
      <c r="J435" s="904"/>
      <c r="K435" s="904"/>
      <c r="L435" s="928"/>
    </row>
    <row r="436" spans="1:12">
      <c r="A436" s="13"/>
      <c r="B436" s="176" t="s">
        <v>218</v>
      </c>
      <c r="C436" s="176"/>
      <c r="D436" s="176"/>
      <c r="E436" s="176"/>
      <c r="F436" s="176"/>
      <c r="H436" s="177"/>
      <c r="I436" s="177"/>
      <c r="J436" s="177"/>
      <c r="K436" s="177"/>
      <c r="L436" s="185"/>
    </row>
    <row r="437" spans="1:12">
      <c r="A437" s="13"/>
      <c r="B437" s="176"/>
      <c r="C437" s="176"/>
      <c r="D437" s="176"/>
      <c r="E437" s="176"/>
      <c r="F437" s="176"/>
      <c r="H437" s="177"/>
      <c r="I437" s="177"/>
      <c r="J437" s="177"/>
      <c r="K437" s="177"/>
      <c r="L437" s="185"/>
    </row>
    <row r="438" spans="1:12">
      <c r="A438" s="13"/>
      <c r="B438" s="742" t="s">
        <v>188</v>
      </c>
      <c r="C438" s="742"/>
      <c r="D438" s="742"/>
      <c r="E438" s="742"/>
      <c r="F438" s="742"/>
      <c r="G438" s="742"/>
      <c r="H438" s="743" t="e">
        <f>'BOM 04 22Master'!#REF!</f>
        <v>#REF!</v>
      </c>
      <c r="I438" s="744"/>
      <c r="J438" s="744"/>
      <c r="K438" s="744"/>
      <c r="L438" s="745"/>
    </row>
    <row r="439" spans="1:12">
      <c r="A439" s="13"/>
      <c r="B439" s="755" t="s">
        <v>189</v>
      </c>
      <c r="C439" s="755"/>
      <c r="D439" s="755"/>
      <c r="E439" s="755"/>
      <c r="F439" s="755"/>
      <c r="G439" s="755"/>
      <c r="H439" s="743" t="e">
        <f>'BOM 04 22Master'!#REF!</f>
        <v>#REF!</v>
      </c>
      <c r="I439" s="744"/>
      <c r="J439" s="744"/>
      <c r="K439" s="744"/>
      <c r="L439" s="745"/>
    </row>
    <row r="440" spans="1:12">
      <c r="A440" s="13"/>
      <c r="B440" s="742" t="s">
        <v>190</v>
      </c>
      <c r="C440" s="742"/>
      <c r="D440" s="742"/>
      <c r="E440" s="742"/>
      <c r="F440" s="742"/>
      <c r="G440" s="742"/>
      <c r="H440" s="743" t="e">
        <f>'BOM 04 22Master'!#REF!</f>
        <v>#REF!</v>
      </c>
      <c r="I440" s="744"/>
      <c r="J440" s="744"/>
      <c r="K440" s="744"/>
      <c r="L440" s="745"/>
    </row>
    <row r="441" spans="1:12">
      <c r="A441" s="13"/>
      <c r="B441" s="742" t="s">
        <v>191</v>
      </c>
      <c r="C441" s="742"/>
      <c r="D441" s="742"/>
      <c r="E441" s="742"/>
      <c r="F441" s="742"/>
      <c r="G441" s="742"/>
      <c r="H441" s="916" t="e">
        <f>'BOM 04 22Master'!#REF!</f>
        <v>#REF!</v>
      </c>
      <c r="I441" s="744"/>
      <c r="J441" s="744"/>
      <c r="K441" s="744"/>
      <c r="L441" s="745"/>
    </row>
    <row r="442" spans="1:12">
      <c r="A442" s="13"/>
      <c r="B442" s="62" t="s">
        <v>192</v>
      </c>
      <c r="C442" s="63"/>
      <c r="D442" s="63"/>
      <c r="E442" s="63"/>
      <c r="F442" s="63"/>
      <c r="G442" s="63"/>
      <c r="H442" s="913" t="s">
        <v>193</v>
      </c>
      <c r="I442" s="914"/>
      <c r="J442" s="914"/>
      <c r="K442" s="914"/>
      <c r="L442" s="915"/>
    </row>
    <row r="443" spans="1:12">
      <c r="A443" s="13"/>
      <c r="B443" s="62" t="s">
        <v>194</v>
      </c>
      <c r="C443" s="63"/>
      <c r="D443" s="63"/>
      <c r="E443" s="63"/>
      <c r="F443" s="63"/>
      <c r="G443" s="63"/>
      <c r="H443" s="64"/>
      <c r="I443" s="66"/>
      <c r="J443" s="167"/>
      <c r="K443" s="66"/>
      <c r="L443" s="71"/>
    </row>
    <row r="444" spans="1:12" ht="27.95" customHeight="1">
      <c r="A444" s="13"/>
      <c r="B444" s="749" t="s">
        <v>195</v>
      </c>
      <c r="C444" s="749"/>
      <c r="D444" s="749"/>
      <c r="E444" s="749"/>
      <c r="F444" s="749"/>
      <c r="G444" s="749"/>
      <c r="H444" s="750" t="e">
        <f>'BOM 04 22Master'!#REF!</f>
        <v>#REF!</v>
      </c>
      <c r="I444" s="751"/>
      <c r="J444" s="751"/>
      <c r="K444" s="751"/>
      <c r="L444" s="752"/>
    </row>
    <row r="445" spans="1:12" ht="27.95" customHeight="1">
      <c r="A445" s="13"/>
      <c r="B445" s="742"/>
      <c r="C445" s="742"/>
      <c r="D445" s="742"/>
      <c r="E445" s="742"/>
      <c r="F445" s="742"/>
      <c r="G445" s="742"/>
      <c r="H445" s="766" t="e">
        <f>'BOM 04 22Master'!#REF!</f>
        <v>#REF!</v>
      </c>
      <c r="I445" s="744"/>
      <c r="J445" s="744"/>
      <c r="K445" s="744"/>
      <c r="L445" s="745"/>
    </row>
    <row r="446" spans="1:12" ht="27.95" customHeight="1">
      <c r="A446" s="13"/>
      <c r="B446" s="742"/>
      <c r="C446" s="742"/>
      <c r="D446" s="742"/>
      <c r="E446" s="742"/>
      <c r="F446" s="742"/>
      <c r="G446" s="742"/>
      <c r="H446" s="743" t="e">
        <f>'BOM 04 22Master'!#REF!</f>
        <v>#REF!</v>
      </c>
      <c r="I446" s="744"/>
      <c r="J446" s="744"/>
      <c r="K446" s="744"/>
      <c r="L446" s="745"/>
    </row>
    <row r="447" spans="1:12" ht="27.95" customHeight="1">
      <c r="A447" s="13"/>
      <c r="G447" s="2" t="s">
        <v>219</v>
      </c>
      <c r="H447" s="2"/>
      <c r="I447" s="2"/>
      <c r="J447" s="2"/>
      <c r="K447" s="2"/>
      <c r="L447" s="57"/>
    </row>
    <row r="448" spans="1:12" ht="27.95" customHeight="1">
      <c r="A448" s="13"/>
      <c r="B448" s="169" t="s">
        <v>203</v>
      </c>
      <c r="C448" s="165"/>
      <c r="D448" s="165"/>
      <c r="E448" s="165"/>
      <c r="F448" s="165"/>
      <c r="G448" s="165"/>
      <c r="H448" s="154"/>
      <c r="I448" s="154"/>
      <c r="J448" s="154"/>
      <c r="K448" s="154"/>
      <c r="L448" s="172"/>
    </row>
    <row r="449" spans="1:12" ht="27.95" customHeight="1">
      <c r="A449" s="13"/>
      <c r="B449" s="169" t="s">
        <v>204</v>
      </c>
      <c r="C449" s="165"/>
      <c r="D449" s="165"/>
      <c r="E449" s="165"/>
      <c r="F449" s="165"/>
      <c r="G449" s="165"/>
      <c r="H449" s="154"/>
      <c r="I449" s="154"/>
      <c r="J449" s="155"/>
      <c r="K449" s="154"/>
      <c r="L449" s="172"/>
    </row>
    <row r="450" spans="1:12" ht="27.95" customHeight="1">
      <c r="A450" s="61"/>
      <c r="B450" s="62" t="s">
        <v>207</v>
      </c>
      <c r="C450" s="63"/>
      <c r="D450" s="182"/>
      <c r="E450" s="160" t="s">
        <v>209</v>
      </c>
      <c r="F450" s="45"/>
      <c r="G450" s="908" t="s">
        <v>208</v>
      </c>
      <c r="H450" s="909"/>
      <c r="I450" s="159" t="s">
        <v>205</v>
      </c>
      <c r="J450" s="162" t="s">
        <v>210</v>
      </c>
      <c r="K450" s="908" t="s">
        <v>206</v>
      </c>
      <c r="L450" s="910"/>
    </row>
    <row r="451" spans="1:12" ht="27.95" customHeight="1">
      <c r="A451" s="61"/>
      <c r="B451" s="163">
        <v>1</v>
      </c>
      <c r="C451" s="63"/>
      <c r="D451" s="63"/>
      <c r="E451" s="166">
        <v>2</v>
      </c>
      <c r="F451" s="67"/>
      <c r="G451" s="166">
        <v>3</v>
      </c>
      <c r="H451" s="182"/>
      <c r="I451" s="182">
        <v>4</v>
      </c>
      <c r="J451" s="85">
        <v>5</v>
      </c>
      <c r="K451" s="69"/>
      <c r="L451" s="70">
        <v>6</v>
      </c>
    </row>
    <row r="452" spans="1:12" ht="27.95" customHeight="1">
      <c r="A452" s="61"/>
      <c r="B452" s="62" t="e">
        <f>'BOM 04 22Master'!#REF!</f>
        <v>#REF!</v>
      </c>
      <c r="C452" s="178"/>
      <c r="D452" s="179"/>
      <c r="E452" s="180" t="s">
        <v>369</v>
      </c>
      <c r="F452" s="179"/>
      <c r="G452" s="180" t="s">
        <v>367</v>
      </c>
      <c r="H452" s="45"/>
      <c r="I452" s="11" t="s">
        <v>370</v>
      </c>
      <c r="J452" s="279">
        <v>1</v>
      </c>
      <c r="K452" s="181" t="s">
        <v>37</v>
      </c>
      <c r="L452" s="186"/>
    </row>
    <row r="453" spans="1:12" ht="27.95" customHeight="1">
      <c r="A453" s="61"/>
      <c r="B453" s="62"/>
      <c r="C453" s="178"/>
      <c r="D453" s="179"/>
      <c r="E453" s="180"/>
      <c r="F453" s="179"/>
      <c r="G453" s="180"/>
      <c r="H453" s="45"/>
      <c r="I453" s="11"/>
      <c r="J453" s="11"/>
      <c r="K453" s="181"/>
      <c r="L453" s="186"/>
    </row>
    <row r="454" spans="1:12" ht="27.95" customHeight="1">
      <c r="A454" s="61"/>
      <c r="B454" s="62"/>
      <c r="C454" s="178"/>
      <c r="D454" s="179"/>
      <c r="E454" s="180"/>
      <c r="F454" s="179"/>
      <c r="G454" s="180"/>
      <c r="H454" s="45"/>
      <c r="I454" s="11"/>
      <c r="J454" s="11"/>
      <c r="K454" s="181"/>
      <c r="L454" s="186"/>
    </row>
    <row r="455" spans="1:12" ht="27.95" customHeight="1">
      <c r="A455" s="61"/>
      <c r="B455" s="48"/>
      <c r="C455" s="17"/>
      <c r="D455" s="49"/>
      <c r="E455" s="180"/>
      <c r="F455" s="179"/>
      <c r="G455" s="180"/>
      <c r="H455" s="45"/>
      <c r="I455" s="11"/>
      <c r="J455" s="11"/>
      <c r="K455" s="181"/>
      <c r="L455" s="186"/>
    </row>
    <row r="456" spans="1:12" ht="27.95" customHeight="1">
      <c r="A456" s="61"/>
      <c r="B456" t="s">
        <v>211</v>
      </c>
      <c r="L456" s="14"/>
    </row>
    <row r="457" spans="1:12" ht="27.95" customHeight="1">
      <c r="A457" s="13"/>
      <c r="B457" t="s">
        <v>212</v>
      </c>
      <c r="L457" s="14"/>
    </row>
    <row r="458" spans="1:12" ht="27.95" customHeight="1">
      <c r="A458" s="13"/>
      <c r="B458" t="s">
        <v>223</v>
      </c>
      <c r="J458" t="s">
        <v>222</v>
      </c>
      <c r="L458" s="14"/>
    </row>
    <row r="459" spans="1:12" ht="24" customHeight="1">
      <c r="A459" s="13"/>
      <c r="G459" s="2" t="s">
        <v>220</v>
      </c>
      <c r="H459" s="2"/>
      <c r="I459" s="2"/>
      <c r="J459" s="2"/>
      <c r="K459" s="2"/>
      <c r="L459" s="57"/>
    </row>
    <row r="460" spans="1:12" ht="18" customHeight="1">
      <c r="A460" s="13"/>
      <c r="B460" s="2"/>
      <c r="G460" t="s">
        <v>221</v>
      </c>
      <c r="H460" s="2"/>
      <c r="I460" s="2"/>
      <c r="J460" s="2"/>
      <c r="K460" s="2"/>
      <c r="L460" s="57"/>
    </row>
    <row r="461" spans="1:12" ht="18.75" customHeight="1">
      <c r="A461" s="13"/>
      <c r="B461" s="169" t="s">
        <v>224</v>
      </c>
      <c r="C461" s="165"/>
      <c r="D461" s="165"/>
      <c r="E461" s="165"/>
      <c r="F461" s="165"/>
      <c r="G461" s="165"/>
      <c r="H461" s="154"/>
      <c r="I461" s="154"/>
      <c r="J461" s="154"/>
      <c r="K461" s="154"/>
      <c r="L461" s="172"/>
    </row>
    <row r="462" spans="1:12">
      <c r="A462" s="13"/>
      <c r="B462" s="169" t="s">
        <v>225</v>
      </c>
      <c r="C462" s="165"/>
      <c r="D462" s="165"/>
      <c r="E462" s="165"/>
      <c r="F462" s="165"/>
      <c r="G462" s="165"/>
      <c r="H462" s="154"/>
      <c r="I462" s="154"/>
      <c r="J462" s="155"/>
      <c r="K462" s="154"/>
      <c r="L462" s="172"/>
    </row>
    <row r="463" spans="1:12">
      <c r="A463" s="13"/>
      <c r="B463" s="62" t="s">
        <v>5</v>
      </c>
      <c r="C463" s="920" t="s">
        <v>226</v>
      </c>
      <c r="D463" s="779"/>
      <c r="E463" s="779"/>
      <c r="F463" s="779"/>
      <c r="G463" s="779"/>
      <c r="H463" s="780"/>
      <c r="I463" s="161" t="s">
        <v>105</v>
      </c>
      <c r="J463" s="921" t="s">
        <v>227</v>
      </c>
      <c r="K463" s="922"/>
      <c r="L463" s="923"/>
    </row>
    <row r="464" spans="1:12">
      <c r="A464" s="13"/>
      <c r="B464" s="163">
        <v>1</v>
      </c>
      <c r="C464" s="197"/>
      <c r="D464" s="66"/>
      <c r="E464" s="72">
        <v>2</v>
      </c>
      <c r="F464" s="44"/>
      <c r="G464" s="919"/>
      <c r="H464" s="909"/>
      <c r="I464" s="66">
        <v>3</v>
      </c>
      <c r="J464" s="184" t="s">
        <v>228</v>
      </c>
      <c r="K464" s="924">
        <v>4</v>
      </c>
      <c r="L464" s="925"/>
    </row>
    <row r="465" spans="1:12">
      <c r="A465" s="13"/>
      <c r="B465" s="62"/>
      <c r="C465" s="197"/>
      <c r="D465" s="66"/>
      <c r="E465" s="72"/>
      <c r="F465" s="44"/>
      <c r="G465" s="919"/>
      <c r="H465" s="909"/>
      <c r="I465" s="181"/>
      <c r="J465" s="183"/>
      <c r="K465" s="919"/>
      <c r="L465" s="910"/>
    </row>
    <row r="466" spans="1:12">
      <c r="A466" s="13"/>
      <c r="B466" s="62"/>
      <c r="C466" s="197"/>
      <c r="D466" s="66"/>
      <c r="E466" s="72"/>
      <c r="F466" s="44"/>
      <c r="G466" s="919"/>
      <c r="H466" s="909"/>
      <c r="I466" s="181"/>
      <c r="J466" s="183"/>
      <c r="K466" s="919"/>
      <c r="L466" s="910"/>
    </row>
    <row r="467" spans="1:12" ht="15" customHeight="1">
      <c r="A467" s="13"/>
      <c r="B467" s="62"/>
      <c r="C467" s="197"/>
      <c r="D467" s="66"/>
      <c r="E467" s="72"/>
      <c r="F467" s="44"/>
      <c r="G467" s="919"/>
      <c r="H467" s="909"/>
      <c r="I467" s="181"/>
      <c r="J467" s="183"/>
      <c r="K467" s="919"/>
      <c r="L467" s="910"/>
    </row>
    <row r="468" spans="1:12">
      <c r="A468" s="13"/>
      <c r="B468" s="48"/>
      <c r="C468" s="197"/>
      <c r="D468" s="66"/>
      <c r="E468" s="72"/>
      <c r="F468" s="44"/>
      <c r="G468" s="919"/>
      <c r="H468" s="909"/>
      <c r="I468" s="181"/>
      <c r="J468" s="183"/>
      <c r="K468" s="919"/>
      <c r="L468" s="910"/>
    </row>
    <row r="469" spans="1:12">
      <c r="A469" s="13"/>
      <c r="B469" t="s">
        <v>232</v>
      </c>
      <c r="L469" s="14"/>
    </row>
    <row r="470" spans="1:12">
      <c r="A470" s="13"/>
      <c r="B470" t="s">
        <v>233</v>
      </c>
      <c r="L470" s="14"/>
    </row>
    <row r="471" spans="1:12">
      <c r="A471" s="13"/>
      <c r="B471" t="s">
        <v>234</v>
      </c>
      <c r="L471" s="14"/>
    </row>
    <row r="472" spans="1:12">
      <c r="A472" s="13"/>
      <c r="B472" t="s">
        <v>235</v>
      </c>
      <c r="L472" s="14"/>
    </row>
    <row r="473" spans="1:12">
      <c r="A473" s="13"/>
      <c r="B473" s="180" t="s">
        <v>229</v>
      </c>
      <c r="C473" s="44"/>
      <c r="D473" s="44"/>
      <c r="E473" s="44"/>
      <c r="F473" s="45"/>
      <c r="G473" s="180" t="s">
        <v>205</v>
      </c>
      <c r="H473" s="45"/>
      <c r="I473" s="180" t="s">
        <v>230</v>
      </c>
      <c r="J473" s="44"/>
      <c r="K473" s="45"/>
      <c r="L473" s="14"/>
    </row>
    <row r="474" spans="1:12">
      <c r="A474" s="13"/>
      <c r="B474" s="911"/>
      <c r="C474" s="918"/>
      <c r="D474" s="918"/>
      <c r="E474" s="918"/>
      <c r="F474" s="917"/>
      <c r="G474" s="911"/>
      <c r="H474" s="917"/>
      <c r="I474" s="911"/>
      <c r="J474" s="918"/>
      <c r="K474" s="917"/>
      <c r="L474" s="14"/>
    </row>
    <row r="475" spans="1:12">
      <c r="A475" s="13"/>
      <c r="B475" s="911"/>
      <c r="C475" s="918"/>
      <c r="D475" s="918"/>
      <c r="E475" s="918"/>
      <c r="F475" s="917"/>
      <c r="G475" s="911"/>
      <c r="H475" s="917"/>
      <c r="I475" s="911"/>
      <c r="J475" s="918"/>
      <c r="K475" s="917"/>
      <c r="L475" s="14"/>
    </row>
    <row r="476" spans="1:12">
      <c r="A476" s="13"/>
      <c r="B476" s="911"/>
      <c r="C476" s="918"/>
      <c r="D476" s="918"/>
      <c r="E476" s="918"/>
      <c r="F476" s="917"/>
      <c r="G476" s="911"/>
      <c r="H476" s="917"/>
      <c r="I476" s="911"/>
      <c r="J476" s="918"/>
      <c r="K476" s="917"/>
      <c r="L476" s="14"/>
    </row>
    <row r="477" spans="1:12">
      <c r="A477" s="13"/>
      <c r="B477" s="911"/>
      <c r="C477" s="918"/>
      <c r="D477" s="918"/>
      <c r="E477" s="918"/>
      <c r="F477" s="917"/>
      <c r="G477" s="911"/>
      <c r="H477" s="917"/>
      <c r="I477" s="911"/>
      <c r="J477" s="918"/>
      <c r="K477" s="917"/>
      <c r="L477" s="14"/>
    </row>
    <row r="478" spans="1:12">
      <c r="A478" s="13"/>
      <c r="L478" s="14"/>
    </row>
    <row r="479" spans="1:12">
      <c r="A479" s="13"/>
      <c r="B479" t="s">
        <v>202</v>
      </c>
      <c r="C479" s="278" t="e">
        <f>'BOM 04 22Master'!#REF!</f>
        <v>#REF!</v>
      </c>
      <c r="I479" t="s">
        <v>231</v>
      </c>
      <c r="L479" s="14"/>
    </row>
    <row r="480" spans="1:12" ht="18.75">
      <c r="A480" s="13"/>
      <c r="F480" s="168" t="s">
        <v>197</v>
      </c>
      <c r="L480" s="14"/>
    </row>
    <row r="481" spans="1:12">
      <c r="A481" s="13" t="s">
        <v>198</v>
      </c>
      <c r="K481" s="218" t="e">
        <f>'BOM 04 22Master'!#REF!</f>
        <v>#REF!</v>
      </c>
      <c r="L481" s="14"/>
    </row>
    <row r="482" spans="1:12" ht="27.95" customHeight="1">
      <c r="A482" s="13" t="s">
        <v>199</v>
      </c>
      <c r="L482" s="14"/>
    </row>
    <row r="483" spans="1:12" ht="27.95" customHeight="1">
      <c r="A483" s="13"/>
      <c r="F483" t="s">
        <v>200</v>
      </c>
      <c r="L483" s="14"/>
    </row>
    <row r="484" spans="1:12" ht="27.95" customHeight="1">
      <c r="A484" s="13" t="s">
        <v>201</v>
      </c>
      <c r="B484" t="s">
        <v>365</v>
      </c>
      <c r="F484" t="str">
        <f>'BOM 04 22Master'!F5</f>
        <v>Burgeon IT Services Pvt.Ltd.</v>
      </c>
      <c r="L484" s="14"/>
    </row>
    <row r="485" spans="1:12" ht="27.95" customHeight="1" thickBot="1">
      <c r="A485" s="25" t="s">
        <v>202</v>
      </c>
      <c r="B485" s="281" t="e">
        <f>'BOM 04 22Master'!#REF!</f>
        <v>#REF!</v>
      </c>
      <c r="C485" s="23"/>
      <c r="D485" s="23"/>
      <c r="E485" s="23"/>
      <c r="F485" s="23" t="str">
        <f>'BOM 04 22Master'!F6</f>
        <v>Siri Mansion LIGB 436 Dr.A S Rao Nagar,Hyderabad</v>
      </c>
      <c r="G485" s="23"/>
      <c r="H485" s="23"/>
      <c r="I485" s="23"/>
      <c r="J485" s="23"/>
      <c r="K485" s="23"/>
      <c r="L485" s="24"/>
    </row>
    <row r="486" spans="1:12" ht="27.95" customHeight="1">
      <c r="A486" s="50"/>
      <c r="B486" s="51"/>
      <c r="C486" s="51"/>
      <c r="D486" s="173"/>
      <c r="E486" s="173"/>
      <c r="F486" s="173"/>
      <c r="G486" s="173"/>
      <c r="H486" s="173"/>
      <c r="I486" s="173"/>
      <c r="J486" s="51"/>
      <c r="K486" s="175" t="s">
        <v>216</v>
      </c>
      <c r="L486" s="174"/>
    </row>
    <row r="487" spans="1:12" ht="27.95" customHeight="1">
      <c r="A487" s="13"/>
      <c r="B487" s="926" t="s">
        <v>215</v>
      </c>
      <c r="C487" s="926"/>
      <c r="D487" s="926"/>
      <c r="E487" s="926"/>
      <c r="F487" s="926"/>
      <c r="G487" s="926"/>
      <c r="H487" s="926"/>
      <c r="I487" s="926"/>
      <c r="J487" s="926"/>
      <c r="K487" s="926"/>
      <c r="L487" s="927"/>
    </row>
    <row r="488" spans="1:12" ht="21.75" customHeight="1">
      <c r="A488" s="13"/>
      <c r="B488" s="904" t="s">
        <v>217</v>
      </c>
      <c r="C488" s="904"/>
      <c r="D488" s="904"/>
      <c r="E488" s="904"/>
      <c r="F488" s="904"/>
      <c r="G488" s="904"/>
      <c r="H488" s="904"/>
      <c r="I488" s="904"/>
      <c r="J488" s="904"/>
      <c r="K488" s="904"/>
      <c r="L488" s="928"/>
    </row>
    <row r="489" spans="1:12" ht="27.95" customHeight="1">
      <c r="A489" s="13"/>
      <c r="B489" s="176" t="s">
        <v>218</v>
      </c>
      <c r="C489" s="176"/>
      <c r="D489" s="176"/>
      <c r="E489" s="176"/>
      <c r="F489" s="176"/>
      <c r="H489" s="177"/>
      <c r="I489" s="177"/>
      <c r="J489" s="177"/>
      <c r="K489" s="177"/>
      <c r="L489" s="185"/>
    </row>
    <row r="490" spans="1:12" ht="27.95" customHeight="1">
      <c r="A490" s="13"/>
      <c r="B490" s="742" t="s">
        <v>188</v>
      </c>
      <c r="C490" s="742"/>
      <c r="D490" s="742"/>
      <c r="E490" s="742"/>
      <c r="F490" s="742"/>
      <c r="G490" s="742"/>
      <c r="H490" s="743">
        <f>'BOM 04 22Master'!B421</f>
        <v>0</v>
      </c>
      <c r="I490" s="744"/>
      <c r="J490" s="744"/>
      <c r="K490" s="744"/>
      <c r="L490" s="745"/>
    </row>
    <row r="491" spans="1:12" ht="24" customHeight="1">
      <c r="A491" s="13"/>
      <c r="B491" s="755" t="s">
        <v>189</v>
      </c>
      <c r="C491" s="755"/>
      <c r="D491" s="755"/>
      <c r="E491" s="755"/>
      <c r="F491" s="755"/>
      <c r="G491" s="755"/>
      <c r="H491" s="743">
        <f>'BOM 04 22Master'!E421</f>
        <v>0</v>
      </c>
      <c r="I491" s="744"/>
      <c r="J491" s="744"/>
      <c r="K491" s="744"/>
      <c r="L491" s="745"/>
    </row>
    <row r="492" spans="1:12" ht="24.75" customHeight="1">
      <c r="A492" s="13"/>
      <c r="B492" s="742" t="s">
        <v>190</v>
      </c>
      <c r="C492" s="742"/>
      <c r="D492" s="742"/>
      <c r="E492" s="742"/>
      <c r="F492" s="742"/>
      <c r="G492" s="742"/>
      <c r="H492" s="743">
        <f>'BOM 04 22Master'!C421</f>
        <v>0</v>
      </c>
      <c r="I492" s="744"/>
      <c r="J492" s="744"/>
      <c r="K492" s="744"/>
      <c r="L492" s="745"/>
    </row>
    <row r="493" spans="1:12" ht="26.25" customHeight="1">
      <c r="A493" s="13"/>
      <c r="B493" s="742" t="s">
        <v>191</v>
      </c>
      <c r="C493" s="742"/>
      <c r="D493" s="742"/>
      <c r="E493" s="742"/>
      <c r="F493" s="742"/>
      <c r="G493" s="742"/>
      <c r="H493" s="916">
        <f>'BOM 04 22Master'!D421</f>
        <v>0</v>
      </c>
      <c r="I493" s="744"/>
      <c r="J493" s="744"/>
      <c r="K493" s="744"/>
      <c r="L493" s="745"/>
    </row>
    <row r="494" spans="1:12" ht="25.5" customHeight="1">
      <c r="A494" s="13"/>
      <c r="B494" s="62" t="s">
        <v>192</v>
      </c>
      <c r="C494" s="63"/>
      <c r="D494" s="63"/>
      <c r="E494" s="63"/>
      <c r="F494" s="63"/>
      <c r="G494" s="63"/>
      <c r="H494" s="913" t="s">
        <v>193</v>
      </c>
      <c r="I494" s="914"/>
      <c r="J494" s="914"/>
      <c r="K494" s="914"/>
      <c r="L494" s="915"/>
    </row>
    <row r="495" spans="1:12" ht="27.95" customHeight="1">
      <c r="A495" s="13"/>
      <c r="B495" s="62" t="s">
        <v>194</v>
      </c>
      <c r="C495" s="63"/>
      <c r="D495" s="63"/>
      <c r="E495" s="63"/>
      <c r="F495" s="63"/>
      <c r="G495" s="63"/>
      <c r="H495" s="64"/>
      <c r="I495" s="66"/>
      <c r="J495" s="167"/>
      <c r="K495" s="66"/>
      <c r="L495" s="71"/>
    </row>
    <row r="496" spans="1:12" ht="24" customHeight="1">
      <c r="A496" s="13"/>
      <c r="B496" s="749" t="s">
        <v>195</v>
      </c>
      <c r="C496" s="749"/>
      <c r="D496" s="749"/>
      <c r="E496" s="749"/>
      <c r="F496" s="749"/>
      <c r="G496" s="749"/>
      <c r="H496" s="750">
        <f>'BOM 04 22Master'!G421</f>
        <v>0</v>
      </c>
      <c r="I496" s="751"/>
      <c r="J496" s="751"/>
      <c r="K496" s="751"/>
      <c r="L496" s="752"/>
    </row>
    <row r="497" spans="1:12" ht="22.5" customHeight="1">
      <c r="A497" s="13"/>
      <c r="B497" s="742"/>
      <c r="C497" s="742"/>
      <c r="D497" s="742"/>
      <c r="E497" s="742"/>
      <c r="F497" s="742"/>
      <c r="G497" s="742"/>
      <c r="H497" s="766">
        <f>'BOM 04 22Master'!H421</f>
        <v>0</v>
      </c>
      <c r="I497" s="744"/>
      <c r="J497" s="744"/>
      <c r="K497" s="744"/>
      <c r="L497" s="745"/>
    </row>
    <row r="498" spans="1:12" ht="18.75" customHeight="1">
      <c r="A498" s="13"/>
      <c r="B498" s="742"/>
      <c r="C498" s="742"/>
      <c r="D498" s="742"/>
      <c r="E498" s="742"/>
      <c r="F498" s="742"/>
      <c r="G498" s="742"/>
      <c r="H498" s="743">
        <f>'BOM 04 22Master'!I421</f>
        <v>0</v>
      </c>
      <c r="I498" s="744"/>
      <c r="J498" s="744"/>
      <c r="K498" s="744"/>
      <c r="L498" s="745"/>
    </row>
    <row r="499" spans="1:12">
      <c r="A499" s="13"/>
      <c r="G499" s="2" t="s">
        <v>219</v>
      </c>
      <c r="H499" s="2"/>
      <c r="I499" s="2"/>
      <c r="J499" s="2"/>
      <c r="K499" s="2"/>
      <c r="L499" s="57"/>
    </row>
    <row r="500" spans="1:12">
      <c r="A500" s="13"/>
      <c r="B500" s="169" t="s">
        <v>203</v>
      </c>
      <c r="C500" s="165"/>
      <c r="D500" s="165"/>
      <c r="E500" s="165"/>
      <c r="F500" s="165"/>
      <c r="G500" s="165"/>
      <c r="H500" s="154"/>
      <c r="I500" s="154"/>
      <c r="J500" s="154"/>
      <c r="K500" s="154"/>
      <c r="L500" s="172"/>
    </row>
    <row r="501" spans="1:12">
      <c r="A501" s="13"/>
      <c r="B501" s="169" t="s">
        <v>204</v>
      </c>
      <c r="C501" s="165"/>
      <c r="D501" s="165"/>
      <c r="E501" s="165"/>
      <c r="F501" s="165"/>
      <c r="G501" s="165"/>
      <c r="H501" s="154"/>
      <c r="I501" s="154"/>
      <c r="J501" s="155"/>
      <c r="K501" s="154"/>
      <c r="L501" s="172"/>
    </row>
    <row r="502" spans="1:12" ht="45">
      <c r="A502" s="61"/>
      <c r="B502" s="62" t="s">
        <v>207</v>
      </c>
      <c r="C502" s="63"/>
      <c r="D502" s="182"/>
      <c r="E502" s="160" t="s">
        <v>209</v>
      </c>
      <c r="F502" s="45"/>
      <c r="G502" s="908" t="s">
        <v>208</v>
      </c>
      <c r="H502" s="909"/>
      <c r="I502" s="159" t="s">
        <v>205</v>
      </c>
      <c r="J502" s="162" t="s">
        <v>210</v>
      </c>
      <c r="K502" s="908" t="s">
        <v>206</v>
      </c>
      <c r="L502" s="910"/>
    </row>
    <row r="503" spans="1:12" ht="15" customHeight="1">
      <c r="A503" s="61"/>
      <c r="B503" s="163">
        <v>1</v>
      </c>
      <c r="C503" s="63"/>
      <c r="D503" s="63"/>
      <c r="E503" s="166">
        <v>2</v>
      </c>
      <c r="F503" s="67"/>
      <c r="G503" s="166">
        <v>3</v>
      </c>
      <c r="H503" s="182"/>
      <c r="I503" s="182">
        <v>4</v>
      </c>
      <c r="J503" s="85">
        <v>5</v>
      </c>
      <c r="K503" s="69"/>
      <c r="L503" s="70">
        <v>6</v>
      </c>
    </row>
    <row r="504" spans="1:12">
      <c r="A504" s="61"/>
      <c r="B504" s="62"/>
      <c r="C504" s="178"/>
      <c r="D504" s="179"/>
      <c r="E504" s="180" t="s">
        <v>369</v>
      </c>
      <c r="F504" s="179"/>
      <c r="G504" s="180" t="s">
        <v>367</v>
      </c>
      <c r="H504" s="45"/>
      <c r="I504" s="11" t="s">
        <v>370</v>
      </c>
      <c r="J504" s="279">
        <v>1</v>
      </c>
      <c r="K504" s="181" t="s">
        <v>37</v>
      </c>
      <c r="L504" s="186"/>
    </row>
    <row r="505" spans="1:12">
      <c r="A505" s="61"/>
      <c r="B505" s="62"/>
      <c r="C505" s="178"/>
      <c r="D505" s="179"/>
      <c r="E505" s="180"/>
      <c r="F505" s="179"/>
      <c r="G505" s="180"/>
      <c r="H505" s="45"/>
      <c r="I505" s="11"/>
      <c r="J505" s="11"/>
      <c r="K505" s="181"/>
      <c r="L505" s="186"/>
    </row>
    <row r="506" spans="1:12">
      <c r="A506" s="61"/>
      <c r="B506" s="62"/>
      <c r="C506" s="178"/>
      <c r="D506" s="179"/>
      <c r="E506" s="180"/>
      <c r="F506" s="179"/>
      <c r="G506" s="180"/>
      <c r="H506" s="45"/>
      <c r="I506" s="11"/>
      <c r="J506" s="11"/>
      <c r="K506" s="181"/>
      <c r="L506" s="186"/>
    </row>
    <row r="507" spans="1:12">
      <c r="A507" s="61"/>
      <c r="B507" s="48"/>
      <c r="C507" s="17"/>
      <c r="D507" s="49"/>
      <c r="E507" s="180"/>
      <c r="F507" s="179"/>
      <c r="G507" s="180"/>
      <c r="H507" s="45"/>
      <c r="I507" s="11"/>
      <c r="J507" s="11"/>
      <c r="K507" s="181"/>
      <c r="L507" s="186"/>
    </row>
    <row r="508" spans="1:12">
      <c r="A508" s="61"/>
      <c r="B508" t="s">
        <v>211</v>
      </c>
      <c r="L508" s="14"/>
    </row>
    <row r="509" spans="1:12">
      <c r="A509" s="13"/>
      <c r="B509" t="s">
        <v>212</v>
      </c>
      <c r="L509" s="14"/>
    </row>
    <row r="510" spans="1:12">
      <c r="A510" s="13"/>
      <c r="B510" t="s">
        <v>223</v>
      </c>
      <c r="J510" t="s">
        <v>222</v>
      </c>
      <c r="L510" s="14"/>
    </row>
    <row r="511" spans="1:12">
      <c r="A511" s="13"/>
      <c r="G511" s="2" t="s">
        <v>220</v>
      </c>
      <c r="H511" s="2"/>
      <c r="I511" s="2"/>
      <c r="J511" s="2"/>
      <c r="K511" s="2"/>
      <c r="L511" s="57"/>
    </row>
    <row r="512" spans="1:12">
      <c r="A512" s="13"/>
      <c r="B512" s="2"/>
      <c r="G512" t="s">
        <v>221</v>
      </c>
      <c r="H512" s="2"/>
      <c r="I512" s="2"/>
      <c r="J512" s="2"/>
      <c r="K512" s="2"/>
      <c r="L512" s="57"/>
    </row>
    <row r="513" spans="1:12">
      <c r="A513" s="13"/>
      <c r="B513" s="169" t="s">
        <v>224</v>
      </c>
      <c r="C513" s="165"/>
      <c r="D513" s="165"/>
      <c r="E513" s="165"/>
      <c r="F513" s="165"/>
      <c r="G513" s="165"/>
      <c r="H513" s="154"/>
      <c r="I513" s="154"/>
      <c r="J513" s="154"/>
      <c r="K513" s="154"/>
      <c r="L513" s="172"/>
    </row>
    <row r="514" spans="1:12">
      <c r="A514" s="13"/>
      <c r="B514" s="169" t="s">
        <v>225</v>
      </c>
      <c r="C514" s="165"/>
      <c r="D514" s="165"/>
      <c r="E514" s="165"/>
      <c r="F514" s="165"/>
      <c r="G514" s="165"/>
      <c r="H514" s="154"/>
      <c r="I514" s="154"/>
      <c r="J514" s="155"/>
      <c r="K514" s="154"/>
      <c r="L514" s="172"/>
    </row>
    <row r="515" spans="1:12">
      <c r="A515" s="13"/>
      <c r="B515" s="62" t="s">
        <v>5</v>
      </c>
      <c r="C515" s="920" t="s">
        <v>226</v>
      </c>
      <c r="D515" s="779"/>
      <c r="E515" s="779"/>
      <c r="F515" s="779"/>
      <c r="G515" s="779"/>
      <c r="H515" s="780"/>
      <c r="I515" s="161" t="s">
        <v>105</v>
      </c>
      <c r="J515" s="921" t="s">
        <v>227</v>
      </c>
      <c r="K515" s="922"/>
      <c r="L515" s="923"/>
    </row>
    <row r="516" spans="1:12">
      <c r="A516" s="13"/>
      <c r="B516" s="163">
        <v>1</v>
      </c>
      <c r="C516" s="197"/>
      <c r="D516" s="66"/>
      <c r="E516" s="72">
        <v>2</v>
      </c>
      <c r="F516" s="44"/>
      <c r="G516" s="919"/>
      <c r="H516" s="909"/>
      <c r="I516" s="66">
        <v>3</v>
      </c>
      <c r="J516" s="184" t="s">
        <v>228</v>
      </c>
      <c r="K516" s="924">
        <v>4</v>
      </c>
      <c r="L516" s="925"/>
    </row>
    <row r="517" spans="1:12">
      <c r="A517" s="13"/>
      <c r="B517" s="62"/>
      <c r="C517" s="197"/>
      <c r="D517" s="66"/>
      <c r="E517" s="72"/>
      <c r="F517" s="44"/>
      <c r="G517" s="919"/>
      <c r="H517" s="909"/>
      <c r="I517" s="181"/>
      <c r="J517" s="183"/>
      <c r="K517" s="919"/>
      <c r="L517" s="910"/>
    </row>
    <row r="518" spans="1:12" ht="27.95" customHeight="1">
      <c r="A518" s="13"/>
      <c r="B518" s="62"/>
      <c r="C518" s="197"/>
      <c r="D518" s="66"/>
      <c r="E518" s="72"/>
      <c r="F518" s="44"/>
      <c r="G518" s="919"/>
      <c r="H518" s="909"/>
      <c r="I518" s="181"/>
      <c r="J518" s="183"/>
      <c r="K518" s="919"/>
      <c r="L518" s="910"/>
    </row>
    <row r="519" spans="1:12" ht="27.95" customHeight="1">
      <c r="A519" s="13"/>
      <c r="B519" s="62"/>
      <c r="C519" s="197"/>
      <c r="D519" s="66"/>
      <c r="E519" s="72"/>
      <c r="F519" s="44"/>
      <c r="G519" s="919"/>
      <c r="H519" s="909"/>
      <c r="I519" s="181"/>
      <c r="J519" s="183"/>
      <c r="K519" s="919"/>
      <c r="L519" s="910"/>
    </row>
    <row r="520" spans="1:12" ht="27.95" customHeight="1">
      <c r="A520" s="13"/>
      <c r="B520" s="48"/>
      <c r="C520" s="197"/>
      <c r="D520" s="66"/>
      <c r="E520" s="72"/>
      <c r="F520" s="44"/>
      <c r="G520" s="919"/>
      <c r="H520" s="909"/>
      <c r="I520" s="181"/>
      <c r="J520" s="183"/>
      <c r="K520" s="919"/>
      <c r="L520" s="910"/>
    </row>
    <row r="521" spans="1:12" ht="25.5" customHeight="1">
      <c r="A521" s="13"/>
      <c r="B521" t="s">
        <v>232</v>
      </c>
      <c r="L521" s="14"/>
    </row>
    <row r="522" spans="1:12" ht="18" customHeight="1">
      <c r="A522" s="13"/>
      <c r="B522" t="s">
        <v>233</v>
      </c>
      <c r="L522" s="14"/>
    </row>
    <row r="523" spans="1:12" ht="16.5" customHeight="1">
      <c r="A523" s="13"/>
      <c r="B523" t="s">
        <v>234</v>
      </c>
      <c r="L523" s="14"/>
    </row>
    <row r="524" spans="1:12" ht="16.5" customHeight="1">
      <c r="A524" s="13"/>
      <c r="B524" t="s">
        <v>235</v>
      </c>
      <c r="L524" s="14"/>
    </row>
    <row r="525" spans="1:12" ht="27.95" customHeight="1">
      <c r="A525" s="13"/>
      <c r="B525" s="180" t="s">
        <v>229</v>
      </c>
      <c r="C525" s="44"/>
      <c r="D525" s="44"/>
      <c r="E525" s="44"/>
      <c r="F525" s="45"/>
      <c r="G525" s="180" t="s">
        <v>205</v>
      </c>
      <c r="H525" s="45"/>
      <c r="I525" s="180" t="s">
        <v>230</v>
      </c>
      <c r="J525" s="44"/>
      <c r="K525" s="45"/>
      <c r="L525" s="14"/>
    </row>
    <row r="526" spans="1:12" ht="24.75" customHeight="1">
      <c r="A526" s="13"/>
      <c r="B526" s="911"/>
      <c r="C526" s="918"/>
      <c r="D526" s="918"/>
      <c r="E526" s="918"/>
      <c r="F526" s="917"/>
      <c r="G526" s="911"/>
      <c r="H526" s="917"/>
      <c r="I526" s="911"/>
      <c r="J526" s="918"/>
      <c r="K526" s="917"/>
      <c r="L526" s="14"/>
    </row>
    <row r="527" spans="1:12" ht="23.25" customHeight="1">
      <c r="A527" s="13"/>
      <c r="B527" s="911"/>
      <c r="C527" s="918"/>
      <c r="D527" s="918"/>
      <c r="E527" s="918"/>
      <c r="F527" s="917"/>
      <c r="G527" s="911"/>
      <c r="H527" s="917"/>
      <c r="I527" s="911"/>
      <c r="J527" s="918"/>
      <c r="K527" s="917"/>
      <c r="L527" s="14"/>
    </row>
    <row r="528" spans="1:12" ht="21.75" customHeight="1">
      <c r="A528" s="13"/>
      <c r="B528" s="911"/>
      <c r="C528" s="918"/>
      <c r="D528" s="918"/>
      <c r="E528" s="918"/>
      <c r="F528" s="917"/>
      <c r="G528" s="911"/>
      <c r="H528" s="917"/>
      <c r="I528" s="911"/>
      <c r="J528" s="918"/>
      <c r="K528" s="917"/>
      <c r="L528" s="14"/>
    </row>
    <row r="529" spans="1:12" ht="19.5" customHeight="1">
      <c r="A529" s="13"/>
      <c r="B529" s="911"/>
      <c r="C529" s="918"/>
      <c r="D529" s="918"/>
      <c r="E529" s="918"/>
      <c r="F529" s="917"/>
      <c r="G529" s="911"/>
      <c r="H529" s="917"/>
      <c r="I529" s="911"/>
      <c r="J529" s="918"/>
      <c r="K529" s="917"/>
      <c r="L529" s="14"/>
    </row>
    <row r="530" spans="1:12" ht="27.95" customHeight="1">
      <c r="A530" s="13"/>
      <c r="B530" t="s">
        <v>202</v>
      </c>
      <c r="I530" t="s">
        <v>231</v>
      </c>
      <c r="L530" s="14"/>
    </row>
    <row r="531" spans="1:12" ht="24" customHeight="1">
      <c r="A531" s="13"/>
      <c r="F531" s="168" t="s">
        <v>197</v>
      </c>
      <c r="L531" s="14"/>
    </row>
    <row r="532" spans="1:12" ht="27.95" customHeight="1">
      <c r="A532" s="13" t="s">
        <v>198</v>
      </c>
      <c r="L532" s="14"/>
    </row>
    <row r="533" spans="1:12" ht="27.95" customHeight="1">
      <c r="A533" s="13" t="s">
        <v>199</v>
      </c>
      <c r="L533" s="14"/>
    </row>
    <row r="534" spans="1:12" ht="27.95" customHeight="1">
      <c r="A534" s="13"/>
      <c r="F534" t="s">
        <v>200</v>
      </c>
      <c r="L534" s="14"/>
    </row>
    <row r="535" spans="1:12">
      <c r="A535" s="13" t="s">
        <v>201</v>
      </c>
      <c r="F535">
        <f>'BOM 04 22Master'!F411</f>
        <v>0</v>
      </c>
      <c r="L535" s="14"/>
    </row>
    <row r="536" spans="1:12" ht="15.75" thickBot="1">
      <c r="A536" s="25" t="s">
        <v>202</v>
      </c>
      <c r="B536" s="23"/>
      <c r="C536" s="23"/>
      <c r="D536" s="23"/>
      <c r="E536" s="23"/>
      <c r="F536" s="23">
        <f>'BOM 04 22Master'!F412</f>
        <v>0</v>
      </c>
      <c r="G536" s="23"/>
      <c r="H536" s="23"/>
      <c r="I536" s="23"/>
      <c r="J536" s="23"/>
      <c r="K536" s="23"/>
      <c r="L536" s="24"/>
    </row>
    <row r="537" spans="1:12" ht="32.25">
      <c r="A537" s="50"/>
      <c r="B537" s="51"/>
      <c r="C537" s="51"/>
      <c r="D537" s="173"/>
      <c r="E537" s="173"/>
      <c r="F537" s="173"/>
      <c r="G537" s="173"/>
      <c r="H537" s="173"/>
      <c r="I537" s="173"/>
      <c r="J537" s="51"/>
      <c r="K537" s="175" t="s">
        <v>216</v>
      </c>
      <c r="L537" s="174"/>
    </row>
    <row r="538" spans="1:12" ht="21">
      <c r="A538" s="13"/>
      <c r="B538" s="926" t="s">
        <v>215</v>
      </c>
      <c r="C538" s="926"/>
      <c r="D538" s="926"/>
      <c r="E538" s="926"/>
      <c r="F538" s="926"/>
      <c r="G538" s="926"/>
      <c r="H538" s="926"/>
      <c r="I538" s="926"/>
      <c r="J538" s="926"/>
      <c r="K538" s="926"/>
      <c r="L538" s="927"/>
    </row>
    <row r="539" spans="1:12" ht="15.75">
      <c r="A539" s="13"/>
      <c r="B539" s="904" t="s">
        <v>217</v>
      </c>
      <c r="C539" s="904"/>
      <c r="D539" s="904"/>
      <c r="E539" s="904"/>
      <c r="F539" s="904"/>
      <c r="G539" s="904"/>
      <c r="H539" s="904"/>
      <c r="I539" s="904"/>
      <c r="J539" s="904"/>
      <c r="K539" s="904"/>
      <c r="L539" s="928"/>
    </row>
    <row r="540" spans="1:12" ht="15" customHeight="1">
      <c r="A540" s="13"/>
      <c r="B540" s="176" t="s">
        <v>218</v>
      </c>
      <c r="C540" s="176"/>
      <c r="D540" s="176"/>
      <c r="E540" s="176"/>
      <c r="F540" s="176"/>
      <c r="H540" s="177"/>
      <c r="I540" s="177"/>
      <c r="J540" s="177"/>
      <c r="K540" s="177"/>
      <c r="L540" s="185"/>
    </row>
    <row r="541" spans="1:12">
      <c r="A541" s="13"/>
      <c r="B541" s="742" t="s">
        <v>188</v>
      </c>
      <c r="C541" s="742"/>
      <c r="D541" s="742"/>
      <c r="E541" s="742"/>
      <c r="F541" s="742"/>
      <c r="G541" s="742"/>
      <c r="H541" s="743">
        <f>'BOM 04 22Master'!B472</f>
        <v>0</v>
      </c>
      <c r="I541" s="744"/>
      <c r="J541" s="744"/>
      <c r="K541" s="744"/>
      <c r="L541" s="745"/>
    </row>
    <row r="542" spans="1:12">
      <c r="A542" s="13"/>
      <c r="B542" s="755" t="s">
        <v>189</v>
      </c>
      <c r="C542" s="755"/>
      <c r="D542" s="755"/>
      <c r="E542" s="755"/>
      <c r="F542" s="755"/>
      <c r="G542" s="755"/>
      <c r="H542" s="743">
        <f>'BOM 04 22Master'!E472</f>
        <v>0</v>
      </c>
      <c r="I542" s="744"/>
      <c r="J542" s="744"/>
      <c r="K542" s="744"/>
      <c r="L542" s="745"/>
    </row>
    <row r="543" spans="1:12">
      <c r="A543" s="13"/>
      <c r="B543" s="742" t="s">
        <v>190</v>
      </c>
      <c r="C543" s="742"/>
      <c r="D543" s="742"/>
      <c r="E543" s="742"/>
      <c r="F543" s="742"/>
      <c r="G543" s="742"/>
      <c r="H543" s="743">
        <f>'BOM 04 22Master'!C472</f>
        <v>0</v>
      </c>
      <c r="I543" s="744"/>
      <c r="J543" s="744"/>
      <c r="K543" s="744"/>
      <c r="L543" s="745"/>
    </row>
    <row r="544" spans="1:12">
      <c r="A544" s="13"/>
      <c r="B544" s="742" t="s">
        <v>191</v>
      </c>
      <c r="C544" s="742"/>
      <c r="D544" s="742"/>
      <c r="E544" s="742"/>
      <c r="F544" s="742"/>
      <c r="G544" s="742"/>
      <c r="H544" s="916">
        <f>'BOM 04 22Master'!D472</f>
        <v>0</v>
      </c>
      <c r="I544" s="744"/>
      <c r="J544" s="744"/>
      <c r="K544" s="744"/>
      <c r="L544" s="745"/>
    </row>
    <row r="545" spans="1:12">
      <c r="A545" s="13"/>
      <c r="B545" s="62" t="s">
        <v>192</v>
      </c>
      <c r="C545" s="63"/>
      <c r="D545" s="63"/>
      <c r="E545" s="63"/>
      <c r="F545" s="63"/>
      <c r="G545" s="63"/>
      <c r="H545" s="913" t="s">
        <v>193</v>
      </c>
      <c r="I545" s="914"/>
      <c r="J545" s="914"/>
      <c r="K545" s="914"/>
      <c r="L545" s="915"/>
    </row>
    <row r="546" spans="1:12">
      <c r="A546" s="13"/>
      <c r="B546" s="62" t="s">
        <v>194</v>
      </c>
      <c r="C546" s="63"/>
      <c r="D546" s="63"/>
      <c r="E546" s="63"/>
      <c r="F546" s="63"/>
      <c r="G546" s="63"/>
      <c r="H546" s="64"/>
      <c r="I546" s="66"/>
      <c r="J546" s="167"/>
      <c r="K546" s="66"/>
      <c r="L546" s="71"/>
    </row>
    <row r="547" spans="1:12">
      <c r="A547" s="13"/>
      <c r="B547" s="749" t="s">
        <v>195</v>
      </c>
      <c r="C547" s="749"/>
      <c r="D547" s="749"/>
      <c r="E547" s="749"/>
      <c r="F547" s="749"/>
      <c r="G547" s="749"/>
      <c r="H547" s="750">
        <f>'BOM 04 22Master'!G472</f>
        <v>0</v>
      </c>
      <c r="I547" s="751"/>
      <c r="J547" s="751"/>
      <c r="K547" s="751"/>
      <c r="L547" s="752"/>
    </row>
    <row r="548" spans="1:12">
      <c r="A548" s="13"/>
      <c r="B548" s="742"/>
      <c r="C548" s="742"/>
      <c r="D548" s="742"/>
      <c r="E548" s="742"/>
      <c r="F548" s="742"/>
      <c r="G548" s="742"/>
      <c r="H548" s="766">
        <f>'BOM 04 22Master'!H472</f>
        <v>0</v>
      </c>
      <c r="I548" s="744"/>
      <c r="J548" s="744"/>
      <c r="K548" s="744"/>
      <c r="L548" s="745"/>
    </row>
    <row r="549" spans="1:12">
      <c r="A549" s="13"/>
      <c r="B549" s="742"/>
      <c r="C549" s="742"/>
      <c r="D549" s="742"/>
      <c r="E549" s="742"/>
      <c r="F549" s="742"/>
      <c r="G549" s="742"/>
      <c r="H549" s="743">
        <f>'BOM 04 22Master'!I472</f>
        <v>0</v>
      </c>
      <c r="I549" s="744"/>
      <c r="J549" s="744"/>
      <c r="K549" s="744"/>
      <c r="L549" s="745"/>
    </row>
    <row r="550" spans="1:12">
      <c r="A550" s="13"/>
      <c r="G550" s="2" t="s">
        <v>219</v>
      </c>
      <c r="H550" s="2"/>
      <c r="I550" s="2"/>
      <c r="J550" s="2"/>
      <c r="K550" s="2"/>
      <c r="L550" s="57"/>
    </row>
    <row r="551" spans="1:12">
      <c r="A551" s="13"/>
      <c r="B551" s="169" t="s">
        <v>203</v>
      </c>
      <c r="C551" s="165"/>
      <c r="D551" s="165"/>
      <c r="E551" s="165"/>
      <c r="F551" s="165"/>
      <c r="G551" s="165"/>
      <c r="H551" s="154"/>
      <c r="I551" s="154"/>
      <c r="J551" s="154"/>
      <c r="K551" s="154"/>
      <c r="L551" s="172"/>
    </row>
    <row r="552" spans="1:12">
      <c r="A552" s="13"/>
      <c r="B552" s="169" t="s">
        <v>204</v>
      </c>
      <c r="C552" s="165"/>
      <c r="D552" s="165"/>
      <c r="E552" s="165"/>
      <c r="F552" s="165"/>
      <c r="G552" s="165"/>
      <c r="H552" s="154"/>
      <c r="I552" s="154"/>
      <c r="J552" s="155"/>
      <c r="K552" s="154"/>
      <c r="L552" s="172"/>
    </row>
    <row r="553" spans="1:12" ht="45">
      <c r="A553" s="61"/>
      <c r="B553" s="62" t="s">
        <v>207</v>
      </c>
      <c r="C553" s="63"/>
      <c r="D553" s="182"/>
      <c r="E553" s="160" t="s">
        <v>209</v>
      </c>
      <c r="F553" s="45"/>
      <c r="G553" s="908" t="s">
        <v>208</v>
      </c>
      <c r="H553" s="909"/>
      <c r="I553" s="159" t="s">
        <v>205</v>
      </c>
      <c r="J553" s="162" t="s">
        <v>210</v>
      </c>
      <c r="K553" s="908" t="s">
        <v>206</v>
      </c>
      <c r="L553" s="910"/>
    </row>
    <row r="554" spans="1:12">
      <c r="A554" s="61"/>
      <c r="B554" s="163">
        <v>1</v>
      </c>
      <c r="C554" s="63"/>
      <c r="D554" s="63"/>
      <c r="E554" s="166">
        <v>2</v>
      </c>
      <c r="F554" s="67"/>
      <c r="G554" s="166">
        <v>3</v>
      </c>
      <c r="H554" s="182"/>
      <c r="I554" s="182">
        <v>4</v>
      </c>
      <c r="J554" s="85">
        <v>5</v>
      </c>
      <c r="K554" s="69"/>
      <c r="L554" s="70">
        <v>6</v>
      </c>
    </row>
    <row r="555" spans="1:12" ht="27.95" customHeight="1">
      <c r="A555" s="61"/>
      <c r="B555" s="62"/>
      <c r="C555" s="178"/>
      <c r="D555" s="179"/>
      <c r="E555" s="180" t="s">
        <v>369</v>
      </c>
      <c r="F555" s="179"/>
      <c r="G555" s="180" t="s">
        <v>367</v>
      </c>
      <c r="H555" s="45"/>
      <c r="I555" s="11" t="s">
        <v>370</v>
      </c>
      <c r="J555" s="279">
        <v>1</v>
      </c>
      <c r="K555" s="181" t="s">
        <v>37</v>
      </c>
      <c r="L555" s="186"/>
    </row>
    <row r="556" spans="1:12" ht="27.95" customHeight="1">
      <c r="A556" s="61"/>
      <c r="B556" s="62"/>
      <c r="C556" s="178"/>
      <c r="D556" s="179"/>
      <c r="E556" s="180"/>
      <c r="F556" s="179"/>
      <c r="G556" s="180"/>
      <c r="H556" s="45"/>
      <c r="I556" s="11"/>
      <c r="J556" s="11"/>
      <c r="K556" s="181"/>
      <c r="L556" s="186"/>
    </row>
    <row r="557" spans="1:12" ht="27.95" customHeight="1">
      <c r="A557" s="61"/>
      <c r="B557" s="62"/>
      <c r="C557" s="178"/>
      <c r="D557" s="179"/>
      <c r="E557" s="180"/>
      <c r="F557" s="179"/>
      <c r="G557" s="180"/>
      <c r="H557" s="45"/>
      <c r="I557" s="11"/>
      <c r="J557" s="11"/>
      <c r="K557" s="181"/>
      <c r="L557" s="186"/>
    </row>
    <row r="558" spans="1:12" ht="27.95" customHeight="1">
      <c r="A558" s="61"/>
      <c r="B558" s="48"/>
      <c r="C558" s="17"/>
      <c r="D558" s="49"/>
      <c r="E558" s="180"/>
      <c r="F558" s="179"/>
      <c r="G558" s="180"/>
      <c r="H558" s="45"/>
      <c r="I558" s="11"/>
      <c r="J558" s="11"/>
      <c r="K558" s="181"/>
      <c r="L558" s="186"/>
    </row>
    <row r="559" spans="1:12" ht="27.95" customHeight="1">
      <c r="A559" s="61"/>
      <c r="B559" t="s">
        <v>211</v>
      </c>
      <c r="L559" s="14"/>
    </row>
    <row r="560" spans="1:12" ht="27.95" customHeight="1">
      <c r="A560" s="13"/>
      <c r="B560" t="s">
        <v>212</v>
      </c>
      <c r="L560" s="14"/>
    </row>
    <row r="561" spans="1:12" ht="27.95" customHeight="1">
      <c r="A561" s="13"/>
      <c r="B561" t="s">
        <v>223</v>
      </c>
      <c r="J561" t="s">
        <v>222</v>
      </c>
      <c r="L561" s="14"/>
    </row>
    <row r="562" spans="1:12" ht="27.95" customHeight="1">
      <c r="A562" s="13"/>
      <c r="G562" s="2" t="s">
        <v>220</v>
      </c>
      <c r="H562" s="2"/>
      <c r="I562" s="2"/>
      <c r="J562" s="2"/>
      <c r="K562" s="2"/>
      <c r="L562" s="57"/>
    </row>
    <row r="563" spans="1:12" ht="27.95" customHeight="1">
      <c r="A563" s="13"/>
      <c r="B563" s="2"/>
      <c r="G563" t="s">
        <v>221</v>
      </c>
      <c r="H563" s="2"/>
      <c r="I563" s="2"/>
      <c r="J563" s="2"/>
      <c r="K563" s="2"/>
      <c r="L563" s="57"/>
    </row>
    <row r="564" spans="1:12" ht="27.95" customHeight="1">
      <c r="A564" s="13"/>
      <c r="B564" s="169" t="s">
        <v>224</v>
      </c>
      <c r="C564" s="165"/>
      <c r="D564" s="165"/>
      <c r="E564" s="165"/>
      <c r="F564" s="165"/>
      <c r="G564" s="165"/>
      <c r="H564" s="154"/>
      <c r="I564" s="154"/>
      <c r="J564" s="154"/>
      <c r="K564" s="154"/>
      <c r="L564" s="172"/>
    </row>
    <row r="565" spans="1:12" ht="27.95" customHeight="1">
      <c r="A565" s="13"/>
      <c r="B565" s="169" t="s">
        <v>225</v>
      </c>
      <c r="C565" s="165"/>
      <c r="D565" s="165"/>
      <c r="E565" s="165"/>
      <c r="F565" s="165"/>
      <c r="G565" s="165"/>
      <c r="H565" s="154"/>
      <c r="I565" s="154"/>
      <c r="J565" s="155"/>
      <c r="K565" s="154"/>
      <c r="L565" s="172"/>
    </row>
    <row r="566" spans="1:12" ht="27.95" customHeight="1">
      <c r="A566" s="13"/>
      <c r="B566" s="62" t="s">
        <v>5</v>
      </c>
      <c r="C566" s="920" t="s">
        <v>226</v>
      </c>
      <c r="D566" s="779"/>
      <c r="E566" s="779"/>
      <c r="F566" s="779"/>
      <c r="G566" s="779"/>
      <c r="H566" s="780"/>
      <c r="I566" s="161" t="s">
        <v>105</v>
      </c>
      <c r="J566" s="921" t="s">
        <v>227</v>
      </c>
      <c r="K566" s="922"/>
      <c r="L566" s="923"/>
    </row>
    <row r="567" spans="1:12" ht="27.95" customHeight="1">
      <c r="A567" s="13"/>
      <c r="B567" s="163">
        <v>1</v>
      </c>
      <c r="C567" s="197"/>
      <c r="D567" s="66"/>
      <c r="E567" s="72">
        <v>2</v>
      </c>
      <c r="F567" s="44"/>
      <c r="G567" s="919"/>
      <c r="H567" s="909"/>
      <c r="I567" s="66">
        <v>3</v>
      </c>
      <c r="J567" s="184" t="s">
        <v>228</v>
      </c>
      <c r="K567" s="924">
        <v>4</v>
      </c>
      <c r="L567" s="925"/>
    </row>
    <row r="568" spans="1:12" ht="27.95" customHeight="1">
      <c r="A568" s="13"/>
      <c r="B568" s="62"/>
      <c r="C568" s="197"/>
      <c r="D568" s="66"/>
      <c r="E568" s="72"/>
      <c r="F568" s="44"/>
      <c r="G568" s="919"/>
      <c r="H568" s="909"/>
      <c r="I568" s="181"/>
      <c r="J568" s="183"/>
      <c r="K568" s="919"/>
      <c r="L568" s="910"/>
    </row>
    <row r="569" spans="1:12" ht="27.95" customHeight="1">
      <c r="A569" s="13"/>
      <c r="B569" s="62"/>
      <c r="C569" s="197"/>
      <c r="D569" s="66"/>
      <c r="E569" s="72"/>
      <c r="F569" s="44"/>
      <c r="G569" s="919"/>
      <c r="H569" s="909"/>
      <c r="I569" s="181"/>
      <c r="J569" s="183"/>
      <c r="K569" s="919"/>
      <c r="L569" s="910"/>
    </row>
    <row r="570" spans="1:12" ht="27.95" customHeight="1">
      <c r="A570" s="13"/>
      <c r="B570" s="62"/>
      <c r="C570" s="197"/>
      <c r="D570" s="66"/>
      <c r="E570" s="72"/>
      <c r="F570" s="44"/>
      <c r="G570" s="919"/>
      <c r="H570" s="909"/>
      <c r="I570" s="181"/>
      <c r="J570" s="183"/>
      <c r="K570" s="919"/>
      <c r="L570" s="910"/>
    </row>
    <row r="571" spans="1:12" ht="27.95" customHeight="1">
      <c r="A571" s="13"/>
      <c r="B571" s="48"/>
      <c r="C571" s="197"/>
      <c r="D571" s="66"/>
      <c r="E571" s="72"/>
      <c r="F571" s="44"/>
      <c r="G571" s="919"/>
      <c r="H571" s="909"/>
      <c r="I571" s="181"/>
      <c r="J571" s="183"/>
      <c r="K571" s="919"/>
      <c r="L571" s="910"/>
    </row>
    <row r="572" spans="1:12" ht="27.95" customHeight="1">
      <c r="A572" s="13"/>
      <c r="B572" t="s">
        <v>232</v>
      </c>
      <c r="L572" s="14"/>
    </row>
    <row r="573" spans="1:12">
      <c r="A573" s="13"/>
      <c r="B573" t="s">
        <v>233</v>
      </c>
      <c r="L573" s="14"/>
    </row>
    <row r="574" spans="1:12">
      <c r="A574" s="13"/>
      <c r="B574" t="s">
        <v>234</v>
      </c>
      <c r="L574" s="14"/>
    </row>
    <row r="575" spans="1:12">
      <c r="A575" s="13"/>
      <c r="B575" t="s">
        <v>235</v>
      </c>
      <c r="L575" s="14"/>
    </row>
    <row r="576" spans="1:12">
      <c r="A576" s="13"/>
      <c r="B576" s="180" t="s">
        <v>229</v>
      </c>
      <c r="C576" s="44"/>
      <c r="D576" s="44"/>
      <c r="E576" s="44"/>
      <c r="F576" s="45"/>
      <c r="G576" s="180" t="s">
        <v>205</v>
      </c>
      <c r="H576" s="45"/>
      <c r="I576" s="180" t="s">
        <v>230</v>
      </c>
      <c r="J576" s="44"/>
      <c r="K576" s="45"/>
      <c r="L576" s="14"/>
    </row>
    <row r="577" spans="1:12">
      <c r="A577" s="13"/>
      <c r="B577" s="911"/>
      <c r="C577" s="918"/>
      <c r="D577" s="918"/>
      <c r="E577" s="918"/>
      <c r="F577" s="917"/>
      <c r="G577" s="911"/>
      <c r="H577" s="917"/>
      <c r="I577" s="911"/>
      <c r="J577" s="918"/>
      <c r="K577" s="917"/>
      <c r="L577" s="14"/>
    </row>
    <row r="578" spans="1:12">
      <c r="A578" s="13"/>
      <c r="B578" s="911"/>
      <c r="C578" s="918"/>
      <c r="D578" s="918"/>
      <c r="E578" s="918"/>
      <c r="F578" s="917"/>
      <c r="G578" s="911"/>
      <c r="H578" s="917"/>
      <c r="I578" s="911"/>
      <c r="J578" s="918"/>
      <c r="K578" s="917"/>
      <c r="L578" s="14"/>
    </row>
    <row r="579" spans="1:12" ht="15" customHeight="1">
      <c r="A579" s="13"/>
      <c r="B579" s="911"/>
      <c r="C579" s="918"/>
      <c r="D579" s="918"/>
      <c r="E579" s="918"/>
      <c r="F579" s="917"/>
      <c r="G579" s="911"/>
      <c r="H579" s="917"/>
      <c r="I579" s="911"/>
      <c r="J579" s="918"/>
      <c r="K579" s="917"/>
      <c r="L579" s="14"/>
    </row>
    <row r="580" spans="1:12">
      <c r="A580" s="13"/>
      <c r="B580" s="911"/>
      <c r="C580" s="918"/>
      <c r="D580" s="918"/>
      <c r="E580" s="918"/>
      <c r="F580" s="917"/>
      <c r="G580" s="911"/>
      <c r="H580" s="917"/>
      <c r="I580" s="911"/>
      <c r="J580" s="918"/>
      <c r="K580" s="917"/>
      <c r="L580" s="14"/>
    </row>
    <row r="581" spans="1:12">
      <c r="A581" s="13"/>
      <c r="B581" t="s">
        <v>202</v>
      </c>
      <c r="I581" t="s">
        <v>231</v>
      </c>
      <c r="L581" s="14"/>
    </row>
    <row r="582" spans="1:12" ht="18.75">
      <c r="A582" s="13"/>
      <c r="F582" s="168" t="s">
        <v>197</v>
      </c>
      <c r="L582" s="14"/>
    </row>
    <row r="583" spans="1:12">
      <c r="A583" s="13" t="s">
        <v>198</v>
      </c>
      <c r="L583" s="14"/>
    </row>
    <row r="584" spans="1:12">
      <c r="A584" s="13" t="s">
        <v>199</v>
      </c>
      <c r="L584" s="14"/>
    </row>
    <row r="585" spans="1:12">
      <c r="A585" s="13"/>
      <c r="F585" t="s">
        <v>200</v>
      </c>
      <c r="L585" s="14"/>
    </row>
    <row r="586" spans="1:12">
      <c r="A586" s="13" t="s">
        <v>201</v>
      </c>
      <c r="F586">
        <f>'BOM 04 22Master'!F462</f>
        <v>0</v>
      </c>
      <c r="L586" s="14"/>
    </row>
    <row r="587" spans="1:12" ht="15.75" thickBot="1">
      <c r="A587" s="25" t="s">
        <v>202</v>
      </c>
      <c r="B587" s="23"/>
      <c r="C587" s="23"/>
      <c r="D587" s="23"/>
      <c r="E587" s="23"/>
      <c r="F587" s="23">
        <f>'BOM 04 22Master'!F463</f>
        <v>0</v>
      </c>
      <c r="G587" s="23"/>
      <c r="H587" s="23"/>
      <c r="I587" s="23"/>
      <c r="J587" s="23"/>
      <c r="K587" s="23"/>
      <c r="L587" s="24"/>
    </row>
    <row r="589" spans="1:12">
      <c r="H589" s="2"/>
      <c r="I589" s="2"/>
      <c r="J589" s="2"/>
      <c r="K589" s="2"/>
      <c r="L589" s="2"/>
    </row>
    <row r="590" spans="1:12">
      <c r="H590" s="2"/>
      <c r="I590" s="2"/>
      <c r="J590" s="2"/>
      <c r="K590" s="2"/>
      <c r="L590" s="2"/>
    </row>
    <row r="591" spans="1:12">
      <c r="B591" s="2"/>
      <c r="H591" s="2"/>
      <c r="I591" s="2"/>
      <c r="J591" s="2"/>
      <c r="K591" s="2"/>
      <c r="L591" s="2"/>
    </row>
    <row r="592" spans="1:12">
      <c r="H592" s="2"/>
      <c r="I592" s="2"/>
      <c r="J592" s="2"/>
      <c r="K592" s="2"/>
      <c r="L592" s="2"/>
    </row>
    <row r="593" spans="1:12">
      <c r="H593" s="2"/>
      <c r="I593" s="2"/>
      <c r="J593" s="2"/>
      <c r="K593" s="2"/>
      <c r="L593" s="2"/>
    </row>
    <row r="594" spans="1:12" ht="27.95" customHeight="1">
      <c r="A594" s="10"/>
      <c r="B594" s="901"/>
      <c r="C594" s="901"/>
      <c r="D594" s="901"/>
      <c r="E594" s="901"/>
      <c r="F594" s="901"/>
      <c r="G594" s="901"/>
      <c r="H594" s="899"/>
      <c r="I594" s="900"/>
      <c r="J594" s="900"/>
      <c r="K594" s="900"/>
      <c r="L594" s="900"/>
    </row>
    <row r="595" spans="1:12" ht="27.95" customHeight="1">
      <c r="A595" s="10"/>
      <c r="B595" s="764"/>
      <c r="C595" s="764"/>
      <c r="D595" s="764"/>
      <c r="E595" s="764"/>
      <c r="F595" s="764"/>
      <c r="G595" s="764"/>
      <c r="H595" s="899"/>
      <c r="I595" s="900"/>
      <c r="J595" s="900"/>
      <c r="K595" s="900"/>
      <c r="L595" s="900"/>
    </row>
    <row r="596" spans="1:12" ht="27.95" customHeight="1">
      <c r="A596" s="10"/>
      <c r="B596" s="901"/>
      <c r="C596" s="901"/>
      <c r="D596" s="901"/>
      <c r="E596" s="901"/>
      <c r="F596" s="901"/>
      <c r="G596" s="901"/>
      <c r="H596" s="899"/>
      <c r="I596" s="900"/>
      <c r="J596" s="900"/>
      <c r="K596" s="900"/>
      <c r="L596" s="900"/>
    </row>
    <row r="597" spans="1:12" ht="27.95" customHeight="1">
      <c r="A597" s="10"/>
      <c r="B597" s="901"/>
      <c r="C597" s="901"/>
      <c r="D597" s="901"/>
      <c r="E597" s="901"/>
      <c r="F597" s="901"/>
      <c r="G597" s="901"/>
      <c r="H597" s="903"/>
      <c r="I597" s="900"/>
      <c r="J597" s="900"/>
      <c r="K597" s="900"/>
      <c r="L597" s="900"/>
    </row>
    <row r="598" spans="1:12" ht="27.95" customHeight="1">
      <c r="A598" s="10"/>
      <c r="B598" s="169"/>
      <c r="C598" s="165"/>
      <c r="D598" s="165"/>
      <c r="E598" s="165"/>
      <c r="F598" s="165"/>
      <c r="G598" s="165"/>
      <c r="H598" s="154"/>
      <c r="I598" s="10"/>
      <c r="J598" s="238"/>
      <c r="K598" s="154"/>
      <c r="L598" s="154"/>
    </row>
    <row r="599" spans="1:12" ht="27.95" customHeight="1">
      <c r="A599" s="10"/>
      <c r="B599" s="169"/>
      <c r="C599" s="165"/>
      <c r="D599" s="165"/>
      <c r="E599" s="165"/>
      <c r="F599" s="165"/>
      <c r="G599" s="165"/>
      <c r="H599" s="154"/>
      <c r="I599" s="154"/>
      <c r="J599" s="238"/>
      <c r="K599" s="154"/>
      <c r="L599" s="154"/>
    </row>
    <row r="600" spans="1:12" ht="27.95" customHeight="1">
      <c r="A600" s="10"/>
      <c r="B600" s="764"/>
      <c r="C600" s="764"/>
      <c r="D600" s="764"/>
      <c r="E600" s="764"/>
      <c r="F600" s="764"/>
      <c r="G600" s="764"/>
      <c r="H600" s="899"/>
      <c r="I600" s="900"/>
      <c r="J600" s="900"/>
      <c r="K600" s="900"/>
      <c r="L600" s="900"/>
    </row>
    <row r="601" spans="1:12" ht="27.95" customHeight="1">
      <c r="A601" s="10"/>
      <c r="B601" s="901"/>
      <c r="C601" s="901"/>
      <c r="D601" s="901"/>
      <c r="E601" s="901"/>
      <c r="F601" s="901"/>
      <c r="G601" s="901"/>
      <c r="H601" s="902"/>
      <c r="I601" s="900"/>
      <c r="J601" s="900"/>
      <c r="K601" s="900"/>
      <c r="L601" s="900"/>
    </row>
    <row r="602" spans="1:12" ht="27.95" customHeight="1">
      <c r="B602" s="901"/>
      <c r="C602" s="901"/>
      <c r="D602" s="901"/>
      <c r="E602" s="901"/>
      <c r="F602" s="901"/>
      <c r="G602" s="901"/>
      <c r="H602" s="900"/>
      <c r="I602" s="900"/>
      <c r="J602" s="900"/>
      <c r="K602" s="900"/>
      <c r="L602" s="900"/>
    </row>
    <row r="603" spans="1:12" ht="27.95" customHeight="1">
      <c r="B603" s="169"/>
      <c r="C603" s="165"/>
      <c r="D603" s="165"/>
      <c r="E603" s="165"/>
      <c r="F603" s="165"/>
      <c r="G603" s="165"/>
      <c r="H603" s="154"/>
      <c r="I603" s="154"/>
      <c r="J603" s="154"/>
      <c r="K603" s="154"/>
      <c r="L603" s="154"/>
    </row>
    <row r="604" spans="1:12" ht="27.95" customHeight="1">
      <c r="B604" s="169"/>
      <c r="C604" s="165"/>
      <c r="D604" s="165"/>
      <c r="E604" s="165"/>
      <c r="F604" s="165"/>
      <c r="G604" s="165"/>
      <c r="H604" s="154"/>
      <c r="I604" s="154"/>
      <c r="J604" s="154"/>
      <c r="K604" s="154"/>
      <c r="L604" s="154"/>
    </row>
    <row r="605" spans="1:12" ht="27.95" customHeight="1">
      <c r="B605" s="169"/>
      <c r="C605" s="165"/>
      <c r="D605" s="165"/>
      <c r="E605" s="165"/>
      <c r="F605" s="165"/>
      <c r="G605" s="165"/>
      <c r="H605" s="154"/>
      <c r="I605" s="154"/>
      <c r="J605" s="155"/>
      <c r="K605" s="154"/>
      <c r="L605" s="154"/>
    </row>
    <row r="606" spans="1:12" ht="27.95" customHeight="1">
      <c r="B606" s="169"/>
      <c r="C606" s="165"/>
      <c r="D606" s="165"/>
      <c r="E606" s="165"/>
      <c r="F606" s="165"/>
      <c r="G606" s="165"/>
      <c r="H606" s="154"/>
      <c r="I606" s="154"/>
      <c r="J606" s="154"/>
      <c r="K606" s="154"/>
      <c r="L606" s="154"/>
    </row>
    <row r="607" spans="1:12" ht="27.95" customHeight="1">
      <c r="B607" s="169"/>
      <c r="C607" s="165"/>
      <c r="D607" s="165"/>
      <c r="E607" s="165"/>
      <c r="F607" s="165"/>
      <c r="G607" s="165"/>
      <c r="H607" s="154"/>
      <c r="I607" s="154"/>
      <c r="J607" s="155"/>
      <c r="K607" s="154"/>
      <c r="L607" s="154"/>
    </row>
    <row r="608" spans="1:12" ht="27.95" customHeight="1">
      <c r="B608" s="169"/>
      <c r="C608" s="165"/>
      <c r="D608" s="154"/>
      <c r="E608" s="155"/>
      <c r="F608" s="154"/>
      <c r="G608" s="155"/>
      <c r="H608" s="154"/>
      <c r="I608" s="155"/>
      <c r="J608" s="154"/>
      <c r="K608" s="155"/>
      <c r="L608" s="155"/>
    </row>
    <row r="609" spans="2:12" ht="27.95" customHeight="1">
      <c r="B609" s="169"/>
      <c r="C609" s="165"/>
      <c r="D609" s="165"/>
      <c r="E609" s="165"/>
      <c r="F609" s="165"/>
      <c r="G609" s="165"/>
      <c r="H609" s="154"/>
      <c r="I609" s="154"/>
      <c r="J609" s="239"/>
      <c r="K609" s="154"/>
      <c r="L609" s="154"/>
    </row>
    <row r="610" spans="2:12" ht="27.95" customHeight="1">
      <c r="B610" s="169"/>
      <c r="C610" s="2"/>
      <c r="D610" s="2"/>
      <c r="E610" s="2"/>
      <c r="F610" s="2"/>
      <c r="G610" s="2"/>
    </row>
    <row r="611" spans="2:12" ht="27.95" customHeight="1">
      <c r="B611" s="169"/>
      <c r="C611" s="2"/>
      <c r="D611" s="2"/>
      <c r="E611" s="2"/>
      <c r="F611" s="2"/>
      <c r="G611" s="2"/>
    </row>
    <row r="614" spans="2:12" ht="32.25">
      <c r="B614" s="905"/>
      <c r="C614" s="795"/>
      <c r="D614" s="795"/>
      <c r="E614" s="795"/>
      <c r="F614" s="795"/>
      <c r="G614" s="795"/>
      <c r="H614" s="795"/>
      <c r="I614" s="795"/>
      <c r="J614" s="795"/>
      <c r="K614" s="795"/>
      <c r="L614" s="795"/>
    </row>
    <row r="615" spans="2:12" ht="23.25">
      <c r="B615" s="759"/>
      <c r="C615" s="759"/>
      <c r="D615" s="759"/>
      <c r="E615" s="759"/>
      <c r="F615" s="759"/>
      <c r="G615" s="759"/>
      <c r="H615" s="759"/>
      <c r="I615" s="759"/>
      <c r="J615" s="759"/>
      <c r="K615" s="759"/>
      <c r="L615" s="759"/>
    </row>
    <row r="616" spans="2:12" ht="15.75">
      <c r="B616" s="904"/>
      <c r="C616" s="904"/>
      <c r="D616" s="904"/>
      <c r="E616" s="904"/>
      <c r="F616" s="904"/>
      <c r="G616" s="904"/>
      <c r="H616" s="904"/>
      <c r="I616" s="904"/>
      <c r="J616" s="904"/>
      <c r="K616" s="904"/>
      <c r="L616" s="904"/>
    </row>
    <row r="617" spans="2:12" ht="15" customHeight="1">
      <c r="B617" s="763"/>
      <c r="C617" s="763"/>
      <c r="D617" s="763"/>
      <c r="E617" s="763"/>
      <c r="F617" s="763"/>
      <c r="H617" s="764"/>
      <c r="I617" s="764"/>
      <c r="J617" s="764"/>
      <c r="K617" s="764"/>
      <c r="L617" s="764"/>
    </row>
    <row r="618" spans="2:12">
      <c r="B618" s="763"/>
      <c r="C618" s="763"/>
      <c r="D618" s="763"/>
      <c r="E618" s="763"/>
      <c r="F618" s="763"/>
      <c r="H618" s="764"/>
      <c r="I618" s="764"/>
      <c r="J618" s="764"/>
      <c r="K618" s="764"/>
      <c r="L618" s="764"/>
    </row>
    <row r="620" spans="2:12">
      <c r="B620" s="2"/>
      <c r="H620" s="2"/>
    </row>
    <row r="622" spans="2:12">
      <c r="B622" s="2"/>
      <c r="H622" s="2"/>
    </row>
    <row r="625" spans="1:12">
      <c r="B625" s="753"/>
      <c r="C625" s="753"/>
      <c r="D625" s="753"/>
      <c r="E625" s="753"/>
      <c r="F625" s="753"/>
      <c r="H625" s="753"/>
      <c r="I625" s="753"/>
      <c r="J625" s="753"/>
      <c r="K625" s="753"/>
      <c r="L625" s="753"/>
    </row>
    <row r="627" spans="1:12">
      <c r="H627" s="2"/>
      <c r="I627" s="2"/>
      <c r="J627" s="2"/>
      <c r="K627" s="2"/>
      <c r="L627" s="2"/>
    </row>
    <row r="628" spans="1:12">
      <c r="H628" s="2"/>
      <c r="I628" s="2"/>
      <c r="J628" s="2"/>
      <c r="K628" s="2"/>
      <c r="L628" s="2"/>
    </row>
    <row r="629" spans="1:12">
      <c r="B629" s="2"/>
      <c r="H629" s="2"/>
      <c r="I629" s="2"/>
      <c r="J629" s="2"/>
      <c r="K629" s="2"/>
      <c r="L629" s="2"/>
    </row>
    <row r="630" spans="1:12">
      <c r="H630" s="2"/>
      <c r="I630" s="2"/>
      <c r="J630" s="2"/>
      <c r="K630" s="2"/>
      <c r="L630" s="2"/>
    </row>
    <row r="631" spans="1:12">
      <c r="H631" s="2"/>
      <c r="I631" s="2"/>
      <c r="J631" s="2"/>
      <c r="K631" s="2"/>
      <c r="L631" s="2"/>
    </row>
    <row r="632" spans="1:12" ht="27.95" customHeight="1">
      <c r="A632" s="10"/>
      <c r="B632" s="901"/>
      <c r="C632" s="901"/>
      <c r="D632" s="901"/>
      <c r="E632" s="901"/>
      <c r="F632" s="901"/>
      <c r="G632" s="901"/>
      <c r="H632" s="899"/>
      <c r="I632" s="900"/>
      <c r="J632" s="900"/>
      <c r="K632" s="900"/>
      <c r="L632" s="900"/>
    </row>
    <row r="633" spans="1:12" ht="27.95" customHeight="1">
      <c r="A633" s="10"/>
      <c r="B633" s="764"/>
      <c r="C633" s="764"/>
      <c r="D633" s="764"/>
      <c r="E633" s="764"/>
      <c r="F633" s="764"/>
      <c r="G633" s="764"/>
      <c r="H633" s="899"/>
      <c r="I633" s="900"/>
      <c r="J633" s="900"/>
      <c r="K633" s="900"/>
      <c r="L633" s="900"/>
    </row>
    <row r="634" spans="1:12" ht="27.95" customHeight="1">
      <c r="A634" s="10"/>
      <c r="B634" s="901"/>
      <c r="C634" s="901"/>
      <c r="D634" s="901"/>
      <c r="E634" s="901"/>
      <c r="F634" s="901"/>
      <c r="G634" s="901"/>
      <c r="H634" s="899"/>
      <c r="I634" s="900"/>
      <c r="J634" s="900"/>
      <c r="K634" s="900"/>
      <c r="L634" s="900"/>
    </row>
    <row r="635" spans="1:12" ht="27.95" customHeight="1">
      <c r="A635" s="10"/>
      <c r="B635" s="901"/>
      <c r="C635" s="901"/>
      <c r="D635" s="901"/>
      <c r="E635" s="901"/>
      <c r="F635" s="901"/>
      <c r="G635" s="901"/>
      <c r="H635" s="903"/>
      <c r="I635" s="900"/>
      <c r="J635" s="900"/>
      <c r="K635" s="900"/>
      <c r="L635" s="900"/>
    </row>
    <row r="636" spans="1:12" ht="27.95" customHeight="1">
      <c r="A636" s="10"/>
      <c r="B636" s="169"/>
      <c r="C636" s="165"/>
      <c r="D636" s="165"/>
      <c r="E636" s="165"/>
      <c r="F636" s="165"/>
      <c r="G636" s="165"/>
      <c r="H636" s="154"/>
      <c r="I636" s="10"/>
      <c r="J636" s="238"/>
      <c r="K636" s="154"/>
      <c r="L636" s="154"/>
    </row>
    <row r="637" spans="1:12" ht="27.95" customHeight="1">
      <c r="A637" s="10"/>
      <c r="B637" s="169"/>
      <c r="C637" s="165"/>
      <c r="D637" s="165"/>
      <c r="E637" s="165"/>
      <c r="F637" s="165"/>
      <c r="G637" s="165"/>
      <c r="H637" s="154"/>
      <c r="I637" s="154"/>
      <c r="J637" s="238"/>
      <c r="K637" s="154"/>
      <c r="L637" s="154"/>
    </row>
    <row r="638" spans="1:12" ht="27.95" customHeight="1">
      <c r="A638" s="10"/>
      <c r="B638" s="764"/>
      <c r="C638" s="764"/>
      <c r="D638" s="764"/>
      <c r="E638" s="764"/>
      <c r="F638" s="764"/>
      <c r="G638" s="764"/>
      <c r="H638" s="899"/>
      <c r="I638" s="900"/>
      <c r="J638" s="900"/>
      <c r="K638" s="900"/>
      <c r="L638" s="900"/>
    </row>
    <row r="639" spans="1:12" ht="27.95" customHeight="1">
      <c r="A639" s="10"/>
      <c r="B639" s="901"/>
      <c r="C639" s="901"/>
      <c r="D639" s="901"/>
      <c r="E639" s="901"/>
      <c r="F639" s="901"/>
      <c r="G639" s="901"/>
      <c r="H639" s="902"/>
      <c r="I639" s="900"/>
      <c r="J639" s="900"/>
      <c r="K639" s="900"/>
      <c r="L639" s="900"/>
    </row>
    <row r="640" spans="1:12" ht="27.95" customHeight="1">
      <c r="B640" s="901"/>
      <c r="C640" s="901"/>
      <c r="D640" s="901"/>
      <c r="E640" s="901"/>
      <c r="F640" s="901"/>
      <c r="G640" s="901"/>
      <c r="H640" s="900"/>
      <c r="I640" s="900"/>
      <c r="J640" s="900"/>
      <c r="K640" s="900"/>
      <c r="L640" s="900"/>
    </row>
    <row r="641" spans="2:12" ht="27.95" customHeight="1">
      <c r="B641" s="169"/>
      <c r="C641" s="165"/>
      <c r="D641" s="165"/>
      <c r="E641" s="165"/>
      <c r="F641" s="165"/>
      <c r="G641" s="165"/>
      <c r="H641" s="154"/>
      <c r="I641" s="154"/>
      <c r="J641" s="154"/>
      <c r="K641" s="154"/>
      <c r="L641" s="154"/>
    </row>
    <row r="642" spans="2:12" ht="27.95" customHeight="1">
      <c r="B642" s="169"/>
      <c r="C642" s="165"/>
      <c r="D642" s="165"/>
      <c r="E642" s="165"/>
      <c r="F642" s="165"/>
      <c r="G642" s="165"/>
      <c r="H642" s="154"/>
      <c r="I642" s="154"/>
      <c r="J642" s="154"/>
      <c r="K642" s="154"/>
      <c r="L642" s="154"/>
    </row>
    <row r="643" spans="2:12" ht="27.95" customHeight="1">
      <c r="B643" s="169"/>
      <c r="C643" s="165"/>
      <c r="D643" s="165"/>
      <c r="E643" s="165"/>
      <c r="F643" s="165"/>
      <c r="G643" s="165"/>
      <c r="H643" s="154"/>
      <c r="I643" s="154"/>
      <c r="J643" s="155"/>
      <c r="K643" s="154"/>
      <c r="L643" s="154"/>
    </row>
    <row r="644" spans="2:12" ht="27.95" customHeight="1">
      <c r="B644" s="169"/>
      <c r="C644" s="165"/>
      <c r="D644" s="165"/>
      <c r="E644" s="165"/>
      <c r="F644" s="165"/>
      <c r="G644" s="165"/>
      <c r="H644" s="154"/>
      <c r="I644" s="154"/>
      <c r="J644" s="154"/>
      <c r="K644" s="154"/>
      <c r="L644" s="154"/>
    </row>
    <row r="645" spans="2:12" ht="27.95" customHeight="1">
      <c r="B645" s="169"/>
      <c r="C645" s="165"/>
      <c r="D645" s="165"/>
      <c r="E645" s="165"/>
      <c r="F645" s="165"/>
      <c r="G645" s="165"/>
      <c r="H645" s="154"/>
      <c r="I645" s="154"/>
      <c r="J645" s="155"/>
      <c r="K645" s="154"/>
      <c r="L645" s="154"/>
    </row>
    <row r="646" spans="2:12" ht="27.95" customHeight="1">
      <c r="B646" s="169"/>
      <c r="C646" s="165"/>
      <c r="D646" s="154"/>
      <c r="E646" s="155"/>
      <c r="F646" s="154"/>
      <c r="G646" s="155"/>
      <c r="H646" s="154"/>
      <c r="I646" s="155"/>
      <c r="J646" s="154"/>
      <c r="K646" s="155"/>
      <c r="L646" s="155"/>
    </row>
    <row r="647" spans="2:12" ht="27.95" customHeight="1">
      <c r="B647" s="169"/>
      <c r="C647" s="165"/>
      <c r="D647" s="165"/>
      <c r="E647" s="165"/>
      <c r="F647" s="165"/>
      <c r="G647" s="165"/>
      <c r="H647" s="154"/>
      <c r="I647" s="154"/>
      <c r="J647" s="239"/>
      <c r="K647" s="154"/>
      <c r="L647" s="154"/>
    </row>
    <row r="648" spans="2:12" ht="27.95" customHeight="1">
      <c r="B648" s="169"/>
      <c r="C648" s="2"/>
      <c r="D648" s="2"/>
      <c r="E648" s="2"/>
      <c r="F648" s="2"/>
      <c r="G648" s="2"/>
    </row>
    <row r="649" spans="2:12" ht="27.95" customHeight="1">
      <c r="B649" s="169"/>
      <c r="C649" s="2"/>
      <c r="D649" s="2"/>
      <c r="E649" s="2"/>
      <c r="F649" s="2"/>
      <c r="G649" s="2"/>
    </row>
    <row r="653" spans="2:12" ht="32.25">
      <c r="B653" s="905"/>
      <c r="C653" s="795"/>
      <c r="D653" s="795"/>
      <c r="E653" s="795"/>
      <c r="F653" s="795"/>
      <c r="G653" s="795"/>
      <c r="H653" s="795"/>
      <c r="I653" s="795"/>
      <c r="J653" s="795"/>
      <c r="K653" s="795"/>
      <c r="L653" s="795"/>
    </row>
    <row r="654" spans="2:12" ht="23.25">
      <c r="B654" s="759"/>
      <c r="C654" s="759"/>
      <c r="D654" s="759"/>
      <c r="E654" s="759"/>
      <c r="F654" s="759"/>
      <c r="G654" s="759"/>
      <c r="H654" s="759"/>
      <c r="I654" s="759"/>
      <c r="J654" s="759"/>
      <c r="K654" s="759"/>
      <c r="L654" s="759"/>
    </row>
    <row r="655" spans="2:12" ht="15.75">
      <c r="B655" s="904"/>
      <c r="C655" s="904"/>
      <c r="D655" s="904"/>
      <c r="E655" s="904"/>
      <c r="F655" s="904"/>
      <c r="G655" s="904"/>
      <c r="H655" s="904"/>
      <c r="I655" s="904"/>
      <c r="J655" s="904"/>
      <c r="K655" s="904"/>
      <c r="L655" s="904"/>
    </row>
    <row r="656" spans="2:12" ht="15" customHeight="1">
      <c r="B656" s="763"/>
      <c r="C656" s="763"/>
      <c r="D656" s="763"/>
      <c r="E656" s="763"/>
      <c r="F656" s="763"/>
      <c r="H656" s="764"/>
      <c r="I656" s="764"/>
      <c r="J656" s="764"/>
      <c r="K656" s="764"/>
      <c r="L656" s="764"/>
    </row>
    <row r="657" spans="1:12">
      <c r="B657" s="763"/>
      <c r="C657" s="763"/>
      <c r="D657" s="763"/>
      <c r="E657" s="763"/>
      <c r="F657" s="763"/>
      <c r="H657" s="764"/>
      <c r="I657" s="764"/>
      <c r="J657" s="764"/>
      <c r="K657" s="764"/>
      <c r="L657" s="764"/>
    </row>
    <row r="659" spans="1:12">
      <c r="B659" s="2"/>
      <c r="H659" s="2"/>
    </row>
    <row r="661" spans="1:12">
      <c r="B661" s="2"/>
      <c r="H661" s="2"/>
    </row>
    <row r="664" spans="1:12">
      <c r="B664" s="753"/>
      <c r="C664" s="753"/>
      <c r="D664" s="753"/>
      <c r="E664" s="753"/>
      <c r="F664" s="753"/>
      <c r="H664" s="753"/>
      <c r="I664" s="753"/>
      <c r="J664" s="753"/>
      <c r="K664" s="753"/>
      <c r="L664" s="753"/>
    </row>
    <row r="666" spans="1:12">
      <c r="H666" s="2"/>
      <c r="I666" s="2"/>
      <c r="J666" s="2"/>
      <c r="K666" s="2"/>
      <c r="L666" s="2"/>
    </row>
    <row r="667" spans="1:12">
      <c r="H667" s="2"/>
      <c r="I667" s="2"/>
      <c r="J667" s="2"/>
      <c r="K667" s="2"/>
      <c r="L667" s="2"/>
    </row>
    <row r="668" spans="1:12">
      <c r="B668" s="2"/>
      <c r="H668" s="2"/>
      <c r="I668" s="2"/>
      <c r="J668" s="2"/>
      <c r="K668" s="2"/>
      <c r="L668" s="2"/>
    </row>
    <row r="669" spans="1:12">
      <c r="H669" s="2"/>
      <c r="I669" s="2"/>
      <c r="J669" s="2"/>
      <c r="K669" s="2"/>
      <c r="L669" s="2"/>
    </row>
    <row r="670" spans="1:12">
      <c r="H670" s="2"/>
      <c r="I670" s="2"/>
      <c r="J670" s="2"/>
      <c r="K670" s="2"/>
      <c r="L670" s="2"/>
    </row>
    <row r="671" spans="1:12" ht="27.95" customHeight="1">
      <c r="A671" s="10"/>
      <c r="B671" s="901"/>
      <c r="C671" s="901"/>
      <c r="D671" s="901"/>
      <c r="E671" s="901"/>
      <c r="F671" s="901"/>
      <c r="G671" s="901"/>
      <c r="H671" s="899"/>
      <c r="I671" s="900"/>
      <c r="J671" s="900"/>
      <c r="K671" s="900"/>
      <c r="L671" s="900"/>
    </row>
    <row r="672" spans="1:12" ht="27.95" customHeight="1">
      <c r="A672" s="10"/>
      <c r="B672" s="764"/>
      <c r="C672" s="764"/>
      <c r="D672" s="764"/>
      <c r="E672" s="764"/>
      <c r="F672" s="764"/>
      <c r="G672" s="764"/>
      <c r="H672" s="899"/>
      <c r="I672" s="900"/>
      <c r="J672" s="900"/>
      <c r="K672" s="900"/>
      <c r="L672" s="900"/>
    </row>
    <row r="673" spans="1:12" ht="27.95" customHeight="1">
      <c r="A673" s="10"/>
      <c r="B673" s="901"/>
      <c r="C673" s="901"/>
      <c r="D673" s="901"/>
      <c r="E673" s="901"/>
      <c r="F673" s="901"/>
      <c r="G673" s="901"/>
      <c r="H673" s="899"/>
      <c r="I673" s="900"/>
      <c r="J673" s="900"/>
      <c r="K673" s="900"/>
      <c r="L673" s="900"/>
    </row>
    <row r="674" spans="1:12" ht="27.95" customHeight="1">
      <c r="A674" s="10"/>
      <c r="B674" s="901"/>
      <c r="C674" s="901"/>
      <c r="D674" s="901"/>
      <c r="E674" s="901"/>
      <c r="F674" s="901"/>
      <c r="G674" s="901"/>
      <c r="H674" s="903"/>
      <c r="I674" s="900"/>
      <c r="J674" s="900"/>
      <c r="K674" s="900"/>
      <c r="L674" s="900"/>
    </row>
    <row r="675" spans="1:12" ht="27.95" customHeight="1">
      <c r="A675" s="10"/>
      <c r="B675" s="169"/>
      <c r="C675" s="165"/>
      <c r="D675" s="165"/>
      <c r="E675" s="165"/>
      <c r="F675" s="165"/>
      <c r="G675" s="165"/>
      <c r="H675" s="154"/>
      <c r="I675" s="10"/>
      <c r="J675" s="238"/>
      <c r="K675" s="154"/>
      <c r="L675" s="154"/>
    </row>
    <row r="676" spans="1:12" ht="27.95" customHeight="1">
      <c r="A676" s="10"/>
      <c r="B676" s="169"/>
      <c r="C676" s="165"/>
      <c r="D676" s="165"/>
      <c r="E676" s="165"/>
      <c r="F676" s="165"/>
      <c r="G676" s="165"/>
      <c r="H676" s="154"/>
      <c r="I676" s="154"/>
      <c r="J676" s="238"/>
      <c r="K676" s="154"/>
      <c r="L676" s="154"/>
    </row>
    <row r="677" spans="1:12" ht="27.95" customHeight="1">
      <c r="A677" s="10"/>
      <c r="B677" s="764"/>
      <c r="C677" s="764"/>
      <c r="D677" s="764"/>
      <c r="E677" s="764"/>
      <c r="F677" s="764"/>
      <c r="G677" s="764"/>
      <c r="H677" s="899"/>
      <c r="I677" s="900"/>
      <c r="J677" s="900"/>
      <c r="K677" s="900"/>
      <c r="L677" s="900"/>
    </row>
    <row r="678" spans="1:12" ht="27.95" customHeight="1">
      <c r="A678" s="10"/>
      <c r="B678" s="901"/>
      <c r="C678" s="901"/>
      <c r="D678" s="901"/>
      <c r="E678" s="901"/>
      <c r="F678" s="901"/>
      <c r="G678" s="901"/>
      <c r="H678" s="902"/>
      <c r="I678" s="900"/>
      <c r="J678" s="900"/>
      <c r="K678" s="900"/>
      <c r="L678" s="900"/>
    </row>
    <row r="679" spans="1:12" ht="27.95" customHeight="1">
      <c r="B679" s="901"/>
      <c r="C679" s="901"/>
      <c r="D679" s="901"/>
      <c r="E679" s="901"/>
      <c r="F679" s="901"/>
      <c r="G679" s="901"/>
      <c r="H679" s="900"/>
      <c r="I679" s="900"/>
      <c r="J679" s="900"/>
      <c r="K679" s="900"/>
      <c r="L679" s="900"/>
    </row>
    <row r="680" spans="1:12" ht="27.95" customHeight="1">
      <c r="B680" s="169"/>
      <c r="C680" s="165"/>
      <c r="D680" s="165"/>
      <c r="E680" s="165"/>
      <c r="F680" s="165"/>
      <c r="G680" s="165"/>
      <c r="H680" s="154"/>
      <c r="I680" s="154"/>
      <c r="J680" s="154"/>
      <c r="K680" s="154"/>
      <c r="L680" s="154"/>
    </row>
    <row r="681" spans="1:12" ht="27.95" customHeight="1">
      <c r="B681" s="169"/>
      <c r="C681" s="165"/>
      <c r="D681" s="165"/>
      <c r="E681" s="165"/>
      <c r="F681" s="165"/>
      <c r="G681" s="165"/>
      <c r="H681" s="154"/>
      <c r="I681" s="154"/>
      <c r="J681" s="154"/>
      <c r="K681" s="154"/>
      <c r="L681" s="154"/>
    </row>
    <row r="682" spans="1:12" ht="27.95" customHeight="1">
      <c r="B682" s="169"/>
      <c r="C682" s="165"/>
      <c r="D682" s="165"/>
      <c r="E682" s="165"/>
      <c r="F682" s="165"/>
      <c r="G682" s="165"/>
      <c r="H682" s="154"/>
      <c r="I682" s="154"/>
      <c r="J682" s="155"/>
      <c r="K682" s="154"/>
      <c r="L682" s="154"/>
    </row>
    <row r="683" spans="1:12" ht="27.95" customHeight="1">
      <c r="B683" s="169"/>
      <c r="C683" s="165"/>
      <c r="D683" s="165"/>
      <c r="E683" s="165"/>
      <c r="F683" s="165"/>
      <c r="G683" s="165"/>
      <c r="H683" s="154"/>
      <c r="I683" s="154"/>
      <c r="J683" s="154"/>
      <c r="K683" s="154"/>
      <c r="L683" s="154"/>
    </row>
    <row r="684" spans="1:12" ht="27.95" customHeight="1">
      <c r="B684" s="169"/>
      <c r="C684" s="165"/>
      <c r="D684" s="165"/>
      <c r="E684" s="165"/>
      <c r="F684" s="165"/>
      <c r="G684" s="165"/>
      <c r="H684" s="154"/>
      <c r="I684" s="154"/>
      <c r="J684" s="155"/>
      <c r="K684" s="154"/>
      <c r="L684" s="154"/>
    </row>
    <row r="685" spans="1:12" ht="27.95" customHeight="1">
      <c r="B685" s="169"/>
      <c r="C685" s="165"/>
      <c r="D685" s="154"/>
      <c r="E685" s="155"/>
      <c r="F685" s="154"/>
      <c r="G685" s="155"/>
      <c r="H685" s="154"/>
      <c r="I685" s="155"/>
      <c r="J685" s="154"/>
      <c r="K685" s="155"/>
      <c r="L685" s="155"/>
    </row>
    <row r="686" spans="1:12" ht="27.95" customHeight="1">
      <c r="B686" s="169"/>
      <c r="C686" s="165"/>
      <c r="D686" s="165"/>
      <c r="E686" s="165"/>
      <c r="F686" s="165"/>
      <c r="G686" s="165"/>
      <c r="H686" s="154"/>
      <c r="I686" s="154"/>
      <c r="J686" s="239"/>
      <c r="K686" s="154"/>
      <c r="L686" s="154"/>
    </row>
    <row r="687" spans="1:12" ht="27.95" customHeight="1">
      <c r="B687" s="169"/>
      <c r="C687" s="2"/>
      <c r="D687" s="2"/>
      <c r="E687" s="2"/>
      <c r="F687" s="2"/>
      <c r="G687" s="2"/>
    </row>
    <row r="688" spans="1:12" ht="27.95" customHeight="1">
      <c r="B688" s="169"/>
      <c r="C688" s="2"/>
      <c r="D688" s="2"/>
      <c r="E688" s="2"/>
      <c r="F688" s="2"/>
      <c r="G688" s="2"/>
    </row>
    <row r="692" spans="2:12" ht="32.25">
      <c r="B692" s="905"/>
      <c r="C692" s="795"/>
      <c r="D692" s="795"/>
      <c r="E692" s="795"/>
      <c r="F692" s="795"/>
      <c r="G692" s="795"/>
      <c r="H692" s="795"/>
      <c r="I692" s="795"/>
      <c r="J692" s="795"/>
      <c r="K692" s="795"/>
      <c r="L692" s="795"/>
    </row>
    <row r="693" spans="2:12" ht="23.25">
      <c r="B693" s="759"/>
      <c r="C693" s="759"/>
      <c r="D693" s="759"/>
      <c r="E693" s="759"/>
      <c r="F693" s="759"/>
      <c r="G693" s="759"/>
      <c r="H693" s="759"/>
      <c r="I693" s="759"/>
      <c r="J693" s="759"/>
      <c r="K693" s="759"/>
      <c r="L693" s="759"/>
    </row>
    <row r="694" spans="2:12" ht="15.75">
      <c r="B694" s="904"/>
      <c r="C694" s="904"/>
      <c r="D694" s="904"/>
      <c r="E694" s="904"/>
      <c r="F694" s="904"/>
      <c r="G694" s="904"/>
      <c r="H694" s="904"/>
      <c r="I694" s="904"/>
      <c r="J694" s="904"/>
      <c r="K694" s="904"/>
      <c r="L694" s="904"/>
    </row>
    <row r="695" spans="2:12" ht="15" customHeight="1">
      <c r="B695" s="763"/>
      <c r="C695" s="763"/>
      <c r="D695" s="763"/>
      <c r="E695" s="763"/>
      <c r="F695" s="763"/>
      <c r="H695" s="764"/>
      <c r="I695" s="764"/>
      <c r="J695" s="764"/>
      <c r="K695" s="764"/>
      <c r="L695" s="764"/>
    </row>
    <row r="696" spans="2:12">
      <c r="B696" s="763"/>
      <c r="C696" s="763"/>
      <c r="D696" s="763"/>
      <c r="E696" s="763"/>
      <c r="F696" s="763"/>
      <c r="H696" s="764"/>
      <c r="I696" s="764"/>
      <c r="J696" s="764"/>
      <c r="K696" s="764"/>
      <c r="L696" s="764"/>
    </row>
    <row r="698" spans="2:12">
      <c r="B698" s="2"/>
      <c r="H698" s="2"/>
    </row>
    <row r="700" spans="2:12">
      <c r="B700" s="2"/>
      <c r="H700" s="2"/>
    </row>
    <row r="703" spans="2:12">
      <c r="B703" s="753"/>
      <c r="C703" s="753"/>
      <c r="D703" s="753"/>
      <c r="E703" s="753"/>
      <c r="F703" s="753"/>
      <c r="H703" s="753"/>
      <c r="I703" s="753"/>
      <c r="J703" s="753"/>
      <c r="K703" s="753"/>
      <c r="L703" s="753"/>
    </row>
    <row r="705" spans="1:12">
      <c r="H705" s="2"/>
      <c r="I705" s="2"/>
      <c r="J705" s="2"/>
      <c r="K705" s="2"/>
      <c r="L705" s="2"/>
    </row>
    <row r="706" spans="1:12">
      <c r="H706" s="2"/>
      <c r="I706" s="2"/>
      <c r="J706" s="2"/>
      <c r="K706" s="2"/>
      <c r="L706" s="2"/>
    </row>
    <row r="707" spans="1:12">
      <c r="B707" s="2"/>
      <c r="H707" s="2"/>
      <c r="I707" s="2"/>
      <c r="J707" s="2"/>
      <c r="K707" s="2"/>
      <c r="L707" s="2"/>
    </row>
    <row r="708" spans="1:12">
      <c r="H708" s="2"/>
      <c r="I708" s="2"/>
      <c r="J708" s="2"/>
      <c r="K708" s="2"/>
      <c r="L708" s="2"/>
    </row>
    <row r="709" spans="1:12">
      <c r="H709" s="2"/>
      <c r="I709" s="2"/>
      <c r="J709" s="2"/>
      <c r="K709" s="2"/>
      <c r="L709" s="2"/>
    </row>
    <row r="710" spans="1:12" ht="27.95" customHeight="1">
      <c r="A710" s="10"/>
      <c r="B710" s="901"/>
      <c r="C710" s="901"/>
      <c r="D710" s="901"/>
      <c r="E710" s="901"/>
      <c r="F710" s="901"/>
      <c r="G710" s="901"/>
      <c r="H710" s="899"/>
      <c r="I710" s="900"/>
      <c r="J710" s="900"/>
      <c r="K710" s="900"/>
      <c r="L710" s="900"/>
    </row>
    <row r="711" spans="1:12" ht="27.95" customHeight="1">
      <c r="A711" s="10"/>
      <c r="B711" s="764"/>
      <c r="C711" s="764"/>
      <c r="D711" s="764"/>
      <c r="E711" s="764"/>
      <c r="F711" s="764"/>
      <c r="G711" s="764"/>
      <c r="H711" s="899"/>
      <c r="I711" s="900"/>
      <c r="J711" s="900"/>
      <c r="K711" s="900"/>
      <c r="L711" s="900"/>
    </row>
    <row r="712" spans="1:12" ht="27.95" customHeight="1">
      <c r="A712" s="10"/>
      <c r="B712" s="901"/>
      <c r="C712" s="901"/>
      <c r="D712" s="901"/>
      <c r="E712" s="901"/>
      <c r="F712" s="901"/>
      <c r="G712" s="901"/>
      <c r="H712" s="899"/>
      <c r="I712" s="900"/>
      <c r="J712" s="900"/>
      <c r="K712" s="900"/>
      <c r="L712" s="900"/>
    </row>
    <row r="713" spans="1:12" ht="27.95" customHeight="1">
      <c r="A713" s="10"/>
      <c r="B713" s="901"/>
      <c r="C713" s="901"/>
      <c r="D713" s="901"/>
      <c r="E713" s="901"/>
      <c r="F713" s="901"/>
      <c r="G713" s="901"/>
      <c r="H713" s="903"/>
      <c r="I713" s="900"/>
      <c r="J713" s="900"/>
      <c r="K713" s="900"/>
      <c r="L713" s="900"/>
    </row>
    <row r="714" spans="1:12" ht="27.95" customHeight="1">
      <c r="A714" s="10"/>
      <c r="B714" s="169"/>
      <c r="C714" s="165"/>
      <c r="D714" s="165"/>
      <c r="E714" s="165"/>
      <c r="F714" s="165"/>
      <c r="G714" s="165"/>
      <c r="H714" s="154"/>
      <c r="I714" s="10"/>
      <c r="J714" s="238"/>
      <c r="K714" s="154"/>
      <c r="L714" s="154"/>
    </row>
    <row r="715" spans="1:12" ht="27.95" customHeight="1">
      <c r="A715" s="10"/>
      <c r="B715" s="169"/>
      <c r="C715" s="165"/>
      <c r="D715" s="165"/>
      <c r="E715" s="165"/>
      <c r="F715" s="165"/>
      <c r="G715" s="165"/>
      <c r="H715" s="154"/>
      <c r="I715" s="154"/>
      <c r="J715" s="238"/>
      <c r="K715" s="154"/>
      <c r="L715" s="154"/>
    </row>
    <row r="716" spans="1:12" ht="27.95" customHeight="1">
      <c r="A716" s="10"/>
      <c r="B716" s="764"/>
      <c r="C716" s="764"/>
      <c r="D716" s="764"/>
      <c r="E716" s="764"/>
      <c r="F716" s="764"/>
      <c r="G716" s="764"/>
      <c r="H716" s="899"/>
      <c r="I716" s="900"/>
      <c r="J716" s="900"/>
      <c r="K716" s="900"/>
      <c r="L716" s="900"/>
    </row>
    <row r="717" spans="1:12" ht="27.95" customHeight="1">
      <c r="A717" s="10"/>
      <c r="B717" s="901"/>
      <c r="C717" s="901"/>
      <c r="D717" s="901"/>
      <c r="E717" s="901"/>
      <c r="F717" s="901"/>
      <c r="G717" s="901"/>
      <c r="H717" s="902"/>
      <c r="I717" s="900"/>
      <c r="J717" s="900"/>
      <c r="K717" s="900"/>
      <c r="L717" s="900"/>
    </row>
    <row r="718" spans="1:12" ht="27.95" customHeight="1">
      <c r="B718" s="901"/>
      <c r="C718" s="901"/>
      <c r="D718" s="901"/>
      <c r="E718" s="901"/>
      <c r="F718" s="901"/>
      <c r="G718" s="901"/>
      <c r="H718" s="900"/>
      <c r="I718" s="900"/>
      <c r="J718" s="900"/>
      <c r="K718" s="900"/>
      <c r="L718" s="900"/>
    </row>
    <row r="719" spans="1:12" ht="27.95" customHeight="1">
      <c r="B719" s="169"/>
      <c r="C719" s="165"/>
      <c r="D719" s="165"/>
      <c r="E719" s="165"/>
      <c r="F719" s="165"/>
      <c r="G719" s="165"/>
      <c r="H719" s="154"/>
      <c r="I719" s="154"/>
      <c r="J719" s="154"/>
      <c r="K719" s="154"/>
      <c r="L719" s="154"/>
    </row>
    <row r="720" spans="1:12" ht="27.95" customHeight="1">
      <c r="B720" s="169"/>
      <c r="C720" s="165"/>
      <c r="D720" s="165"/>
      <c r="E720" s="165"/>
      <c r="F720" s="165"/>
      <c r="G720" s="165"/>
      <c r="H720" s="154"/>
      <c r="I720" s="154"/>
      <c r="J720" s="154"/>
      <c r="K720" s="154"/>
      <c r="L720" s="154"/>
    </row>
    <row r="721" spans="2:12" ht="27.95" customHeight="1">
      <c r="B721" s="169"/>
      <c r="C721" s="165"/>
      <c r="D721" s="165"/>
      <c r="E721" s="165"/>
      <c r="F721" s="165"/>
      <c r="G721" s="165"/>
      <c r="H721" s="154"/>
      <c r="I721" s="154"/>
      <c r="J721" s="155"/>
      <c r="K721" s="154"/>
      <c r="L721" s="154"/>
    </row>
    <row r="722" spans="2:12" ht="27.95" customHeight="1">
      <c r="B722" s="169"/>
      <c r="C722" s="165"/>
      <c r="D722" s="165"/>
      <c r="E722" s="165"/>
      <c r="F722" s="165"/>
      <c r="G722" s="165"/>
      <c r="H722" s="154"/>
      <c r="I722" s="154"/>
      <c r="J722" s="154"/>
      <c r="K722" s="154"/>
      <c r="L722" s="154"/>
    </row>
    <row r="723" spans="2:12" ht="27.95" customHeight="1">
      <c r="B723" s="169"/>
      <c r="C723" s="165"/>
      <c r="D723" s="165"/>
      <c r="E723" s="165"/>
      <c r="F723" s="165"/>
      <c r="G723" s="165"/>
      <c r="H723" s="154"/>
      <c r="I723" s="154"/>
      <c r="J723" s="155"/>
      <c r="K723" s="154"/>
      <c r="L723" s="154"/>
    </row>
    <row r="724" spans="2:12" ht="27.95" customHeight="1">
      <c r="B724" s="169"/>
      <c r="C724" s="165"/>
      <c r="D724" s="154"/>
      <c r="E724" s="155"/>
      <c r="F724" s="154"/>
      <c r="G724" s="155"/>
      <c r="H724" s="154"/>
      <c r="I724" s="155"/>
      <c r="J724" s="154"/>
      <c r="K724" s="155"/>
      <c r="L724" s="155"/>
    </row>
    <row r="725" spans="2:12" ht="27.95" customHeight="1">
      <c r="B725" s="169"/>
      <c r="C725" s="165"/>
      <c r="D725" s="165"/>
      <c r="E725" s="165"/>
      <c r="F725" s="165"/>
      <c r="G725" s="165"/>
      <c r="H725" s="154"/>
      <c r="I725" s="154"/>
      <c r="J725" s="239"/>
      <c r="K725" s="154"/>
      <c r="L725" s="154"/>
    </row>
    <row r="726" spans="2:12" ht="27.95" customHeight="1">
      <c r="B726" s="169"/>
      <c r="C726" s="2"/>
      <c r="D726" s="2"/>
      <c r="E726" s="2"/>
      <c r="F726" s="2"/>
      <c r="G726" s="2"/>
    </row>
    <row r="727" spans="2:12" ht="27.95" customHeight="1">
      <c r="B727" s="169"/>
      <c r="C727" s="2"/>
      <c r="D727" s="2"/>
      <c r="E727" s="2"/>
      <c r="F727" s="2"/>
      <c r="G727" s="2"/>
    </row>
    <row r="731" spans="2:12" ht="32.25">
      <c r="B731" s="905"/>
      <c r="C731" s="795"/>
      <c r="D731" s="795"/>
      <c r="E731" s="795"/>
      <c r="F731" s="795"/>
      <c r="G731" s="795"/>
      <c r="H731" s="795"/>
      <c r="I731" s="795"/>
      <c r="J731" s="795"/>
      <c r="K731" s="795"/>
      <c r="L731" s="795"/>
    </row>
    <row r="732" spans="2:12" ht="23.25">
      <c r="B732" s="759"/>
      <c r="C732" s="759"/>
      <c r="D732" s="759"/>
      <c r="E732" s="759"/>
      <c r="F732" s="759"/>
      <c r="G732" s="759"/>
      <c r="H732" s="759"/>
      <c r="I732" s="759"/>
      <c r="J732" s="759"/>
      <c r="K732" s="759"/>
      <c r="L732" s="759"/>
    </row>
    <row r="733" spans="2:12" ht="15.75">
      <c r="B733" s="904"/>
      <c r="C733" s="904"/>
      <c r="D733" s="904"/>
      <c r="E733" s="904"/>
      <c r="F733" s="904"/>
      <c r="G733" s="904"/>
      <c r="H733" s="904"/>
      <c r="I733" s="904"/>
      <c r="J733" s="904"/>
      <c r="K733" s="904"/>
      <c r="L733" s="904"/>
    </row>
    <row r="734" spans="2:12" ht="15" customHeight="1">
      <c r="B734" s="763"/>
      <c r="C734" s="763"/>
      <c r="D734" s="763"/>
      <c r="E734" s="763"/>
      <c r="F734" s="763"/>
      <c r="H734" s="764"/>
      <c r="I734" s="764"/>
      <c r="J734" s="764"/>
      <c r="K734" s="764"/>
      <c r="L734" s="764"/>
    </row>
    <row r="735" spans="2:12">
      <c r="B735" s="763"/>
      <c r="C735" s="763"/>
      <c r="D735" s="763"/>
      <c r="E735" s="763"/>
      <c r="F735" s="763"/>
      <c r="H735" s="764"/>
      <c r="I735" s="764"/>
      <c r="J735" s="764"/>
      <c r="K735" s="764"/>
      <c r="L735" s="764"/>
    </row>
    <row r="737" spans="1:12">
      <c r="B737" s="2"/>
      <c r="H737" s="2"/>
    </row>
    <row r="739" spans="1:12">
      <c r="B739" s="2"/>
      <c r="H739" s="2"/>
    </row>
    <row r="740" spans="1:12" ht="15" customHeight="1"/>
    <row r="742" spans="1:12">
      <c r="B742" s="753"/>
      <c r="C742" s="753"/>
      <c r="D742" s="753"/>
      <c r="E742" s="753"/>
      <c r="F742" s="753"/>
      <c r="H742" s="753"/>
      <c r="I742" s="753"/>
      <c r="J742" s="753"/>
      <c r="K742" s="753"/>
      <c r="L742" s="753"/>
    </row>
    <row r="744" spans="1:12">
      <c r="H744" s="2"/>
      <c r="I744" s="2"/>
      <c r="J744" s="2"/>
      <c r="K744" s="2"/>
      <c r="L744" s="2"/>
    </row>
    <row r="745" spans="1:12">
      <c r="H745" s="2"/>
      <c r="I745" s="2"/>
      <c r="J745" s="2"/>
      <c r="K745" s="2"/>
      <c r="L745" s="2"/>
    </row>
    <row r="746" spans="1:12">
      <c r="B746" s="2"/>
      <c r="H746" s="2"/>
      <c r="I746" s="2"/>
      <c r="J746" s="2"/>
      <c r="K746" s="2"/>
      <c r="L746" s="2"/>
    </row>
    <row r="747" spans="1:12">
      <c r="H747" s="2"/>
      <c r="I747" s="2"/>
      <c r="J747" s="2"/>
      <c r="K747" s="2"/>
      <c r="L747" s="2"/>
    </row>
    <row r="748" spans="1:12">
      <c r="H748" s="2"/>
      <c r="I748" s="2"/>
      <c r="J748" s="2"/>
      <c r="K748" s="2"/>
      <c r="L748" s="2"/>
    </row>
    <row r="749" spans="1:12" ht="27.95" customHeight="1">
      <c r="A749" s="10"/>
      <c r="B749" s="901"/>
      <c r="C749" s="901"/>
      <c r="D749" s="901"/>
      <c r="E749" s="901"/>
      <c r="F749" s="901"/>
      <c r="G749" s="901"/>
      <c r="H749" s="899"/>
      <c r="I749" s="900"/>
      <c r="J749" s="900"/>
      <c r="K749" s="900"/>
      <c r="L749" s="900"/>
    </row>
    <row r="750" spans="1:12" ht="27.95" customHeight="1">
      <c r="A750" s="10"/>
      <c r="B750" s="764"/>
      <c r="C750" s="764"/>
      <c r="D750" s="764"/>
      <c r="E750" s="764"/>
      <c r="F750" s="764"/>
      <c r="G750" s="764"/>
      <c r="H750" s="899"/>
      <c r="I750" s="900"/>
      <c r="J750" s="900"/>
      <c r="K750" s="900"/>
      <c r="L750" s="900"/>
    </row>
    <row r="751" spans="1:12" ht="27.95" customHeight="1">
      <c r="A751" s="10"/>
      <c r="B751" s="901"/>
      <c r="C751" s="901"/>
      <c r="D751" s="901"/>
      <c r="E751" s="901"/>
      <c r="F751" s="901"/>
      <c r="G751" s="901"/>
      <c r="H751" s="899"/>
      <c r="I751" s="900"/>
      <c r="J751" s="900"/>
      <c r="K751" s="900"/>
      <c r="L751" s="900"/>
    </row>
    <row r="752" spans="1:12" ht="27.95" customHeight="1">
      <c r="A752" s="10"/>
      <c r="B752" s="901"/>
      <c r="C752" s="901"/>
      <c r="D752" s="901"/>
      <c r="E752" s="901"/>
      <c r="F752" s="901"/>
      <c r="G752" s="901"/>
      <c r="H752" s="903"/>
      <c r="I752" s="900"/>
      <c r="J752" s="900"/>
      <c r="K752" s="900"/>
      <c r="L752" s="900"/>
    </row>
    <row r="753" spans="1:12" ht="27.95" customHeight="1">
      <c r="A753" s="10"/>
      <c r="B753" s="169"/>
      <c r="C753" s="165"/>
      <c r="D753" s="165"/>
      <c r="E753" s="165"/>
      <c r="F753" s="165"/>
      <c r="G753" s="165"/>
      <c r="H753" s="154"/>
      <c r="I753" s="10"/>
      <c r="J753" s="238"/>
      <c r="K753" s="154"/>
      <c r="L753" s="154"/>
    </row>
    <row r="754" spans="1:12" ht="27.95" customHeight="1">
      <c r="A754" s="10"/>
      <c r="B754" s="169"/>
      <c r="C754" s="165"/>
      <c r="D754" s="165"/>
      <c r="E754" s="165"/>
      <c r="F754" s="165"/>
      <c r="G754" s="165"/>
      <c r="H754" s="154"/>
      <c r="I754" s="154"/>
      <c r="J754" s="238"/>
      <c r="K754" s="154"/>
      <c r="L754" s="154"/>
    </row>
    <row r="755" spans="1:12" ht="27.95" customHeight="1">
      <c r="A755" s="10"/>
      <c r="B755" s="764"/>
      <c r="C755" s="764"/>
      <c r="D755" s="764"/>
      <c r="E755" s="764"/>
      <c r="F755" s="764"/>
      <c r="G755" s="764"/>
      <c r="H755" s="899"/>
      <c r="I755" s="900"/>
      <c r="J755" s="900"/>
      <c r="K755" s="900"/>
      <c r="L755" s="900"/>
    </row>
    <row r="756" spans="1:12" ht="27.95" customHeight="1">
      <c r="A756" s="10"/>
      <c r="B756" s="901"/>
      <c r="C756" s="901"/>
      <c r="D756" s="901"/>
      <c r="E756" s="901"/>
      <c r="F756" s="901"/>
      <c r="G756" s="901"/>
      <c r="H756" s="902"/>
      <c r="I756" s="900"/>
      <c r="J756" s="900"/>
      <c r="K756" s="900"/>
      <c r="L756" s="900"/>
    </row>
    <row r="757" spans="1:12" ht="27.95" customHeight="1">
      <c r="B757" s="901"/>
      <c r="C757" s="901"/>
      <c r="D757" s="901"/>
      <c r="E757" s="901"/>
      <c r="F757" s="901"/>
      <c r="G757" s="901"/>
      <c r="H757" s="900"/>
      <c r="I757" s="900"/>
      <c r="J757" s="900"/>
      <c r="K757" s="900"/>
      <c r="L757" s="900"/>
    </row>
    <row r="758" spans="1:12" ht="27.95" customHeight="1">
      <c r="B758" s="169"/>
      <c r="C758" s="165"/>
      <c r="D758" s="165"/>
      <c r="E758" s="165"/>
      <c r="F758" s="165"/>
      <c r="G758" s="165"/>
      <c r="H758" s="154"/>
      <c r="I758" s="154"/>
      <c r="J758" s="154"/>
      <c r="K758" s="154"/>
      <c r="L758" s="154"/>
    </row>
    <row r="759" spans="1:12" ht="27.95" customHeight="1">
      <c r="B759" s="169"/>
      <c r="C759" s="165"/>
      <c r="D759" s="165"/>
      <c r="E759" s="165"/>
      <c r="F759" s="165"/>
      <c r="G759" s="165"/>
      <c r="H759" s="154"/>
      <c r="I759" s="154"/>
      <c r="J759" s="154"/>
      <c r="K759" s="154"/>
      <c r="L759" s="154"/>
    </row>
    <row r="760" spans="1:12" ht="27.95" customHeight="1">
      <c r="B760" s="169"/>
      <c r="C760" s="165"/>
      <c r="D760" s="165"/>
      <c r="E760" s="165"/>
      <c r="F760" s="165"/>
      <c r="G760" s="165"/>
      <c r="H760" s="154"/>
      <c r="I760" s="154"/>
      <c r="J760" s="155"/>
      <c r="K760" s="154"/>
      <c r="L760" s="154"/>
    </row>
    <row r="761" spans="1:12" ht="27.95" customHeight="1">
      <c r="B761" s="169"/>
      <c r="C761" s="165"/>
      <c r="D761" s="165"/>
      <c r="E761" s="165"/>
      <c r="F761" s="165"/>
      <c r="G761" s="165"/>
      <c r="H761" s="154"/>
      <c r="I761" s="154"/>
      <c r="J761" s="154"/>
      <c r="K761" s="154"/>
      <c r="L761" s="154"/>
    </row>
    <row r="762" spans="1:12" ht="27.95" customHeight="1">
      <c r="B762" s="169"/>
      <c r="C762" s="165"/>
      <c r="D762" s="165"/>
      <c r="E762" s="165"/>
      <c r="F762" s="165"/>
      <c r="G762" s="165"/>
      <c r="H762" s="154"/>
      <c r="I762" s="154"/>
      <c r="J762" s="155"/>
      <c r="K762" s="154"/>
      <c r="L762" s="154"/>
    </row>
    <row r="763" spans="1:12" ht="27.95" customHeight="1">
      <c r="B763" s="169"/>
      <c r="C763" s="165"/>
      <c r="D763" s="154"/>
      <c r="E763" s="155"/>
      <c r="F763" s="154"/>
      <c r="G763" s="155"/>
      <c r="H763" s="154"/>
      <c r="I763" s="155"/>
      <c r="J763" s="154"/>
      <c r="K763" s="155"/>
      <c r="L763" s="155"/>
    </row>
    <row r="764" spans="1:12" ht="27.95" customHeight="1">
      <c r="B764" s="169"/>
      <c r="C764" s="165"/>
      <c r="D764" s="165"/>
      <c r="E764" s="165"/>
      <c r="F764" s="165"/>
      <c r="G764" s="165"/>
      <c r="H764" s="154"/>
      <c r="I764" s="154"/>
      <c r="J764" s="239"/>
      <c r="K764" s="154"/>
      <c r="L764" s="154"/>
    </row>
    <row r="765" spans="1:12" ht="27.95" customHeight="1">
      <c r="B765" s="169"/>
      <c r="C765" s="2"/>
      <c r="D765" s="2"/>
      <c r="E765" s="2"/>
      <c r="F765" s="2"/>
      <c r="G765" s="2"/>
    </row>
    <row r="766" spans="1:12" ht="27.95" customHeight="1">
      <c r="B766" s="169"/>
      <c r="C766" s="2"/>
      <c r="D766" s="2"/>
      <c r="E766" s="2"/>
      <c r="F766" s="2"/>
      <c r="G766" s="2"/>
    </row>
  </sheetData>
  <mergeCells count="571">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K412:L412"/>
    <mergeCell ref="G414:H414"/>
    <mergeCell ref="K414:L414"/>
    <mergeCell ref="B420:F420"/>
    <mergeCell ref="G420:H420"/>
    <mergeCell ref="I420:K420"/>
    <mergeCell ref="B421:F421"/>
    <mergeCell ref="G421:H421"/>
    <mergeCell ref="I421:K421"/>
    <mergeCell ref="B369:F369"/>
    <mergeCell ref="G369:H369"/>
    <mergeCell ref="I369:K369"/>
    <mergeCell ref="B380:L380"/>
    <mergeCell ref="B381:L381"/>
    <mergeCell ref="B384:G384"/>
    <mergeCell ref="H384:L384"/>
    <mergeCell ref="B385:G385"/>
    <mergeCell ref="H385:L385"/>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276:G276"/>
    <mergeCell ref="H276:L276"/>
    <mergeCell ref="B277:G277"/>
    <mergeCell ref="H277:L277"/>
    <mergeCell ref="B278:G278"/>
    <mergeCell ref="H278:L278"/>
    <mergeCell ref="H279:L279"/>
    <mergeCell ref="B281:G281"/>
    <mergeCell ref="H281:L281"/>
    <mergeCell ref="B259:F259"/>
    <mergeCell ref="G259:H259"/>
    <mergeCell ref="I259:K259"/>
    <mergeCell ref="B260:F260"/>
    <mergeCell ref="G260:H260"/>
    <mergeCell ref="I260:K260"/>
    <mergeCell ref="B272:L272"/>
    <mergeCell ref="B273:L273"/>
    <mergeCell ref="B275:G275"/>
    <mergeCell ref="H275:L275"/>
    <mergeCell ref="G250:H250"/>
    <mergeCell ref="K250:L250"/>
    <mergeCell ref="G251:H251"/>
    <mergeCell ref="K251:L251"/>
    <mergeCell ref="G252:H252"/>
    <mergeCell ref="K252:L252"/>
    <mergeCell ref="B258:F258"/>
    <mergeCell ref="G258:H258"/>
    <mergeCell ref="I258:K258"/>
    <mergeCell ref="G196:H196"/>
    <mergeCell ref="K196:L196"/>
    <mergeCell ref="G197:H197"/>
    <mergeCell ref="K197:L197"/>
    <mergeCell ref="G198:H198"/>
    <mergeCell ref="K198:L198"/>
    <mergeCell ref="B204:F204"/>
    <mergeCell ref="G204:H204"/>
    <mergeCell ref="I204:K204"/>
    <mergeCell ref="B176:G176"/>
    <mergeCell ref="H176:L176"/>
    <mergeCell ref="G180:H180"/>
    <mergeCell ref="K180:L180"/>
    <mergeCell ref="C193:H193"/>
    <mergeCell ref="J193:L193"/>
    <mergeCell ref="G194:H194"/>
    <mergeCell ref="K194:L194"/>
    <mergeCell ref="G195:H195"/>
    <mergeCell ref="K195:L195"/>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K34:L34"/>
    <mergeCell ref="G35:H35"/>
    <mergeCell ref="K35:L35"/>
    <mergeCell ref="G36:H36"/>
    <mergeCell ref="K36:L36"/>
    <mergeCell ref="C31:H31"/>
    <mergeCell ref="J31:L31"/>
    <mergeCell ref="G32:H32"/>
    <mergeCell ref="K32:L32"/>
    <mergeCell ref="G33:H33"/>
    <mergeCell ref="K33:L33"/>
    <mergeCell ref="B44:F44"/>
    <mergeCell ref="G44:H44"/>
    <mergeCell ref="I44:K44"/>
    <mergeCell ref="B45:F45"/>
    <mergeCell ref="G45:H45"/>
    <mergeCell ref="I45:K45"/>
    <mergeCell ref="B42:F42"/>
    <mergeCell ref="G42:H42"/>
    <mergeCell ref="I42:K42"/>
    <mergeCell ref="B43:F43"/>
    <mergeCell ref="G43:H43"/>
    <mergeCell ref="I43:K43"/>
    <mergeCell ref="B61:G61"/>
    <mergeCell ref="H61:L61"/>
    <mergeCell ref="B62:G62"/>
    <mergeCell ref="H62:L62"/>
    <mergeCell ref="B63:G63"/>
    <mergeCell ref="H63:L63"/>
    <mergeCell ref="H64:L64"/>
    <mergeCell ref="B66:G66"/>
    <mergeCell ref="H66:L66"/>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70:G170"/>
    <mergeCell ref="H170:L170"/>
    <mergeCell ref="B171:G171"/>
    <mergeCell ref="H171:L171"/>
    <mergeCell ref="H172:L172"/>
    <mergeCell ref="B174:G174"/>
    <mergeCell ref="H174:L174"/>
    <mergeCell ref="B175:G175"/>
    <mergeCell ref="H175:L175"/>
    <mergeCell ref="B205:F205"/>
    <mergeCell ref="G205:H205"/>
    <mergeCell ref="I205:K205"/>
    <mergeCell ref="B206:F206"/>
    <mergeCell ref="G206:H206"/>
    <mergeCell ref="I206:K206"/>
    <mergeCell ref="B207:F207"/>
    <mergeCell ref="G207:H207"/>
    <mergeCell ref="I207:K207"/>
    <mergeCell ref="B218:L218"/>
    <mergeCell ref="B219:L219"/>
    <mergeCell ref="B222:G222"/>
    <mergeCell ref="H222:L222"/>
    <mergeCell ref="B223:G223"/>
    <mergeCell ref="H223:L223"/>
    <mergeCell ref="B224:G224"/>
    <mergeCell ref="H224:L224"/>
    <mergeCell ref="B225:G225"/>
    <mergeCell ref="H225:L225"/>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G360:H360"/>
    <mergeCell ref="K360:L360"/>
    <mergeCell ref="B366:F366"/>
    <mergeCell ref="G366:H366"/>
    <mergeCell ref="I366:K366"/>
    <mergeCell ref="B367:F367"/>
    <mergeCell ref="G367:H367"/>
    <mergeCell ref="I367:K367"/>
    <mergeCell ref="B368:F368"/>
    <mergeCell ref="G368:H368"/>
    <mergeCell ref="I368:K368"/>
    <mergeCell ref="B386:G386"/>
    <mergeCell ref="H386:L386"/>
    <mergeCell ref="B387:G387"/>
    <mergeCell ref="H387:L387"/>
    <mergeCell ref="H388:L388"/>
    <mergeCell ref="B390:G390"/>
    <mergeCell ref="H390:L390"/>
    <mergeCell ref="B391:G391"/>
    <mergeCell ref="H391:L3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477:F477"/>
    <mergeCell ref="G477:H477"/>
    <mergeCell ref="I477:K477"/>
    <mergeCell ref="B487:L487"/>
    <mergeCell ref="B488:L488"/>
    <mergeCell ref="B490:G490"/>
    <mergeCell ref="H490:L490"/>
    <mergeCell ref="B491:G491"/>
    <mergeCell ref="H491:L491"/>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712:G712"/>
    <mergeCell ref="H712:L712"/>
    <mergeCell ref="B713:G713"/>
    <mergeCell ref="H713:L713"/>
    <mergeCell ref="B716:G716"/>
    <mergeCell ref="H716:L716"/>
    <mergeCell ref="B703:F703"/>
    <mergeCell ref="H703:L703"/>
    <mergeCell ref="B710:G710"/>
    <mergeCell ref="H710:L710"/>
    <mergeCell ref="B711:G711"/>
    <mergeCell ref="H711:L711"/>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55:G755"/>
    <mergeCell ref="H755:L755"/>
    <mergeCell ref="B756:G756"/>
    <mergeCell ref="H756:L756"/>
    <mergeCell ref="B757:G757"/>
    <mergeCell ref="H757:L757"/>
    <mergeCell ref="B750:G750"/>
    <mergeCell ref="H750:L750"/>
    <mergeCell ref="B751:G751"/>
    <mergeCell ref="H751:L751"/>
    <mergeCell ref="B752:G752"/>
    <mergeCell ref="H752:L752"/>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775"/>
  <sheetViews>
    <sheetView topLeftCell="A7" zoomScale="110" zoomScaleNormal="110" workbookViewId="0">
      <selection activeCell="H11" sqref="H11:L11"/>
    </sheetView>
  </sheetViews>
  <sheetFormatPr defaultRowHeight="15"/>
  <cols>
    <col min="6" max="6" width="16.85546875" customWidth="1"/>
    <col min="10" max="10" width="14.5703125" customWidth="1"/>
    <col min="12" max="12" width="22.7109375" customWidth="1"/>
  </cols>
  <sheetData>
    <row r="1" spans="1:14" ht="15" customHeight="1">
      <c r="A1" s="50"/>
      <c r="B1" s="51"/>
      <c r="C1" s="51"/>
      <c r="D1" s="51"/>
      <c r="E1" s="51"/>
      <c r="F1" s="51"/>
      <c r="G1" s="51"/>
      <c r="H1" s="51"/>
      <c r="I1" s="55" t="s">
        <v>236</v>
      </c>
      <c r="J1" s="51"/>
      <c r="K1" s="51"/>
      <c r="L1" s="52"/>
    </row>
    <row r="2" spans="1:14" ht="16.5" customHeight="1">
      <c r="A2" s="13"/>
      <c r="B2" s="940" t="s">
        <v>291</v>
      </c>
      <c r="C2" s="940"/>
      <c r="D2" s="940"/>
      <c r="E2" s="940"/>
      <c r="F2" s="940"/>
      <c r="G2" s="940"/>
      <c r="H2" s="940"/>
      <c r="I2" s="940"/>
      <c r="J2" s="940"/>
      <c r="K2" s="940"/>
      <c r="L2" s="941"/>
    </row>
    <row r="3" spans="1:14" ht="23.25">
      <c r="A3" s="13"/>
      <c r="B3" s="198"/>
      <c r="C3" s="198"/>
      <c r="D3" s="206" t="s">
        <v>238</v>
      </c>
      <c r="E3" s="198"/>
      <c r="F3" s="198"/>
      <c r="G3" s="198"/>
      <c r="H3" s="198"/>
      <c r="I3" s="200" t="s">
        <v>292</v>
      </c>
      <c r="J3" s="201"/>
      <c r="K3" s="282" t="e">
        <f>'BOM 04 22Master'!#REF!</f>
        <v>#REF!</v>
      </c>
      <c r="L3" s="231"/>
    </row>
    <row r="4" spans="1:14" ht="15.75">
      <c r="A4" s="13"/>
      <c r="B4" s="1"/>
      <c r="C4" s="1" t="s">
        <v>239</v>
      </c>
      <c r="E4" s="1"/>
      <c r="F4" s="1"/>
      <c r="G4" s="1"/>
      <c r="H4" s="1"/>
      <c r="I4" s="199" t="s">
        <v>293</v>
      </c>
      <c r="J4" s="220" t="str">
        <f>'BOM 04 22Master'!F5</f>
        <v>Burgeon IT Services Pvt.Ltd.</v>
      </c>
      <c r="K4" s="202"/>
      <c r="L4" s="232"/>
    </row>
    <row r="5" spans="1:14" ht="15" customHeight="1">
      <c r="A5" s="13"/>
      <c r="B5" s="207"/>
      <c r="C5" s="176" t="s">
        <v>240</v>
      </c>
      <c r="E5" s="207"/>
      <c r="F5" s="207"/>
      <c r="H5" s="177"/>
      <c r="I5" s="223" t="str">
        <f>'BOM 04 22Master'!F6</f>
        <v>Siri Mansion LIGB 436 Dr.A S Rao Nagar,Hyderabad</v>
      </c>
      <c r="J5" s="221"/>
      <c r="K5" s="222"/>
      <c r="L5" s="186"/>
    </row>
    <row r="6" spans="1:14" ht="15" customHeight="1">
      <c r="A6" s="13"/>
      <c r="B6" s="207"/>
      <c r="C6" s="176"/>
      <c r="E6" s="207"/>
      <c r="F6" s="207"/>
      <c r="H6" s="177"/>
      <c r="I6" s="224"/>
      <c r="J6" s="230"/>
      <c r="K6" s="230"/>
      <c r="L6" s="14"/>
    </row>
    <row r="7" spans="1:14">
      <c r="A7" s="13"/>
      <c r="L7" s="14"/>
    </row>
    <row r="8" spans="1:14" ht="26.25" customHeight="1">
      <c r="A8" s="13">
        <v>1</v>
      </c>
      <c r="B8" s="203" t="s">
        <v>241</v>
      </c>
      <c r="C8" s="44"/>
      <c r="D8" s="44"/>
      <c r="E8" s="44"/>
      <c r="F8" s="44"/>
      <c r="G8" s="45"/>
      <c r="H8" s="913" t="e">
        <f>'BOM 04 22Master'!#REF!</f>
        <v>#REF!</v>
      </c>
      <c r="I8" s="922"/>
      <c r="J8" s="922"/>
      <c r="K8" s="922"/>
      <c r="L8" s="923"/>
    </row>
    <row r="9" spans="1:14">
      <c r="A9" s="13">
        <v>2</v>
      </c>
      <c r="B9" s="942" t="s">
        <v>242</v>
      </c>
      <c r="C9" s="943"/>
      <c r="D9" s="943"/>
      <c r="E9" s="943"/>
      <c r="F9" s="204" t="s">
        <v>243</v>
      </c>
      <c r="G9" s="188"/>
      <c r="H9" s="944" t="e">
        <f>'BOM 04 22Master'!#REF!</f>
        <v>#REF!</v>
      </c>
      <c r="I9" s="945"/>
      <c r="J9" s="945"/>
      <c r="K9" s="945"/>
      <c r="L9" s="946"/>
      <c r="M9" s="193" t="s">
        <v>237</v>
      </c>
      <c r="N9" s="193" t="s">
        <v>237</v>
      </c>
    </row>
    <row r="10" spans="1:14" ht="10.5" customHeight="1">
      <c r="A10" s="13"/>
      <c r="B10" s="189" t="s">
        <v>244</v>
      </c>
      <c r="C10" s="190"/>
      <c r="D10" s="190"/>
      <c r="E10" s="190"/>
      <c r="F10" s="190" t="s">
        <v>237</v>
      </c>
      <c r="G10" s="191"/>
      <c r="H10" s="947"/>
      <c r="I10" s="948"/>
      <c r="J10" s="948"/>
      <c r="K10" s="948"/>
      <c r="L10" s="949"/>
      <c r="M10" s="192"/>
      <c r="N10" s="192"/>
    </row>
    <row r="11" spans="1:14">
      <c r="A11" s="13">
        <v>3</v>
      </c>
      <c r="B11" s="205" t="s">
        <v>245</v>
      </c>
      <c r="C11" s="195"/>
      <c r="D11" s="195"/>
      <c r="E11" s="195"/>
      <c r="F11" s="195"/>
      <c r="G11" s="196"/>
      <c r="H11" s="929" t="e">
        <f>'BOM 04 22Master'!#REF!</f>
        <v>#REF!</v>
      </c>
      <c r="I11" s="930"/>
      <c r="J11" s="930"/>
      <c r="K11" s="930"/>
      <c r="L11" s="931"/>
      <c r="M11" s="192"/>
      <c r="N11" s="192"/>
    </row>
    <row r="12" spans="1:14">
      <c r="A12" s="13">
        <v>4</v>
      </c>
      <c r="B12" s="181" t="s">
        <v>246</v>
      </c>
      <c r="C12" s="44"/>
      <c r="D12" s="44"/>
      <c r="E12" s="44"/>
      <c r="F12" s="44"/>
      <c r="G12" s="45"/>
      <c r="H12" s="911" t="e">
        <f>'BOM 04 22Master'!#REF!</f>
        <v>#REF!</v>
      </c>
      <c r="I12" s="918"/>
      <c r="J12" s="918"/>
      <c r="K12" s="918"/>
      <c r="L12" s="912"/>
    </row>
    <row r="13" spans="1:14">
      <c r="A13" s="13">
        <v>5</v>
      </c>
      <c r="B13" s="932" t="s">
        <v>294</v>
      </c>
      <c r="C13" s="933"/>
      <c r="D13" s="933"/>
      <c r="E13" s="933"/>
      <c r="F13" s="933"/>
      <c r="G13" s="45"/>
      <c r="H13" s="921" t="s">
        <v>371</v>
      </c>
      <c r="I13" s="922"/>
      <c r="J13" s="922"/>
      <c r="K13" s="922"/>
      <c r="L13" s="923"/>
    </row>
    <row r="14" spans="1:14" ht="15" customHeight="1">
      <c r="A14" s="13">
        <v>6</v>
      </c>
      <c r="B14" s="194" t="s">
        <v>247</v>
      </c>
      <c r="C14" s="195" t="s">
        <v>248</v>
      </c>
      <c r="D14" s="195"/>
      <c r="E14" s="195"/>
      <c r="F14" s="195"/>
      <c r="G14" s="196"/>
      <c r="H14" s="205"/>
      <c r="I14" s="195"/>
      <c r="J14" s="195"/>
      <c r="K14" s="195"/>
      <c r="L14" s="233"/>
      <c r="M14" s="192"/>
      <c r="N14" s="192"/>
    </row>
    <row r="15" spans="1:14">
      <c r="A15" s="13"/>
      <c r="B15" s="194" t="s">
        <v>249</v>
      </c>
      <c r="C15" s="195" t="s">
        <v>250</v>
      </c>
      <c r="D15" s="195"/>
      <c r="E15" s="195"/>
      <c r="F15" s="195"/>
      <c r="G15" s="196"/>
      <c r="H15" s="205"/>
      <c r="I15" s="187"/>
      <c r="J15" s="187"/>
      <c r="K15" s="195"/>
      <c r="L15" s="233"/>
      <c r="M15" s="192"/>
      <c r="N15" s="192"/>
    </row>
    <row r="16" spans="1:14" ht="15" customHeight="1">
      <c r="A16" s="13">
        <v>7</v>
      </c>
      <c r="B16" s="929" t="s">
        <v>251</v>
      </c>
      <c r="C16" s="930"/>
      <c r="D16" s="930"/>
      <c r="E16" s="930"/>
      <c r="F16" s="930"/>
      <c r="G16" s="934"/>
      <c r="H16" s="209" t="s">
        <v>252</v>
      </c>
      <c r="I16" s="210"/>
      <c r="J16" s="211"/>
      <c r="K16" s="209" t="s">
        <v>253</v>
      </c>
      <c r="L16" s="234"/>
      <c r="M16" s="208"/>
      <c r="N16" s="208"/>
    </row>
    <row r="17" spans="1:14">
      <c r="A17" s="13">
        <v>8</v>
      </c>
      <c r="B17" s="929" t="s">
        <v>295</v>
      </c>
      <c r="C17" s="930"/>
      <c r="D17" s="930"/>
      <c r="E17" s="930"/>
      <c r="F17" s="930"/>
      <c r="G17" s="934"/>
      <c r="H17" s="209" t="s">
        <v>252</v>
      </c>
      <c r="I17" s="210"/>
      <c r="J17" s="211"/>
      <c r="K17" s="209" t="s">
        <v>253</v>
      </c>
      <c r="L17" s="234"/>
      <c r="M17" s="208"/>
      <c r="N17" s="208"/>
    </row>
    <row r="18" spans="1:14">
      <c r="A18" s="13"/>
      <c r="B18" s="181"/>
      <c r="C18" s="213"/>
      <c r="D18" s="213"/>
      <c r="E18" s="213"/>
      <c r="F18" s="213" t="s">
        <v>254</v>
      </c>
      <c r="G18" s="213"/>
      <c r="H18" s="213"/>
      <c r="I18" s="213"/>
      <c r="J18" s="213"/>
      <c r="K18" s="213"/>
      <c r="L18" s="235"/>
      <c r="M18" s="212"/>
      <c r="N18" s="212"/>
    </row>
    <row r="19" spans="1:14">
      <c r="A19" s="13">
        <v>9</v>
      </c>
      <c r="B19" s="194" t="s">
        <v>255</v>
      </c>
      <c r="C19" s="195" t="s">
        <v>256</v>
      </c>
      <c r="D19" s="195"/>
      <c r="E19" s="195"/>
      <c r="F19" s="195"/>
      <c r="G19" s="196"/>
      <c r="H19" s="205"/>
      <c r="I19" s="195"/>
      <c r="J19" s="195"/>
      <c r="K19" s="195"/>
      <c r="L19" s="233"/>
      <c r="M19" s="192"/>
      <c r="N19" s="192"/>
    </row>
    <row r="20" spans="1:14" ht="21.75" customHeight="1">
      <c r="A20" s="61"/>
      <c r="B20" s="194" t="s">
        <v>257</v>
      </c>
      <c r="C20" s="195" t="s">
        <v>258</v>
      </c>
      <c r="D20" s="195"/>
      <c r="E20" s="195"/>
      <c r="F20" s="195"/>
      <c r="G20" s="196"/>
      <c r="H20" s="205"/>
      <c r="I20" s="195"/>
      <c r="J20" s="195"/>
      <c r="K20" s="195"/>
      <c r="L20" s="233"/>
      <c r="M20" s="192"/>
      <c r="N20" s="192"/>
    </row>
    <row r="21" spans="1:14" ht="27.95" customHeight="1">
      <c r="A21" s="61"/>
      <c r="B21" s="194" t="s">
        <v>296</v>
      </c>
      <c r="C21" s="195" t="s">
        <v>297</v>
      </c>
      <c r="D21" s="195"/>
      <c r="E21" s="195"/>
      <c r="F21" s="195"/>
      <c r="G21" s="196"/>
      <c r="H21" s="205"/>
      <c r="I21" s="195"/>
      <c r="J21" s="195"/>
      <c r="K21" s="195"/>
      <c r="L21" s="233"/>
    </row>
    <row r="22" spans="1:14" ht="27.95" customHeight="1">
      <c r="A22" s="61"/>
      <c r="B22" s="194" t="s">
        <v>260</v>
      </c>
      <c r="C22" s="195" t="s">
        <v>261</v>
      </c>
      <c r="D22" s="195"/>
      <c r="E22" s="195"/>
      <c r="F22" s="195"/>
      <c r="G22" s="196"/>
      <c r="H22" s="205"/>
      <c r="I22" s="195"/>
      <c r="J22" s="195"/>
      <c r="K22" s="195"/>
      <c r="L22" s="233"/>
    </row>
    <row r="23" spans="1:14" ht="27.95" customHeight="1">
      <c r="A23" s="61"/>
      <c r="B23" s="194" t="s">
        <v>262</v>
      </c>
      <c r="C23" s="195" t="s">
        <v>263</v>
      </c>
      <c r="D23" s="195"/>
      <c r="E23" s="195"/>
      <c r="F23" s="195"/>
      <c r="G23" s="196"/>
      <c r="H23" s="205"/>
      <c r="I23" s="195"/>
      <c r="J23" s="195"/>
      <c r="K23" s="195"/>
      <c r="L23" s="233"/>
    </row>
    <row r="24" spans="1:14" ht="27.95" customHeight="1">
      <c r="A24" s="61">
        <v>10</v>
      </c>
      <c r="B24" s="194" t="s">
        <v>255</v>
      </c>
      <c r="C24" s="195" t="s">
        <v>298</v>
      </c>
      <c r="D24" s="195"/>
      <c r="E24" s="195"/>
      <c r="F24" s="195"/>
      <c r="G24" s="196"/>
      <c r="H24" s="209" t="s">
        <v>252</v>
      </c>
      <c r="I24" s="210"/>
      <c r="J24" s="211"/>
      <c r="K24" s="209" t="s">
        <v>253</v>
      </c>
      <c r="L24" s="234"/>
    </row>
    <row r="25" spans="1:14" ht="27.95" customHeight="1">
      <c r="A25" s="61"/>
      <c r="B25" s="194" t="s">
        <v>257</v>
      </c>
      <c r="C25" s="195" t="s">
        <v>299</v>
      </c>
      <c r="D25" s="195"/>
      <c r="E25" s="195"/>
      <c r="F25" s="195"/>
      <c r="G25" s="196"/>
      <c r="H25" s="205"/>
      <c r="I25" s="195"/>
      <c r="J25" s="195"/>
      <c r="K25" s="195"/>
      <c r="L25" s="233"/>
    </row>
    <row r="26" spans="1:14" ht="27.95" customHeight="1">
      <c r="A26" s="61"/>
      <c r="B26" s="194" t="s">
        <v>296</v>
      </c>
      <c r="C26" s="195" t="s">
        <v>264</v>
      </c>
      <c r="D26" s="195"/>
      <c r="E26" s="195"/>
      <c r="F26" s="195"/>
      <c r="G26" s="196"/>
      <c r="H26" s="205"/>
      <c r="I26" s="195"/>
      <c r="J26" s="195"/>
      <c r="K26" s="195"/>
      <c r="L26" s="233"/>
    </row>
    <row r="27" spans="1:14" ht="27.95" customHeight="1">
      <c r="A27" s="61"/>
      <c r="B27" s="194" t="s">
        <v>260</v>
      </c>
      <c r="C27" s="195" t="s">
        <v>300</v>
      </c>
      <c r="D27" s="195"/>
      <c r="E27" s="195"/>
      <c r="F27" s="195"/>
      <c r="G27" s="196"/>
      <c r="H27" s="205"/>
      <c r="I27" s="195"/>
      <c r="J27" s="195"/>
      <c r="K27" s="195"/>
      <c r="L27" s="233"/>
    </row>
    <row r="28" spans="1:14" ht="27.95" customHeight="1">
      <c r="A28" s="13"/>
      <c r="B28" s="181"/>
      <c r="C28" s="213"/>
      <c r="D28" s="213"/>
      <c r="E28" s="213" t="s">
        <v>301</v>
      </c>
      <c r="F28" s="213"/>
      <c r="G28" s="213"/>
      <c r="H28" s="213"/>
      <c r="I28" s="213"/>
      <c r="J28" s="213"/>
      <c r="K28" s="213"/>
      <c r="L28" s="235"/>
    </row>
    <row r="29" spans="1:14" ht="27.95" customHeight="1">
      <c r="A29" s="13">
        <v>11</v>
      </c>
      <c r="B29" s="194" t="s">
        <v>255</v>
      </c>
      <c r="C29" s="195" t="s">
        <v>265</v>
      </c>
      <c r="D29" s="195"/>
      <c r="E29" s="195"/>
      <c r="F29" s="195"/>
      <c r="G29" s="196"/>
      <c r="H29" s="205"/>
      <c r="I29" s="195"/>
      <c r="J29" s="195"/>
      <c r="K29" s="195"/>
      <c r="L29" s="233"/>
    </row>
    <row r="30" spans="1:14" ht="27.95" customHeight="1">
      <c r="A30" s="13"/>
      <c r="B30" s="194" t="s">
        <v>257</v>
      </c>
      <c r="C30" s="195" t="s">
        <v>266</v>
      </c>
      <c r="D30" s="195"/>
      <c r="E30" s="195"/>
      <c r="F30" s="195"/>
      <c r="G30" s="196"/>
      <c r="H30" s="205"/>
      <c r="I30" s="195"/>
      <c r="J30" s="195"/>
      <c r="K30" s="195"/>
      <c r="L30" s="233"/>
    </row>
    <row r="31" spans="1:14" ht="27.95" customHeight="1">
      <c r="A31" s="13"/>
      <c r="B31" s="194" t="s">
        <v>259</v>
      </c>
      <c r="C31" s="195" t="s">
        <v>267</v>
      </c>
      <c r="D31" s="195"/>
      <c r="E31" s="195"/>
      <c r="F31" s="195"/>
      <c r="G31" s="196"/>
      <c r="H31" s="205"/>
      <c r="I31" s="195"/>
      <c r="J31" s="195"/>
      <c r="K31" s="195"/>
      <c r="L31" s="233"/>
    </row>
    <row r="32" spans="1:14" ht="20.25" customHeight="1">
      <c r="A32" s="13"/>
      <c r="B32" s="169"/>
      <c r="C32" s="165"/>
      <c r="D32" s="165"/>
      <c r="E32" s="165"/>
      <c r="F32" s="214" t="s">
        <v>268</v>
      </c>
      <c r="G32" s="165"/>
      <c r="H32" s="154"/>
      <c r="I32" s="154"/>
      <c r="J32" s="154"/>
      <c r="K32" s="154"/>
      <c r="L32" s="172"/>
    </row>
    <row r="33" spans="1:32" ht="27.95" customHeight="1">
      <c r="A33" s="13"/>
      <c r="B33" s="226" t="s">
        <v>269</v>
      </c>
      <c r="C33" s="225" t="s">
        <v>270</v>
      </c>
      <c r="D33" s="165"/>
      <c r="E33" s="165"/>
      <c r="F33" s="165"/>
      <c r="G33" s="165"/>
      <c r="H33" s="154"/>
      <c r="I33" s="154"/>
      <c r="J33" s="155"/>
      <c r="K33" s="154"/>
      <c r="L33" s="172"/>
    </row>
    <row r="34" spans="1:32" ht="19.5" customHeight="1">
      <c r="A34" s="13"/>
      <c r="B34" s="226" t="s">
        <v>271</v>
      </c>
      <c r="C34" s="224" t="s">
        <v>272</v>
      </c>
      <c r="D34" s="154"/>
      <c r="E34" s="155"/>
      <c r="G34" s="935"/>
      <c r="H34" s="935"/>
      <c r="I34" s="170"/>
      <c r="J34" s="171"/>
      <c r="K34" s="935"/>
      <c r="L34" s="936"/>
    </row>
    <row r="35" spans="1:32" ht="26.25" customHeight="1">
      <c r="A35" s="13"/>
      <c r="B35" s="227" t="s">
        <v>273</v>
      </c>
      <c r="C35" s="937" t="s">
        <v>302</v>
      </c>
      <c r="D35" s="937"/>
      <c r="E35" s="937"/>
      <c r="F35" s="937"/>
      <c r="G35" s="937"/>
      <c r="H35" s="937"/>
      <c r="I35" s="937"/>
      <c r="J35" s="937"/>
      <c r="K35" s="937"/>
      <c r="L35" s="938"/>
    </row>
    <row r="36" spans="1:32" ht="19.5" customHeight="1">
      <c r="A36" s="13"/>
      <c r="B36" s="226" t="s">
        <v>274</v>
      </c>
      <c r="C36" s="225" t="s">
        <v>275</v>
      </c>
      <c r="D36" s="217"/>
      <c r="E36" s="217"/>
      <c r="F36" s="217"/>
      <c r="G36" s="217"/>
      <c r="H36" s="217"/>
      <c r="I36" s="217"/>
      <c r="J36" s="217"/>
      <c r="K36" s="217"/>
      <c r="L36" s="236"/>
    </row>
    <row r="37" spans="1:32" ht="27.95" customHeight="1">
      <c r="A37" s="13"/>
      <c r="B37" s="169"/>
      <c r="C37" t="s">
        <v>303</v>
      </c>
      <c r="D37" s="278" t="e">
        <f>'BOM 04 22Master'!#REF!</f>
        <v>#REF!</v>
      </c>
      <c r="E37" s="2"/>
      <c r="F37" s="2"/>
      <c r="G37" s="2"/>
      <c r="L37" s="14"/>
    </row>
    <row r="38" spans="1:32" ht="15" customHeight="1">
      <c r="A38" s="13"/>
      <c r="C38" t="s">
        <v>276</v>
      </c>
      <c r="D38" t="s">
        <v>365</v>
      </c>
      <c r="J38" t="s">
        <v>304</v>
      </c>
      <c r="L38" s="14"/>
    </row>
    <row r="39" spans="1:32" ht="15.75" customHeight="1">
      <c r="A39" s="13"/>
      <c r="L39" s="14"/>
    </row>
    <row r="40" spans="1:32">
      <c r="A40" s="13"/>
      <c r="F40" s="215" t="s">
        <v>277</v>
      </c>
      <c r="L40" s="14"/>
    </row>
    <row r="41" spans="1:32" ht="12.75" customHeight="1">
      <c r="A41" s="13" t="s">
        <v>305</v>
      </c>
      <c r="B41" t="s">
        <v>278</v>
      </c>
      <c r="E41" s="218" t="e">
        <f>'BOM 04 22Master'!#REF!</f>
        <v>#REF!</v>
      </c>
      <c r="H41" s="939" t="s">
        <v>279</v>
      </c>
      <c r="I41" s="939"/>
      <c r="J41" s="219" t="e">
        <f>'BOM 04 22Master'!#REF!</f>
        <v>#REF!</v>
      </c>
      <c r="K41" t="s">
        <v>280</v>
      </c>
      <c r="L41" s="14"/>
    </row>
    <row r="42" spans="1:32" ht="12.75" customHeight="1">
      <c r="A42" s="13"/>
      <c r="B42" s="950" t="e">
        <f>'BOM 04 22Master'!#REF!</f>
        <v>#REF!</v>
      </c>
      <c r="C42" s="951"/>
      <c r="D42" s="216"/>
      <c r="E42" s="216"/>
      <c r="F42" s="216"/>
      <c r="G42" s="216"/>
      <c r="H42" s="216"/>
      <c r="I42" s="216"/>
      <c r="J42" s="216"/>
      <c r="K42" s="216"/>
      <c r="L42" s="237"/>
      <c r="M42" s="216"/>
      <c r="N42" s="216"/>
      <c r="O42" s="216"/>
      <c r="P42" s="216"/>
      <c r="Q42" s="216"/>
      <c r="R42" s="216"/>
      <c r="S42" s="216"/>
      <c r="T42" s="216"/>
      <c r="U42" s="216"/>
      <c r="V42" s="216"/>
      <c r="W42" s="216"/>
      <c r="X42" s="216"/>
      <c r="Y42" s="216"/>
      <c r="Z42" s="216"/>
      <c r="AA42" s="216"/>
      <c r="AB42" s="216"/>
      <c r="AC42" s="216"/>
      <c r="AD42" s="216"/>
      <c r="AE42" s="216"/>
      <c r="AF42" s="216"/>
    </row>
    <row r="43" spans="1:32" ht="12.75" customHeight="1">
      <c r="A43" s="13" t="s">
        <v>307</v>
      </c>
      <c r="B43" s="216" t="s">
        <v>281</v>
      </c>
      <c r="C43" s="216"/>
      <c r="D43" s="216"/>
      <c r="E43" s="216"/>
      <c r="F43" s="216"/>
      <c r="G43" s="216"/>
      <c r="H43" s="216"/>
      <c r="I43" s="216"/>
      <c r="J43" s="216"/>
      <c r="K43" s="216"/>
      <c r="L43" s="237"/>
      <c r="M43" s="216"/>
      <c r="N43" s="216"/>
      <c r="O43" s="216"/>
      <c r="P43" s="216"/>
      <c r="Q43" s="216"/>
      <c r="R43" s="216"/>
      <c r="S43" s="216"/>
      <c r="T43" s="216"/>
      <c r="U43" s="216"/>
      <c r="V43" s="216"/>
      <c r="W43" s="216"/>
      <c r="X43" s="216"/>
      <c r="Y43" s="216"/>
      <c r="Z43" s="216"/>
      <c r="AA43" s="216"/>
      <c r="AB43" s="216"/>
      <c r="AC43" s="216"/>
      <c r="AD43" s="216"/>
      <c r="AE43" s="216"/>
      <c r="AF43" s="216"/>
    </row>
    <row r="44" spans="1:32" ht="12.75" customHeight="1">
      <c r="A44" s="13"/>
      <c r="B44" s="216" t="s">
        <v>306</v>
      </c>
      <c r="C44" s="216"/>
      <c r="D44" s="216"/>
      <c r="E44" s="216"/>
      <c r="F44" s="216"/>
      <c r="G44" s="216"/>
      <c r="H44" s="216"/>
      <c r="I44" s="216"/>
      <c r="J44" s="216"/>
      <c r="K44" s="216"/>
      <c r="L44" s="237"/>
      <c r="M44" s="216"/>
      <c r="N44" s="216"/>
      <c r="O44" s="216"/>
      <c r="P44" s="216"/>
      <c r="Q44" s="216"/>
      <c r="R44" s="216"/>
      <c r="S44" s="216"/>
      <c r="T44" s="216"/>
      <c r="U44" s="216"/>
      <c r="V44" s="216"/>
      <c r="W44" s="216"/>
      <c r="X44" s="216"/>
      <c r="Y44" s="216"/>
      <c r="Z44" s="216"/>
      <c r="AA44" s="216"/>
      <c r="AB44" s="216"/>
      <c r="AC44" s="216"/>
      <c r="AD44" s="216"/>
      <c r="AE44" s="216"/>
      <c r="AF44" s="216"/>
    </row>
    <row r="45" spans="1:32" ht="12.75" customHeight="1">
      <c r="A45" s="13"/>
      <c r="B45" t="s">
        <v>282</v>
      </c>
      <c r="L45" s="14"/>
    </row>
    <row r="46" spans="1:32" ht="12.75" customHeight="1">
      <c r="A46" s="13"/>
      <c r="B46" s="2" t="s">
        <v>283</v>
      </c>
      <c r="F46" s="168"/>
      <c r="L46" s="14"/>
    </row>
    <row r="47" spans="1:32" ht="12.75" customHeight="1">
      <c r="A47" s="13"/>
      <c r="B47" s="2" t="s">
        <v>284</v>
      </c>
      <c r="L47" s="14"/>
    </row>
    <row r="48" spans="1:32" ht="12.75" customHeight="1">
      <c r="A48" s="13"/>
      <c r="B48" t="s">
        <v>285</v>
      </c>
      <c r="L48" s="14"/>
    </row>
    <row r="49" spans="1:12" ht="12.75" customHeight="1">
      <c r="A49" s="13"/>
      <c r="B49" t="s">
        <v>286</v>
      </c>
      <c r="L49" s="14"/>
    </row>
    <row r="50" spans="1:12" ht="12.75" customHeight="1">
      <c r="A50" s="13" t="s">
        <v>296</v>
      </c>
      <c r="B50" t="s">
        <v>287</v>
      </c>
      <c r="L50" s="14"/>
    </row>
    <row r="51" spans="1:12" ht="12.75" customHeight="1">
      <c r="A51" s="13"/>
      <c r="B51" s="228" t="s">
        <v>308</v>
      </c>
      <c r="L51" s="14"/>
    </row>
    <row r="52" spans="1:12" ht="12.75" customHeight="1">
      <c r="A52" s="13"/>
      <c r="B52" t="s">
        <v>282</v>
      </c>
      <c r="L52" s="14"/>
    </row>
    <row r="53" spans="1:12" ht="12.75" customHeight="1">
      <c r="A53" s="13"/>
      <c r="B53" t="s">
        <v>288</v>
      </c>
      <c r="L53" s="14"/>
    </row>
    <row r="54" spans="1:12" ht="12.75" customHeight="1">
      <c r="A54" s="13"/>
      <c r="B54" t="s">
        <v>289</v>
      </c>
      <c r="L54" s="14"/>
    </row>
    <row r="55" spans="1:12" ht="15.75" customHeight="1">
      <c r="A55" s="13"/>
      <c r="B55" s="952" t="s">
        <v>290</v>
      </c>
      <c r="C55" s="952"/>
      <c r="D55" s="952"/>
      <c r="E55" s="952"/>
      <c r="F55" s="952"/>
      <c r="G55" s="952"/>
      <c r="H55" s="952"/>
      <c r="I55" s="952"/>
      <c r="J55" s="952"/>
      <c r="K55" s="952"/>
      <c r="L55" s="953"/>
    </row>
    <row r="56" spans="1:12" ht="23.25">
      <c r="A56" s="13"/>
      <c r="B56" t="s">
        <v>202</v>
      </c>
      <c r="C56" s="278" t="e">
        <f>D37</f>
        <v>#REF!</v>
      </c>
      <c r="D56" s="198"/>
      <c r="E56" s="198"/>
      <c r="F56" s="198"/>
      <c r="G56" s="198"/>
      <c r="H56" s="198"/>
      <c r="I56" t="s">
        <v>309</v>
      </c>
      <c r="J56" s="198"/>
      <c r="K56" s="198"/>
      <c r="L56" s="229"/>
    </row>
    <row r="57" spans="1:12" ht="16.5" thickBot="1">
      <c r="A57" s="25"/>
      <c r="B57" s="761"/>
      <c r="C57" s="761"/>
      <c r="D57" s="761"/>
      <c r="E57" s="761"/>
      <c r="F57" s="761"/>
      <c r="G57" s="761"/>
      <c r="H57" s="761"/>
      <c r="I57" s="761"/>
      <c r="J57" s="761"/>
      <c r="K57" s="761"/>
      <c r="L57" s="762"/>
    </row>
    <row r="58" spans="1:12" ht="27.95" customHeight="1" thickBot="1">
      <c r="A58" s="10"/>
      <c r="B58" s="901"/>
      <c r="C58" s="901"/>
      <c r="D58" s="901"/>
      <c r="E58" s="901"/>
      <c r="F58" s="901"/>
      <c r="G58" s="901"/>
      <c r="H58" s="899"/>
      <c r="I58" s="899"/>
      <c r="J58" s="899"/>
      <c r="K58" s="899"/>
      <c r="L58" s="899"/>
    </row>
    <row r="59" spans="1:12" ht="27.95" customHeight="1">
      <c r="A59" s="50"/>
      <c r="B59" s="51"/>
      <c r="C59" s="51"/>
      <c r="D59" s="51"/>
      <c r="E59" s="51"/>
      <c r="F59" s="51"/>
      <c r="G59" s="51"/>
      <c r="H59" s="51"/>
      <c r="I59" s="55" t="s">
        <v>236</v>
      </c>
      <c r="J59" s="51"/>
      <c r="K59" s="51"/>
      <c r="L59" s="52"/>
    </row>
    <row r="60" spans="1:12" ht="27.95" customHeight="1">
      <c r="A60" s="13"/>
      <c r="B60" s="940" t="s">
        <v>291</v>
      </c>
      <c r="C60" s="940"/>
      <c r="D60" s="940"/>
      <c r="E60" s="940"/>
      <c r="F60" s="940"/>
      <c r="G60" s="940"/>
      <c r="H60" s="940"/>
      <c r="I60" s="940"/>
      <c r="J60" s="940"/>
      <c r="K60" s="940"/>
      <c r="L60" s="941"/>
    </row>
    <row r="61" spans="1:12" ht="27.95" customHeight="1">
      <c r="A61" s="13"/>
      <c r="B61" s="198"/>
      <c r="C61" s="198"/>
      <c r="D61" s="206" t="s">
        <v>238</v>
      </c>
      <c r="E61" s="198"/>
      <c r="F61" s="198"/>
      <c r="G61" s="198"/>
      <c r="H61" s="198"/>
      <c r="I61" s="200" t="s">
        <v>292</v>
      </c>
      <c r="J61" s="201"/>
      <c r="K61" s="282" t="e">
        <f>'BOM 04 22Master'!#REF!</f>
        <v>#REF!</v>
      </c>
      <c r="L61" s="231"/>
    </row>
    <row r="62" spans="1:12" ht="21.75" customHeight="1">
      <c r="A62" s="13"/>
      <c r="B62" s="1"/>
      <c r="C62" s="1" t="s">
        <v>239</v>
      </c>
      <c r="E62" s="1"/>
      <c r="F62" s="1"/>
      <c r="G62" s="1"/>
      <c r="H62" s="1"/>
      <c r="I62" s="199" t="s">
        <v>293</v>
      </c>
      <c r="J62" s="220" t="str">
        <f>'BOM 04 22Master'!F5</f>
        <v>Burgeon IT Services Pvt.Ltd.</v>
      </c>
      <c r="K62" s="202"/>
      <c r="L62" s="232"/>
    </row>
    <row r="63" spans="1:12" ht="20.25" customHeight="1">
      <c r="A63" s="13"/>
      <c r="B63" s="207"/>
      <c r="C63" s="176" t="s">
        <v>240</v>
      </c>
      <c r="E63" s="207"/>
      <c r="F63" s="207"/>
      <c r="H63" s="177"/>
      <c r="I63" s="223" t="str">
        <f>'BOM 04 22Master'!F6</f>
        <v>Siri Mansion LIGB 436 Dr.A S Rao Nagar,Hyderabad</v>
      </c>
      <c r="J63" s="221"/>
      <c r="K63" s="222"/>
      <c r="L63" s="186"/>
    </row>
    <row r="64" spans="1:12" ht="18.75" customHeight="1">
      <c r="A64" s="13"/>
      <c r="L64" s="14"/>
    </row>
    <row r="65" spans="1:12" ht="27.95" customHeight="1">
      <c r="A65" s="13">
        <v>1</v>
      </c>
      <c r="B65" s="203" t="s">
        <v>241</v>
      </c>
      <c r="C65" s="44"/>
      <c r="D65" s="44"/>
      <c r="E65" s="44"/>
      <c r="F65" s="44"/>
      <c r="G65" s="45"/>
      <c r="H65" s="913" t="e">
        <f>'BOM 04 22Master'!#REF!</f>
        <v>#REF!</v>
      </c>
      <c r="I65" s="922"/>
      <c r="J65" s="922"/>
      <c r="K65" s="922"/>
      <c r="L65" s="923"/>
    </row>
    <row r="66" spans="1:12" ht="21.75" customHeight="1">
      <c r="A66" s="13">
        <v>2</v>
      </c>
      <c r="B66" s="942" t="s">
        <v>242</v>
      </c>
      <c r="C66" s="943"/>
      <c r="D66" s="943"/>
      <c r="E66" s="943"/>
      <c r="F66" s="204" t="s">
        <v>243</v>
      </c>
      <c r="G66" s="188"/>
      <c r="H66" s="944" t="e">
        <f>'BOM 04 22Master'!#REF!</f>
        <v>#REF!</v>
      </c>
      <c r="I66" s="945"/>
      <c r="J66" s="945"/>
      <c r="K66" s="945"/>
      <c r="L66" s="946"/>
    </row>
    <row r="67" spans="1:12" ht="12.75" customHeight="1">
      <c r="A67" s="13"/>
      <c r="B67" s="189" t="s">
        <v>244</v>
      </c>
      <c r="C67" s="190"/>
      <c r="D67" s="190"/>
      <c r="E67" s="190"/>
      <c r="F67" s="190" t="s">
        <v>237</v>
      </c>
      <c r="G67" s="191"/>
      <c r="H67" s="947"/>
      <c r="I67" s="948"/>
      <c r="J67" s="948"/>
      <c r="K67" s="948"/>
      <c r="L67" s="949"/>
    </row>
    <row r="68" spans="1:12" ht="27.95" customHeight="1">
      <c r="A68" s="13">
        <v>3</v>
      </c>
      <c r="B68" s="205" t="s">
        <v>245</v>
      </c>
      <c r="C68" s="195"/>
      <c r="D68" s="195"/>
      <c r="E68" s="195"/>
      <c r="F68" s="195"/>
      <c r="G68" s="196"/>
      <c r="H68" s="929" t="e">
        <f>'BOM 04 22Master'!#REF!</f>
        <v>#REF!</v>
      </c>
      <c r="I68" s="930"/>
      <c r="J68" s="930"/>
      <c r="K68" s="930"/>
      <c r="L68" s="934"/>
    </row>
    <row r="69" spans="1:12" ht="27.95" customHeight="1">
      <c r="A69" s="13">
        <v>4</v>
      </c>
      <c r="B69" s="181" t="s">
        <v>246</v>
      </c>
      <c r="C69" s="44"/>
      <c r="D69" s="44"/>
      <c r="E69" s="44"/>
      <c r="F69" s="44"/>
      <c r="G69" s="45"/>
      <c r="H69" s="911" t="e">
        <f>'BOM 04 22Master'!#REF!</f>
        <v>#REF!</v>
      </c>
      <c r="I69" s="918"/>
      <c r="J69" s="918"/>
      <c r="K69" s="918"/>
      <c r="L69" s="917"/>
    </row>
    <row r="70" spans="1:12" ht="27.95" customHeight="1">
      <c r="A70" s="13">
        <v>5</v>
      </c>
      <c r="B70" s="932" t="s">
        <v>294</v>
      </c>
      <c r="C70" s="933"/>
      <c r="D70" s="933"/>
      <c r="E70" s="933"/>
      <c r="F70" s="933"/>
      <c r="G70" s="45"/>
      <c r="H70" s="921" t="s">
        <v>372</v>
      </c>
      <c r="I70" s="922"/>
      <c r="J70" s="922"/>
      <c r="K70" s="922"/>
      <c r="L70" s="923"/>
    </row>
    <row r="71" spans="1:12" ht="21.75" customHeight="1">
      <c r="A71" s="13">
        <v>6</v>
      </c>
      <c r="B71" s="194" t="s">
        <v>247</v>
      </c>
      <c r="C71" s="195" t="s">
        <v>248</v>
      </c>
      <c r="D71" s="195"/>
      <c r="E71" s="195"/>
      <c r="F71" s="195"/>
      <c r="G71" s="196"/>
      <c r="H71" s="205"/>
      <c r="I71" s="195"/>
      <c r="J71" s="195"/>
      <c r="K71" s="195"/>
      <c r="L71" s="233"/>
    </row>
    <row r="72" spans="1:12" ht="22.5" customHeight="1">
      <c r="A72" s="13"/>
      <c r="B72" s="194" t="s">
        <v>249</v>
      </c>
      <c r="C72" s="195" t="s">
        <v>250</v>
      </c>
      <c r="D72" s="195"/>
      <c r="E72" s="195"/>
      <c r="F72" s="195"/>
      <c r="G72" s="196"/>
      <c r="H72" s="205"/>
      <c r="I72" s="187"/>
      <c r="J72" s="187"/>
      <c r="K72" s="195"/>
      <c r="L72" s="233"/>
    </row>
    <row r="73" spans="1:12">
      <c r="A73" s="13">
        <v>7</v>
      </c>
      <c r="B73" s="929" t="s">
        <v>251</v>
      </c>
      <c r="C73" s="930"/>
      <c r="D73" s="930"/>
      <c r="E73" s="930"/>
      <c r="F73" s="930"/>
      <c r="G73" s="934"/>
      <c r="H73" s="209" t="s">
        <v>252</v>
      </c>
      <c r="I73" s="210"/>
      <c r="J73" s="211"/>
      <c r="K73" s="209" t="s">
        <v>253</v>
      </c>
      <c r="L73" s="234"/>
    </row>
    <row r="74" spans="1:12">
      <c r="A74" s="13">
        <v>8</v>
      </c>
      <c r="B74" s="929" t="s">
        <v>295</v>
      </c>
      <c r="C74" s="930"/>
      <c r="D74" s="930"/>
      <c r="E74" s="930"/>
      <c r="F74" s="930"/>
      <c r="G74" s="934"/>
      <c r="H74" s="209" t="s">
        <v>252</v>
      </c>
      <c r="I74" s="210"/>
      <c r="J74" s="211"/>
      <c r="K74" s="209" t="s">
        <v>253</v>
      </c>
      <c r="L74" s="234"/>
    </row>
    <row r="75" spans="1:12">
      <c r="A75" s="13"/>
      <c r="B75" s="181"/>
      <c r="C75" s="213"/>
      <c r="D75" s="213"/>
      <c r="E75" s="213"/>
      <c r="F75" s="213" t="s">
        <v>254</v>
      </c>
      <c r="G75" s="213"/>
      <c r="H75" s="213"/>
      <c r="I75" s="213"/>
      <c r="J75" s="213"/>
      <c r="K75" s="213"/>
      <c r="L75" s="235"/>
    </row>
    <row r="76" spans="1:12">
      <c r="A76" s="13">
        <v>9</v>
      </c>
      <c r="B76" s="194" t="s">
        <v>255</v>
      </c>
      <c r="C76" s="195" t="s">
        <v>256</v>
      </c>
      <c r="D76" s="195"/>
      <c r="E76" s="195"/>
      <c r="F76" s="195"/>
      <c r="G76" s="196"/>
      <c r="H76" s="205"/>
      <c r="I76" s="195"/>
      <c r="J76" s="195"/>
      <c r="K76" s="195"/>
      <c r="L76" s="233"/>
    </row>
    <row r="77" spans="1:12">
      <c r="A77" s="61"/>
      <c r="B77" s="194" t="s">
        <v>257</v>
      </c>
      <c r="C77" s="195" t="s">
        <v>258</v>
      </c>
      <c r="D77" s="195"/>
      <c r="E77" s="195"/>
      <c r="F77" s="195"/>
      <c r="G77" s="196"/>
      <c r="H77" s="205"/>
      <c r="I77" s="195"/>
      <c r="J77" s="195"/>
      <c r="K77" s="195"/>
      <c r="L77" s="233"/>
    </row>
    <row r="78" spans="1:12">
      <c r="A78" s="61"/>
      <c r="B78" s="194" t="s">
        <v>296</v>
      </c>
      <c r="C78" s="195" t="s">
        <v>297</v>
      </c>
      <c r="D78" s="195"/>
      <c r="E78" s="195"/>
      <c r="F78" s="195"/>
      <c r="G78" s="196"/>
      <c r="H78" s="205"/>
      <c r="I78" s="195"/>
      <c r="J78" s="195"/>
      <c r="K78" s="195"/>
      <c r="L78" s="233"/>
    </row>
    <row r="79" spans="1:12">
      <c r="A79" s="61"/>
      <c r="B79" s="194" t="s">
        <v>260</v>
      </c>
      <c r="C79" s="195" t="s">
        <v>261</v>
      </c>
      <c r="D79" s="195"/>
      <c r="E79" s="195"/>
      <c r="F79" s="195"/>
      <c r="G79" s="196"/>
      <c r="H79" s="205"/>
      <c r="I79" s="195"/>
      <c r="J79" s="195"/>
      <c r="K79" s="195"/>
      <c r="L79" s="233"/>
    </row>
    <row r="80" spans="1:12">
      <c r="A80" s="61"/>
      <c r="B80" s="194" t="s">
        <v>262</v>
      </c>
      <c r="C80" s="195" t="s">
        <v>263</v>
      </c>
      <c r="D80" s="195"/>
      <c r="E80" s="195"/>
      <c r="F80" s="195"/>
      <c r="G80" s="196"/>
      <c r="H80" s="205"/>
      <c r="I80" s="195"/>
      <c r="J80" s="195"/>
      <c r="K80" s="195"/>
      <c r="L80" s="233"/>
    </row>
    <row r="81" spans="1:12">
      <c r="A81" s="61">
        <v>10</v>
      </c>
      <c r="B81" s="194" t="s">
        <v>255</v>
      </c>
      <c r="C81" s="195" t="s">
        <v>298</v>
      </c>
      <c r="D81" s="195"/>
      <c r="E81" s="195"/>
      <c r="F81" s="195"/>
      <c r="G81" s="196"/>
      <c r="H81" s="209" t="s">
        <v>252</v>
      </c>
      <c r="I81" s="210"/>
      <c r="J81" s="211"/>
      <c r="K81" s="209" t="s">
        <v>253</v>
      </c>
      <c r="L81" s="234"/>
    </row>
    <row r="82" spans="1:12">
      <c r="A82" s="61"/>
      <c r="B82" s="194" t="s">
        <v>257</v>
      </c>
      <c r="C82" s="195" t="s">
        <v>299</v>
      </c>
      <c r="D82" s="195"/>
      <c r="E82" s="195"/>
      <c r="F82" s="195"/>
      <c r="G82" s="196"/>
      <c r="H82" s="205"/>
      <c r="I82" s="195"/>
      <c r="J82" s="195"/>
      <c r="K82" s="195"/>
      <c r="L82" s="233"/>
    </row>
    <row r="83" spans="1:12">
      <c r="A83" s="61"/>
      <c r="B83" s="194" t="s">
        <v>296</v>
      </c>
      <c r="C83" s="195" t="s">
        <v>264</v>
      </c>
      <c r="D83" s="195"/>
      <c r="E83" s="195"/>
      <c r="F83" s="195"/>
      <c r="G83" s="196"/>
      <c r="H83" s="205"/>
      <c r="I83" s="195"/>
      <c r="J83" s="195"/>
      <c r="K83" s="195"/>
      <c r="L83" s="233"/>
    </row>
    <row r="84" spans="1:12">
      <c r="A84" s="61"/>
      <c r="B84" s="194" t="s">
        <v>260</v>
      </c>
      <c r="C84" s="195" t="s">
        <v>300</v>
      </c>
      <c r="D84" s="195"/>
      <c r="E84" s="195"/>
      <c r="F84" s="195"/>
      <c r="G84" s="196"/>
      <c r="H84" s="205"/>
      <c r="I84" s="195"/>
      <c r="J84" s="195"/>
      <c r="K84" s="195"/>
      <c r="L84" s="233"/>
    </row>
    <row r="85" spans="1:12">
      <c r="A85" s="13"/>
      <c r="B85" s="181"/>
      <c r="C85" s="213"/>
      <c r="D85" s="213"/>
      <c r="E85" s="213" t="s">
        <v>301</v>
      </c>
      <c r="F85" s="213"/>
      <c r="G85" s="213"/>
      <c r="H85" s="213"/>
      <c r="I85" s="213"/>
      <c r="J85" s="213"/>
      <c r="K85" s="213"/>
      <c r="L85" s="235"/>
    </row>
    <row r="86" spans="1:12">
      <c r="A86" s="13">
        <v>11</v>
      </c>
      <c r="B86" s="194" t="s">
        <v>255</v>
      </c>
      <c r="C86" s="195" t="s">
        <v>265</v>
      </c>
      <c r="D86" s="195"/>
      <c r="E86" s="195"/>
      <c r="F86" s="195"/>
      <c r="G86" s="196"/>
      <c r="H86" s="205"/>
      <c r="I86" s="195"/>
      <c r="J86" s="195"/>
      <c r="K86" s="195"/>
      <c r="L86" s="233"/>
    </row>
    <row r="87" spans="1:12">
      <c r="A87" s="13"/>
      <c r="B87" s="194" t="s">
        <v>257</v>
      </c>
      <c r="C87" s="195" t="s">
        <v>266</v>
      </c>
      <c r="D87" s="195"/>
      <c r="E87" s="195"/>
      <c r="F87" s="195"/>
      <c r="G87" s="196"/>
      <c r="H87" s="205"/>
      <c r="I87" s="195"/>
      <c r="J87" s="195"/>
      <c r="K87" s="195"/>
      <c r="L87" s="233"/>
    </row>
    <row r="88" spans="1:12">
      <c r="A88" s="13"/>
      <c r="B88" s="194" t="s">
        <v>259</v>
      </c>
      <c r="C88" s="195" t="s">
        <v>267</v>
      </c>
      <c r="D88" s="195"/>
      <c r="E88" s="195"/>
      <c r="F88" s="195"/>
      <c r="G88" s="196"/>
      <c r="H88" s="205"/>
      <c r="I88" s="195"/>
      <c r="J88" s="195"/>
      <c r="K88" s="195"/>
      <c r="L88" s="233"/>
    </row>
    <row r="89" spans="1:12">
      <c r="A89" s="13"/>
      <c r="B89" s="169"/>
      <c r="C89" s="165"/>
      <c r="D89" s="165"/>
      <c r="E89" s="165"/>
      <c r="F89" s="214" t="s">
        <v>268</v>
      </c>
      <c r="G89" s="165"/>
      <c r="H89" s="154"/>
      <c r="I89" s="154"/>
      <c r="J89" s="154"/>
      <c r="K89" s="154"/>
      <c r="L89" s="172"/>
    </row>
    <row r="90" spans="1:12">
      <c r="A90" s="13"/>
      <c r="B90" s="226" t="s">
        <v>269</v>
      </c>
      <c r="C90" s="225" t="s">
        <v>270</v>
      </c>
      <c r="D90" s="165"/>
      <c r="E90" s="165"/>
      <c r="F90" s="165"/>
      <c r="G90" s="165"/>
      <c r="H90" s="154"/>
      <c r="I90" s="154"/>
      <c r="J90" s="155"/>
      <c r="K90" s="154"/>
      <c r="L90" s="172"/>
    </row>
    <row r="91" spans="1:12">
      <c r="A91" s="13"/>
      <c r="B91" s="226" t="s">
        <v>271</v>
      </c>
      <c r="C91" s="224" t="s">
        <v>272</v>
      </c>
      <c r="D91" s="154"/>
      <c r="E91" s="155"/>
      <c r="G91" s="935"/>
      <c r="H91" s="935"/>
      <c r="I91" s="170"/>
      <c r="J91" s="171"/>
      <c r="K91" s="935"/>
      <c r="L91" s="936"/>
    </row>
    <row r="92" spans="1:12">
      <c r="A92" s="13"/>
      <c r="B92" s="227" t="s">
        <v>273</v>
      </c>
      <c r="C92" s="937" t="s">
        <v>302</v>
      </c>
      <c r="D92" s="937"/>
      <c r="E92" s="937"/>
      <c r="F92" s="937"/>
      <c r="G92" s="937"/>
      <c r="H92" s="937"/>
      <c r="I92" s="937"/>
      <c r="J92" s="937"/>
      <c r="K92" s="937"/>
      <c r="L92" s="938"/>
    </row>
    <row r="93" spans="1:12">
      <c r="A93" s="13"/>
      <c r="B93" s="226" t="s">
        <v>274</v>
      </c>
      <c r="C93" s="225" t="s">
        <v>275</v>
      </c>
      <c r="D93" s="217"/>
      <c r="E93" s="217"/>
      <c r="F93" s="217"/>
      <c r="G93" s="217"/>
      <c r="H93" s="217"/>
      <c r="I93" s="217"/>
      <c r="J93" s="217"/>
      <c r="K93" s="217"/>
      <c r="L93" s="236"/>
    </row>
    <row r="94" spans="1:12" ht="15" customHeight="1">
      <c r="A94" s="13"/>
      <c r="B94" s="169"/>
      <c r="C94" t="s">
        <v>303</v>
      </c>
      <c r="D94" s="278" t="e">
        <f>'BOM 04 22Master'!#REF!</f>
        <v>#REF!</v>
      </c>
      <c r="E94" s="2"/>
      <c r="F94" s="2"/>
      <c r="G94" s="2"/>
      <c r="L94" s="14"/>
    </row>
    <row r="95" spans="1:12">
      <c r="A95" s="13"/>
      <c r="C95" t="s">
        <v>276</v>
      </c>
      <c r="D95" t="s">
        <v>365</v>
      </c>
      <c r="J95" t="s">
        <v>304</v>
      </c>
      <c r="L95" s="14"/>
    </row>
    <row r="96" spans="1:12">
      <c r="A96" s="13"/>
      <c r="L96" s="14"/>
    </row>
    <row r="97" spans="1:12">
      <c r="A97" s="13"/>
      <c r="F97" s="215" t="s">
        <v>277</v>
      </c>
      <c r="L97" s="14"/>
    </row>
    <row r="98" spans="1:12">
      <c r="A98" s="13" t="s">
        <v>305</v>
      </c>
      <c r="B98" t="s">
        <v>278</v>
      </c>
      <c r="E98" s="218" t="e">
        <f>'BOM 04 22Master'!#REF!</f>
        <v>#REF!</v>
      </c>
      <c r="H98" s="939" t="s">
        <v>279</v>
      </c>
      <c r="I98" s="939"/>
      <c r="J98" s="219" t="e">
        <f>'BOM 04 22Master'!#REF!</f>
        <v>#REF!</v>
      </c>
      <c r="K98" t="s">
        <v>280</v>
      </c>
      <c r="L98" s="14"/>
    </row>
    <row r="99" spans="1:12">
      <c r="A99" s="13"/>
      <c r="B99" s="950" t="e">
        <f>'BOM 04 22Master'!#REF!</f>
        <v>#REF!</v>
      </c>
      <c r="C99" s="951"/>
      <c r="D99" s="216"/>
      <c r="E99" s="216"/>
      <c r="F99" s="216"/>
      <c r="G99" s="216"/>
      <c r="H99" s="216"/>
      <c r="I99" s="216"/>
      <c r="J99" s="216"/>
      <c r="K99" s="216"/>
      <c r="L99" s="237"/>
    </row>
    <row r="100" spans="1:12">
      <c r="A100" s="13" t="s">
        <v>307</v>
      </c>
      <c r="B100" s="216" t="s">
        <v>281</v>
      </c>
      <c r="C100" s="216"/>
      <c r="D100" s="216"/>
      <c r="E100" s="216"/>
      <c r="F100" s="216"/>
      <c r="G100" s="216"/>
      <c r="H100" s="216"/>
      <c r="I100" s="216"/>
      <c r="J100" s="216"/>
      <c r="K100" s="216"/>
      <c r="L100" s="237"/>
    </row>
    <row r="101" spans="1:12">
      <c r="A101" s="13"/>
      <c r="B101" s="216" t="s">
        <v>306</v>
      </c>
      <c r="C101" s="216"/>
      <c r="D101" s="216"/>
      <c r="E101" s="216"/>
      <c r="F101" s="216"/>
      <c r="G101" s="216"/>
      <c r="H101" s="216"/>
      <c r="I101" s="216"/>
      <c r="J101" s="216"/>
      <c r="K101" s="216"/>
      <c r="L101" s="237"/>
    </row>
    <row r="102" spans="1:12">
      <c r="A102" s="13"/>
      <c r="B102" t="s">
        <v>282</v>
      </c>
      <c r="L102" s="14"/>
    </row>
    <row r="103" spans="1:12" ht="18.75">
      <c r="A103" s="13"/>
      <c r="B103" s="2" t="s">
        <v>283</v>
      </c>
      <c r="F103" s="168"/>
      <c r="L103" s="14"/>
    </row>
    <row r="104" spans="1:12">
      <c r="A104" s="13"/>
      <c r="B104" s="2" t="s">
        <v>284</v>
      </c>
      <c r="L104" s="14"/>
    </row>
    <row r="105" spans="1:12">
      <c r="A105" s="13"/>
      <c r="B105" t="s">
        <v>285</v>
      </c>
      <c r="L105" s="14"/>
    </row>
    <row r="106" spans="1:12">
      <c r="A106" s="13"/>
      <c r="B106" t="s">
        <v>286</v>
      </c>
      <c r="L106" s="14"/>
    </row>
    <row r="107" spans="1:12">
      <c r="A107" s="13" t="s">
        <v>296</v>
      </c>
      <c r="B107" t="s">
        <v>287</v>
      </c>
      <c r="L107" s="14"/>
    </row>
    <row r="108" spans="1:12">
      <c r="A108" s="13"/>
      <c r="B108" s="228" t="s">
        <v>308</v>
      </c>
      <c r="L108" s="14"/>
    </row>
    <row r="109" spans="1:12" ht="27.95" customHeight="1">
      <c r="A109" s="13"/>
      <c r="B109" t="s">
        <v>282</v>
      </c>
      <c r="L109" s="14"/>
    </row>
    <row r="110" spans="1:12" ht="27.95" customHeight="1">
      <c r="A110" s="13"/>
      <c r="B110" t="s">
        <v>288</v>
      </c>
      <c r="L110" s="14"/>
    </row>
    <row r="111" spans="1:12" ht="27.95" customHeight="1">
      <c r="A111" s="13"/>
      <c r="B111" t="s">
        <v>289</v>
      </c>
      <c r="L111" s="14"/>
    </row>
    <row r="112" spans="1:12" ht="27.95" customHeight="1">
      <c r="A112" s="13"/>
      <c r="B112" s="952" t="s">
        <v>290</v>
      </c>
      <c r="C112" s="952"/>
      <c r="D112" s="952"/>
      <c r="E112" s="952"/>
      <c r="F112" s="952"/>
      <c r="G112" s="952"/>
      <c r="H112" s="952"/>
      <c r="I112" s="952"/>
      <c r="J112" s="952"/>
      <c r="K112" s="952"/>
      <c r="L112" s="953"/>
    </row>
    <row r="113" spans="1:12" ht="27.95" customHeight="1">
      <c r="A113" s="13"/>
      <c r="B113" t="s">
        <v>202</v>
      </c>
      <c r="C113" s="278" t="e">
        <f>D94</f>
        <v>#REF!</v>
      </c>
      <c r="D113" s="198"/>
      <c r="E113" s="198"/>
      <c r="F113" s="198"/>
      <c r="G113" s="198"/>
      <c r="H113" s="198"/>
      <c r="I113" t="s">
        <v>309</v>
      </c>
      <c r="J113" s="198"/>
      <c r="K113" s="198"/>
      <c r="L113" s="229"/>
    </row>
    <row r="114" spans="1:12" ht="27.95" customHeight="1" thickBot="1">
      <c r="A114" s="25"/>
      <c r="B114" s="761"/>
      <c r="C114" s="761"/>
      <c r="D114" s="761"/>
      <c r="E114" s="761"/>
      <c r="F114" s="761"/>
      <c r="G114" s="761"/>
      <c r="H114" s="761"/>
      <c r="I114" s="761"/>
      <c r="J114" s="761"/>
      <c r="K114" s="761"/>
      <c r="L114" s="762"/>
    </row>
    <row r="115" spans="1:12" ht="27.95" customHeight="1" thickBot="1">
      <c r="A115" s="10"/>
      <c r="B115" s="901"/>
      <c r="C115" s="901"/>
      <c r="D115" s="901"/>
      <c r="E115" s="901"/>
      <c r="F115" s="901"/>
      <c r="G115" s="901"/>
      <c r="H115" s="899"/>
      <c r="I115" s="899"/>
      <c r="J115" s="899"/>
      <c r="K115" s="899"/>
      <c r="L115" s="899"/>
    </row>
    <row r="116" spans="1:12" ht="27.95" customHeight="1">
      <c r="A116" s="50"/>
      <c r="B116" s="51"/>
      <c r="C116" s="51"/>
      <c r="D116" s="51"/>
      <c r="E116" s="51"/>
      <c r="F116" s="51"/>
      <c r="G116" s="51"/>
      <c r="H116" s="51"/>
      <c r="I116" s="55" t="s">
        <v>236</v>
      </c>
      <c r="J116" s="51"/>
      <c r="K116" s="51"/>
      <c r="L116" s="52"/>
    </row>
    <row r="117" spans="1:12" ht="27.95" customHeight="1">
      <c r="A117" s="13"/>
      <c r="B117" s="940" t="s">
        <v>291</v>
      </c>
      <c r="C117" s="940"/>
      <c r="D117" s="940"/>
      <c r="E117" s="940"/>
      <c r="F117" s="940"/>
      <c r="G117" s="940"/>
      <c r="H117" s="940"/>
      <c r="I117" s="940"/>
      <c r="J117" s="940"/>
      <c r="K117" s="940"/>
      <c r="L117" s="941"/>
    </row>
    <row r="118" spans="1:12" ht="27.95" customHeight="1">
      <c r="A118" s="13"/>
      <c r="B118" s="198"/>
      <c r="C118" s="198"/>
      <c r="D118" s="206" t="s">
        <v>238</v>
      </c>
      <c r="E118" s="198"/>
      <c r="F118" s="198"/>
      <c r="G118" s="198"/>
      <c r="H118" s="198"/>
      <c r="I118" s="200" t="s">
        <v>292</v>
      </c>
      <c r="J118" s="201"/>
      <c r="K118" s="282" t="e">
        <f>'BOM 04 22Master'!#REF!</f>
        <v>#REF!</v>
      </c>
      <c r="L118" s="231"/>
    </row>
    <row r="119" spans="1:12" ht="27.95" customHeight="1">
      <c r="A119" s="13"/>
      <c r="B119" s="1"/>
      <c r="C119" s="1" t="s">
        <v>239</v>
      </c>
      <c r="E119" s="1"/>
      <c r="F119" s="1"/>
      <c r="G119" s="1"/>
      <c r="H119" s="1"/>
      <c r="I119" s="199" t="s">
        <v>293</v>
      </c>
      <c r="J119" s="220" t="str">
        <f>'BOM 04 22Master'!F5</f>
        <v>Burgeon IT Services Pvt.Ltd.</v>
      </c>
      <c r="K119" s="202"/>
      <c r="L119" s="232"/>
    </row>
    <row r="120" spans="1:12" ht="27.95" customHeight="1">
      <c r="A120" s="13"/>
      <c r="B120" s="207"/>
      <c r="C120" s="176" t="s">
        <v>240</v>
      </c>
      <c r="E120" s="207"/>
      <c r="F120" s="207"/>
      <c r="H120" s="177"/>
      <c r="I120" s="223" t="str">
        <f>'BOM 04 22Master'!F6</f>
        <v>Siri Mansion LIGB 436 Dr.A S Rao Nagar,Hyderabad</v>
      </c>
      <c r="J120" s="221"/>
      <c r="K120" s="222"/>
      <c r="L120" s="186"/>
    </row>
    <row r="121" spans="1:12" ht="27.95" customHeight="1">
      <c r="A121" s="13"/>
      <c r="L121" s="14"/>
    </row>
    <row r="122" spans="1:12" ht="27.95" customHeight="1">
      <c r="A122" s="13">
        <v>1</v>
      </c>
      <c r="B122" s="203" t="s">
        <v>241</v>
      </c>
      <c r="C122" s="44"/>
      <c r="D122" s="44"/>
      <c r="E122" s="44"/>
      <c r="F122" s="44"/>
      <c r="G122" s="45"/>
      <c r="H122" s="913" t="e">
        <f>'BOM 04 22Master'!#REF!</f>
        <v>#REF!</v>
      </c>
      <c r="I122" s="922"/>
      <c r="J122" s="922"/>
      <c r="K122" s="922"/>
      <c r="L122" s="923"/>
    </row>
    <row r="123" spans="1:12" ht="22.5" customHeight="1">
      <c r="A123" s="13">
        <v>2</v>
      </c>
      <c r="B123" s="942" t="s">
        <v>242</v>
      </c>
      <c r="C123" s="943"/>
      <c r="D123" s="943"/>
      <c r="E123" s="943"/>
      <c r="F123" s="204" t="s">
        <v>243</v>
      </c>
      <c r="G123" s="188"/>
      <c r="H123" s="944" t="e">
        <f>'BOM 04 22Master'!#REF!</f>
        <v>#REF!</v>
      </c>
      <c r="I123" s="945"/>
      <c r="J123" s="945"/>
      <c r="K123" s="945"/>
      <c r="L123" s="946"/>
    </row>
    <row r="124" spans="1:12" ht="9.75" customHeight="1">
      <c r="A124" s="13"/>
      <c r="B124" s="189" t="s">
        <v>244</v>
      </c>
      <c r="C124" s="190"/>
      <c r="D124" s="190"/>
      <c r="E124" s="190"/>
      <c r="F124" s="190" t="s">
        <v>237</v>
      </c>
      <c r="G124" s="191"/>
      <c r="H124" s="947"/>
      <c r="I124" s="948"/>
      <c r="J124" s="948"/>
      <c r="K124" s="948"/>
      <c r="L124" s="949"/>
    </row>
    <row r="125" spans="1:12" ht="22.5" customHeight="1">
      <c r="A125" s="13">
        <v>3</v>
      </c>
      <c r="B125" s="205" t="s">
        <v>245</v>
      </c>
      <c r="C125" s="195"/>
      <c r="D125" s="195"/>
      <c r="E125" s="195"/>
      <c r="F125" s="195"/>
      <c r="G125" s="196"/>
      <c r="H125" s="929" t="e">
        <f>'BOM 04 22Master'!#REF!</f>
        <v>#REF!</v>
      </c>
      <c r="I125" s="930"/>
      <c r="J125" s="930"/>
      <c r="K125" s="930"/>
      <c r="L125" s="931"/>
    </row>
    <row r="126" spans="1:12" ht="20.25" customHeight="1">
      <c r="A126" s="13">
        <v>4</v>
      </c>
      <c r="B126" s="181" t="s">
        <v>246</v>
      </c>
      <c r="C126" s="44"/>
      <c r="D126" s="44"/>
      <c r="E126" s="44"/>
      <c r="F126" s="44"/>
      <c r="G126" s="45"/>
      <c r="H126" s="911" t="e">
        <f>'BOM 04 22Master'!#REF!</f>
        <v>#REF!</v>
      </c>
      <c r="I126" s="918"/>
      <c r="J126" s="918"/>
      <c r="K126" s="918"/>
      <c r="L126" s="912"/>
    </row>
    <row r="127" spans="1:12">
      <c r="A127" s="13">
        <v>5</v>
      </c>
      <c r="B127" s="932" t="s">
        <v>294</v>
      </c>
      <c r="C127" s="933"/>
      <c r="D127" s="933"/>
      <c r="E127" s="933"/>
      <c r="F127" s="933"/>
      <c r="G127" s="45"/>
      <c r="H127" s="921" t="s">
        <v>373</v>
      </c>
      <c r="I127" s="922"/>
      <c r="J127" s="922"/>
      <c r="K127" s="922"/>
      <c r="L127" s="923"/>
    </row>
    <row r="128" spans="1:12">
      <c r="A128" s="13">
        <v>6</v>
      </c>
      <c r="B128" s="194" t="s">
        <v>247</v>
      </c>
      <c r="C128" s="195" t="s">
        <v>248</v>
      </c>
      <c r="D128" s="195"/>
      <c r="E128" s="195"/>
      <c r="F128" s="195"/>
      <c r="G128" s="196"/>
      <c r="H128" s="205"/>
      <c r="I128" s="195"/>
      <c r="J128" s="195"/>
      <c r="K128" s="195"/>
      <c r="L128" s="233"/>
    </row>
    <row r="129" spans="1:12">
      <c r="A129" s="13"/>
      <c r="B129" s="194" t="s">
        <v>249</v>
      </c>
      <c r="C129" s="195" t="s">
        <v>250</v>
      </c>
      <c r="D129" s="195"/>
      <c r="E129" s="195"/>
      <c r="F129" s="195"/>
      <c r="G129" s="196"/>
      <c r="H129" s="205"/>
      <c r="I129" s="187"/>
      <c r="J129" s="187"/>
      <c r="K129" s="195"/>
      <c r="L129" s="233"/>
    </row>
    <row r="130" spans="1:12">
      <c r="A130" s="13">
        <v>7</v>
      </c>
      <c r="B130" s="929" t="s">
        <v>251</v>
      </c>
      <c r="C130" s="930"/>
      <c r="D130" s="930"/>
      <c r="E130" s="930"/>
      <c r="F130" s="930"/>
      <c r="G130" s="934"/>
      <c r="H130" s="209" t="s">
        <v>252</v>
      </c>
      <c r="I130" s="210"/>
      <c r="J130" s="211"/>
      <c r="K130" s="209" t="s">
        <v>253</v>
      </c>
      <c r="L130" s="234"/>
    </row>
    <row r="131" spans="1:12">
      <c r="A131" s="13">
        <v>8</v>
      </c>
      <c r="B131" s="929" t="s">
        <v>295</v>
      </c>
      <c r="C131" s="930"/>
      <c r="D131" s="930"/>
      <c r="E131" s="930"/>
      <c r="F131" s="930"/>
      <c r="G131" s="934"/>
      <c r="H131" s="209" t="s">
        <v>252</v>
      </c>
      <c r="I131" s="210"/>
      <c r="J131" s="211"/>
      <c r="K131" s="209" t="s">
        <v>253</v>
      </c>
      <c r="L131" s="234"/>
    </row>
    <row r="132" spans="1:12">
      <c r="A132" s="13"/>
      <c r="B132" s="181"/>
      <c r="C132" s="213"/>
      <c r="D132" s="213"/>
      <c r="E132" s="213"/>
      <c r="F132" s="213" t="s">
        <v>254</v>
      </c>
      <c r="G132" s="213"/>
      <c r="H132" s="213"/>
      <c r="I132" s="213"/>
      <c r="J132" s="213"/>
      <c r="K132" s="213"/>
      <c r="L132" s="235"/>
    </row>
    <row r="133" spans="1:12">
      <c r="A133" s="13">
        <v>9</v>
      </c>
      <c r="B133" s="194" t="s">
        <v>255</v>
      </c>
      <c r="C133" s="195" t="s">
        <v>256</v>
      </c>
      <c r="D133" s="195"/>
      <c r="E133" s="195"/>
      <c r="F133" s="195"/>
      <c r="G133" s="196"/>
      <c r="H133" s="205"/>
      <c r="I133" s="195"/>
      <c r="J133" s="195"/>
      <c r="K133" s="195"/>
      <c r="L133" s="233"/>
    </row>
    <row r="134" spans="1:12">
      <c r="A134" s="61"/>
      <c r="B134" s="194" t="s">
        <v>257</v>
      </c>
      <c r="C134" s="195" t="s">
        <v>258</v>
      </c>
      <c r="D134" s="195"/>
      <c r="E134" s="195"/>
      <c r="F134" s="195"/>
      <c r="G134" s="196"/>
      <c r="H134" s="205"/>
      <c r="I134" s="195"/>
      <c r="J134" s="195"/>
      <c r="K134" s="195"/>
      <c r="L134" s="233"/>
    </row>
    <row r="135" spans="1:12">
      <c r="A135" s="61"/>
      <c r="B135" s="194" t="s">
        <v>296</v>
      </c>
      <c r="C135" s="195" t="s">
        <v>297</v>
      </c>
      <c r="D135" s="195"/>
      <c r="E135" s="195"/>
      <c r="F135" s="195"/>
      <c r="G135" s="196"/>
      <c r="H135" s="205"/>
      <c r="I135" s="195"/>
      <c r="J135" s="195"/>
      <c r="K135" s="195"/>
      <c r="L135" s="233"/>
    </row>
    <row r="136" spans="1:12">
      <c r="A136" s="61"/>
      <c r="B136" s="194" t="s">
        <v>260</v>
      </c>
      <c r="C136" s="195" t="s">
        <v>261</v>
      </c>
      <c r="D136" s="195"/>
      <c r="E136" s="195"/>
      <c r="F136" s="195"/>
      <c r="G136" s="196"/>
      <c r="H136" s="205"/>
      <c r="I136" s="195"/>
      <c r="J136" s="195"/>
      <c r="K136" s="195"/>
      <c r="L136" s="233"/>
    </row>
    <row r="137" spans="1:12">
      <c r="A137" s="61"/>
      <c r="B137" s="194" t="s">
        <v>262</v>
      </c>
      <c r="C137" s="195" t="s">
        <v>263</v>
      </c>
      <c r="D137" s="195"/>
      <c r="E137" s="195"/>
      <c r="F137" s="195"/>
      <c r="G137" s="196"/>
      <c r="H137" s="205"/>
      <c r="I137" s="195"/>
      <c r="J137" s="195"/>
      <c r="K137" s="195"/>
      <c r="L137" s="233"/>
    </row>
    <row r="138" spans="1:12">
      <c r="A138" s="61">
        <v>10</v>
      </c>
      <c r="B138" s="194" t="s">
        <v>255</v>
      </c>
      <c r="C138" s="195" t="s">
        <v>298</v>
      </c>
      <c r="D138" s="195"/>
      <c r="E138" s="195"/>
      <c r="F138" s="195"/>
      <c r="G138" s="196"/>
      <c r="H138" s="209" t="s">
        <v>252</v>
      </c>
      <c r="I138" s="210"/>
      <c r="J138" s="211"/>
      <c r="K138" s="209" t="s">
        <v>253</v>
      </c>
      <c r="L138" s="234"/>
    </row>
    <row r="139" spans="1:12">
      <c r="A139" s="61"/>
      <c r="B139" s="194" t="s">
        <v>257</v>
      </c>
      <c r="C139" s="195" t="s">
        <v>299</v>
      </c>
      <c r="D139" s="195"/>
      <c r="E139" s="195"/>
      <c r="F139" s="195"/>
      <c r="G139" s="196"/>
      <c r="H139" s="205"/>
      <c r="I139" s="195"/>
      <c r="J139" s="195"/>
      <c r="K139" s="195"/>
      <c r="L139" s="233"/>
    </row>
    <row r="140" spans="1:12">
      <c r="A140" s="61"/>
      <c r="B140" s="194" t="s">
        <v>296</v>
      </c>
      <c r="C140" s="195" t="s">
        <v>264</v>
      </c>
      <c r="D140" s="195"/>
      <c r="E140" s="195"/>
      <c r="F140" s="195"/>
      <c r="G140" s="196"/>
      <c r="H140" s="205"/>
      <c r="I140" s="195"/>
      <c r="J140" s="195"/>
      <c r="K140" s="195"/>
      <c r="L140" s="233"/>
    </row>
    <row r="141" spans="1:12">
      <c r="A141" s="61"/>
      <c r="B141" s="194" t="s">
        <v>260</v>
      </c>
      <c r="C141" s="195" t="s">
        <v>300</v>
      </c>
      <c r="D141" s="195"/>
      <c r="E141" s="195"/>
      <c r="F141" s="195"/>
      <c r="G141" s="196"/>
      <c r="H141" s="205"/>
      <c r="I141" s="195"/>
      <c r="J141" s="195"/>
      <c r="K141" s="195"/>
      <c r="L141" s="233"/>
    </row>
    <row r="142" spans="1:12">
      <c r="A142" s="13"/>
      <c r="B142" s="181"/>
      <c r="C142" s="213"/>
      <c r="D142" s="213"/>
      <c r="E142" s="213" t="s">
        <v>301</v>
      </c>
      <c r="F142" s="213"/>
      <c r="G142" s="213"/>
      <c r="H142" s="213"/>
      <c r="I142" s="213"/>
      <c r="J142" s="213"/>
      <c r="K142" s="213"/>
      <c r="L142" s="235"/>
    </row>
    <row r="143" spans="1:12">
      <c r="A143" s="13">
        <v>11</v>
      </c>
      <c r="B143" s="194" t="s">
        <v>255</v>
      </c>
      <c r="C143" s="195" t="s">
        <v>265</v>
      </c>
      <c r="D143" s="195"/>
      <c r="E143" s="195"/>
      <c r="F143" s="195"/>
      <c r="G143" s="196"/>
      <c r="H143" s="205"/>
      <c r="I143" s="195"/>
      <c r="J143" s="195"/>
      <c r="K143" s="195"/>
      <c r="L143" s="233"/>
    </row>
    <row r="144" spans="1:12">
      <c r="A144" s="13"/>
      <c r="B144" s="194" t="s">
        <v>257</v>
      </c>
      <c r="C144" s="195" t="s">
        <v>266</v>
      </c>
      <c r="D144" s="195"/>
      <c r="E144" s="195"/>
      <c r="F144" s="195"/>
      <c r="G144" s="196"/>
      <c r="H144" s="205"/>
      <c r="I144" s="195"/>
      <c r="J144" s="195"/>
      <c r="K144" s="195"/>
      <c r="L144" s="233"/>
    </row>
    <row r="145" spans="1:12">
      <c r="A145" s="13"/>
      <c r="B145" s="194" t="s">
        <v>259</v>
      </c>
      <c r="C145" s="195" t="s">
        <v>267</v>
      </c>
      <c r="D145" s="195"/>
      <c r="E145" s="195"/>
      <c r="F145" s="195"/>
      <c r="G145" s="196"/>
      <c r="H145" s="205"/>
      <c r="I145" s="195"/>
      <c r="J145" s="195"/>
      <c r="K145" s="195"/>
      <c r="L145" s="233"/>
    </row>
    <row r="146" spans="1:12">
      <c r="A146" s="13"/>
      <c r="B146" s="169"/>
      <c r="C146" s="165"/>
      <c r="D146" s="165"/>
      <c r="E146" s="165"/>
      <c r="F146" s="214" t="s">
        <v>268</v>
      </c>
      <c r="G146" s="165"/>
      <c r="H146" s="154"/>
      <c r="I146" s="154"/>
      <c r="J146" s="154"/>
      <c r="K146" s="154"/>
      <c r="L146" s="172"/>
    </row>
    <row r="147" spans="1:12">
      <c r="A147" s="13"/>
      <c r="B147" s="226" t="s">
        <v>269</v>
      </c>
      <c r="C147" s="225" t="s">
        <v>270</v>
      </c>
      <c r="D147" s="165"/>
      <c r="E147" s="165"/>
      <c r="F147" s="165"/>
      <c r="G147" s="165"/>
      <c r="H147" s="154"/>
      <c r="I147" s="154"/>
      <c r="J147" s="155"/>
      <c r="K147" s="154"/>
      <c r="L147" s="172"/>
    </row>
    <row r="148" spans="1:12">
      <c r="A148" s="13"/>
      <c r="B148" s="226" t="s">
        <v>271</v>
      </c>
      <c r="C148" s="224" t="s">
        <v>272</v>
      </c>
      <c r="D148" s="154"/>
      <c r="E148" s="155"/>
      <c r="G148" s="935"/>
      <c r="H148" s="935"/>
      <c r="I148" s="170"/>
      <c r="J148" s="171"/>
      <c r="K148" s="935"/>
      <c r="L148" s="936"/>
    </row>
    <row r="149" spans="1:12">
      <c r="A149" s="13"/>
      <c r="B149" s="227" t="s">
        <v>273</v>
      </c>
      <c r="C149" s="937" t="s">
        <v>302</v>
      </c>
      <c r="D149" s="937"/>
      <c r="E149" s="937"/>
      <c r="F149" s="937"/>
      <c r="G149" s="937"/>
      <c r="H149" s="937"/>
      <c r="I149" s="937"/>
      <c r="J149" s="937"/>
      <c r="K149" s="937"/>
      <c r="L149" s="938"/>
    </row>
    <row r="150" spans="1:12">
      <c r="A150" s="13"/>
      <c r="B150" s="226" t="s">
        <v>274</v>
      </c>
      <c r="C150" s="225" t="s">
        <v>275</v>
      </c>
      <c r="D150" s="217"/>
      <c r="E150" s="217"/>
      <c r="F150" s="217"/>
      <c r="G150" s="217"/>
      <c r="H150" s="217"/>
      <c r="I150" s="217"/>
      <c r="J150" s="217"/>
      <c r="K150" s="217"/>
      <c r="L150" s="236"/>
    </row>
    <row r="151" spans="1:12">
      <c r="A151" s="13"/>
      <c r="B151" s="169"/>
      <c r="C151" t="s">
        <v>303</v>
      </c>
      <c r="D151" s="283" t="e">
        <f>'BOM 04 22Master'!#REF!</f>
        <v>#REF!</v>
      </c>
      <c r="E151" s="2"/>
      <c r="F151" s="2"/>
      <c r="G151" s="2"/>
      <c r="L151" s="14"/>
    </row>
    <row r="152" spans="1:12">
      <c r="A152" s="13"/>
      <c r="C152" t="s">
        <v>276</v>
      </c>
      <c r="D152" t="s">
        <v>365</v>
      </c>
      <c r="J152" t="s">
        <v>304</v>
      </c>
      <c r="L152" s="14"/>
    </row>
    <row r="153" spans="1:12">
      <c r="A153" s="13"/>
      <c r="L153" s="14"/>
    </row>
    <row r="154" spans="1:12">
      <c r="A154" s="13"/>
      <c r="F154" s="215" t="s">
        <v>277</v>
      </c>
      <c r="L154" s="14"/>
    </row>
    <row r="155" spans="1:12">
      <c r="A155" s="13" t="s">
        <v>305</v>
      </c>
      <c r="B155" t="s">
        <v>278</v>
      </c>
      <c r="E155" s="218" t="e">
        <f>'BOM 04 22Master'!#REF!</f>
        <v>#REF!</v>
      </c>
      <c r="H155" s="939" t="s">
        <v>279</v>
      </c>
      <c r="I155" s="939"/>
      <c r="J155" s="219" t="e">
        <f>'BOM 04 22Master'!#REF!</f>
        <v>#REF!</v>
      </c>
      <c r="K155" t="s">
        <v>280</v>
      </c>
      <c r="L155" s="14"/>
    </row>
    <row r="156" spans="1:12">
      <c r="A156" s="13"/>
      <c r="B156" s="950" t="e">
        <f>'BOM 04 22Master'!#REF!</f>
        <v>#REF!</v>
      </c>
      <c r="C156" s="951"/>
      <c r="D156" s="216"/>
      <c r="E156" s="216"/>
      <c r="F156" s="216"/>
      <c r="G156" s="216"/>
      <c r="H156" s="216"/>
      <c r="I156" s="216"/>
      <c r="J156" s="216"/>
      <c r="K156" s="216"/>
      <c r="L156" s="237"/>
    </row>
    <row r="157" spans="1:12">
      <c r="A157" s="13" t="s">
        <v>307</v>
      </c>
      <c r="B157" s="216" t="s">
        <v>281</v>
      </c>
      <c r="C157" s="216"/>
      <c r="D157" s="216"/>
      <c r="E157" s="216"/>
      <c r="F157" s="216"/>
      <c r="G157" s="216"/>
      <c r="H157" s="216"/>
      <c r="I157" s="216"/>
      <c r="J157" s="216"/>
      <c r="K157" s="216"/>
      <c r="L157" s="237"/>
    </row>
    <row r="158" spans="1:12">
      <c r="A158" s="13"/>
      <c r="B158" s="216" t="s">
        <v>306</v>
      </c>
      <c r="C158" s="216"/>
      <c r="D158" s="216"/>
      <c r="E158" s="216"/>
      <c r="F158" s="216"/>
      <c r="G158" s="216"/>
      <c r="H158" s="216"/>
      <c r="I158" s="216"/>
      <c r="J158" s="216"/>
      <c r="K158" s="216"/>
      <c r="L158" s="237"/>
    </row>
    <row r="159" spans="1:12">
      <c r="A159" s="13"/>
      <c r="B159" t="s">
        <v>282</v>
      </c>
      <c r="L159" s="14"/>
    </row>
    <row r="160" spans="1:12" ht="18.75">
      <c r="A160" s="13"/>
      <c r="B160" s="2" t="s">
        <v>283</v>
      </c>
      <c r="F160" s="168"/>
      <c r="L160" s="14"/>
    </row>
    <row r="161" spans="1:12">
      <c r="A161" s="13"/>
      <c r="B161" s="2" t="s">
        <v>284</v>
      </c>
      <c r="L161" s="14"/>
    </row>
    <row r="162" spans="1:12" ht="27.95" customHeight="1">
      <c r="A162" s="13"/>
      <c r="B162" t="s">
        <v>285</v>
      </c>
      <c r="L162" s="14"/>
    </row>
    <row r="163" spans="1:12" ht="27.95" customHeight="1">
      <c r="A163" s="13"/>
      <c r="B163" t="s">
        <v>286</v>
      </c>
      <c r="L163" s="14"/>
    </row>
    <row r="164" spans="1:12" ht="27.95" customHeight="1">
      <c r="A164" s="13" t="s">
        <v>296</v>
      </c>
      <c r="B164" t="s">
        <v>287</v>
      </c>
      <c r="L164" s="14"/>
    </row>
    <row r="165" spans="1:12" ht="27.95" customHeight="1">
      <c r="A165" s="13"/>
      <c r="B165" s="228" t="s">
        <v>308</v>
      </c>
      <c r="L165" s="14"/>
    </row>
    <row r="166" spans="1:12" ht="27.95" customHeight="1">
      <c r="A166" s="13"/>
      <c r="B166" t="s">
        <v>282</v>
      </c>
      <c r="L166" s="14"/>
    </row>
    <row r="167" spans="1:12" ht="27.95" customHeight="1">
      <c r="A167" s="13"/>
      <c r="B167" t="s">
        <v>288</v>
      </c>
      <c r="L167" s="14"/>
    </row>
    <row r="168" spans="1:12" ht="27.95" customHeight="1">
      <c r="A168" s="13"/>
      <c r="B168" t="s">
        <v>289</v>
      </c>
      <c r="L168" s="14"/>
    </row>
    <row r="169" spans="1:12" ht="27.95" customHeight="1">
      <c r="A169" s="13"/>
      <c r="B169" s="952" t="s">
        <v>290</v>
      </c>
      <c r="C169" s="952"/>
      <c r="D169" s="952"/>
      <c r="E169" s="952"/>
      <c r="F169" s="952"/>
      <c r="G169" s="952"/>
      <c r="H169" s="952"/>
      <c r="I169" s="952"/>
      <c r="J169" s="952"/>
      <c r="K169" s="952"/>
      <c r="L169" s="953"/>
    </row>
    <row r="170" spans="1:12" ht="27.95" customHeight="1">
      <c r="A170" s="13"/>
      <c r="B170" t="s">
        <v>202</v>
      </c>
      <c r="C170" s="278" t="e">
        <f>D151</f>
        <v>#REF!</v>
      </c>
      <c r="D170" s="198"/>
      <c r="E170" s="198"/>
      <c r="F170" s="198"/>
      <c r="G170" s="198"/>
      <c r="H170" s="198"/>
      <c r="I170" t="s">
        <v>309</v>
      </c>
      <c r="J170" s="198"/>
      <c r="K170" s="198"/>
      <c r="L170" s="229"/>
    </row>
    <row r="171" spans="1:12" ht="27.95" customHeight="1" thickBot="1">
      <c r="A171" s="25"/>
      <c r="B171" s="761"/>
      <c r="C171" s="761"/>
      <c r="D171" s="761"/>
      <c r="E171" s="761"/>
      <c r="F171" s="761"/>
      <c r="G171" s="761"/>
      <c r="H171" s="761"/>
      <c r="I171" s="761"/>
      <c r="J171" s="761"/>
      <c r="K171" s="761"/>
      <c r="L171" s="762"/>
    </row>
    <row r="172" spans="1:12" ht="27.95" customHeight="1">
      <c r="A172" s="50"/>
      <c r="B172" s="51"/>
      <c r="C172" s="51"/>
      <c r="D172" s="51"/>
      <c r="E172" s="51"/>
      <c r="F172" s="51"/>
      <c r="G172" s="51"/>
      <c r="H172" s="51"/>
      <c r="I172" s="55" t="s">
        <v>236</v>
      </c>
      <c r="J172" s="51"/>
      <c r="K172" s="51"/>
      <c r="L172" s="52"/>
    </row>
    <row r="173" spans="1:12" ht="27.95" customHeight="1">
      <c r="A173" s="13"/>
      <c r="B173" s="940" t="s">
        <v>291</v>
      </c>
      <c r="C173" s="940"/>
      <c r="D173" s="940"/>
      <c r="E173" s="940"/>
      <c r="F173" s="940"/>
      <c r="G173" s="940"/>
      <c r="H173" s="940"/>
      <c r="I173" s="940"/>
      <c r="J173" s="940"/>
      <c r="K173" s="940"/>
      <c r="L173" s="941"/>
    </row>
    <row r="174" spans="1:12" ht="27.95" customHeight="1">
      <c r="A174" s="13"/>
      <c r="B174" s="198"/>
      <c r="C174" s="198"/>
      <c r="D174" s="206" t="s">
        <v>238</v>
      </c>
      <c r="E174" s="198"/>
      <c r="F174" s="198"/>
      <c r="G174" s="198"/>
      <c r="H174" s="198"/>
      <c r="I174" s="200" t="s">
        <v>292</v>
      </c>
      <c r="J174" s="201"/>
      <c r="K174" s="282" t="e">
        <f>'BOM 04 22Master'!#REF!</f>
        <v>#REF!</v>
      </c>
      <c r="L174" s="231"/>
    </row>
    <row r="175" spans="1:12" ht="27.95" customHeight="1">
      <c r="A175" s="13"/>
      <c r="B175" s="1"/>
      <c r="C175" s="1" t="s">
        <v>239</v>
      </c>
      <c r="E175" s="1"/>
      <c r="F175" s="1"/>
      <c r="G175" s="1"/>
      <c r="H175" s="1"/>
      <c r="I175" s="199" t="s">
        <v>293</v>
      </c>
      <c r="J175" s="284" t="str">
        <f>'BOM 04 22Master'!F5</f>
        <v>Burgeon IT Services Pvt.Ltd.</v>
      </c>
      <c r="K175" s="202"/>
      <c r="L175" s="232"/>
    </row>
    <row r="176" spans="1:12" ht="27.95" customHeight="1">
      <c r="A176" s="13"/>
      <c r="B176" s="207"/>
      <c r="C176" s="176" t="s">
        <v>240</v>
      </c>
      <c r="E176" s="207"/>
      <c r="F176" s="207"/>
      <c r="H176" s="177"/>
      <c r="I176" s="223" t="str">
        <f>'BOM 04 22Master'!F6</f>
        <v>Siri Mansion LIGB 436 Dr.A S Rao Nagar,Hyderabad</v>
      </c>
      <c r="J176" s="221"/>
      <c r="K176" s="222"/>
      <c r="L176" s="186"/>
    </row>
    <row r="177" spans="1:12" ht="15.75" customHeight="1">
      <c r="A177" s="13"/>
      <c r="L177" s="14"/>
    </row>
    <row r="178" spans="1:12" ht="27" customHeight="1">
      <c r="A178" s="13">
        <v>1</v>
      </c>
      <c r="B178" s="203" t="s">
        <v>241</v>
      </c>
      <c r="C178" s="44"/>
      <c r="D178" s="44"/>
      <c r="E178" s="44"/>
      <c r="F178" s="44"/>
      <c r="G178" s="45"/>
      <c r="H178" s="913" t="e">
        <f>'BOM 04 22Master'!#REF!</f>
        <v>#REF!</v>
      </c>
      <c r="I178" s="922"/>
      <c r="J178" s="922"/>
      <c r="K178" s="922"/>
      <c r="L178" s="923"/>
    </row>
    <row r="179" spans="1:12" ht="17.25" customHeight="1">
      <c r="A179" s="13">
        <v>2</v>
      </c>
      <c r="B179" s="942" t="s">
        <v>242</v>
      </c>
      <c r="C179" s="943"/>
      <c r="D179" s="943"/>
      <c r="E179" s="943"/>
      <c r="F179" s="204" t="s">
        <v>243</v>
      </c>
      <c r="G179" s="188"/>
      <c r="H179" s="944" t="e">
        <f>'BOM 04 22Master'!#REF!</f>
        <v>#REF!</v>
      </c>
      <c r="I179" s="945"/>
      <c r="J179" s="945"/>
      <c r="K179" s="945"/>
      <c r="L179" s="946"/>
    </row>
    <row r="180" spans="1:12" ht="11.25" customHeight="1">
      <c r="A180" s="13"/>
      <c r="B180" s="189" t="s">
        <v>244</v>
      </c>
      <c r="C180" s="190"/>
      <c r="D180" s="190"/>
      <c r="E180" s="190"/>
      <c r="F180" s="190" t="s">
        <v>237</v>
      </c>
      <c r="G180" s="191"/>
      <c r="H180" s="947"/>
      <c r="I180" s="948"/>
      <c r="J180" s="948"/>
      <c r="K180" s="948"/>
      <c r="L180" s="949"/>
    </row>
    <row r="181" spans="1:12">
      <c r="A181" s="13">
        <v>3</v>
      </c>
      <c r="B181" s="205" t="s">
        <v>245</v>
      </c>
      <c r="C181" s="195"/>
      <c r="D181" s="195"/>
      <c r="E181" s="195"/>
      <c r="F181" s="195"/>
      <c r="G181" s="196"/>
      <c r="H181" s="929" t="e">
        <f>'BOM 04 22Master'!#REF!</f>
        <v>#REF!</v>
      </c>
      <c r="I181" s="930"/>
      <c r="J181" s="930"/>
      <c r="K181" s="930"/>
      <c r="L181" s="931"/>
    </row>
    <row r="182" spans="1:12">
      <c r="A182" s="13">
        <v>4</v>
      </c>
      <c r="B182" s="181" t="s">
        <v>246</v>
      </c>
      <c r="C182" s="44"/>
      <c r="D182" s="44"/>
      <c r="E182" s="44"/>
      <c r="F182" s="44"/>
      <c r="G182" s="45"/>
      <c r="H182" s="911" t="e">
        <f>'BOM 04 22Master'!#REF!</f>
        <v>#REF!</v>
      </c>
      <c r="I182" s="918"/>
      <c r="J182" s="918"/>
      <c r="K182" s="918"/>
      <c r="L182" s="912"/>
    </row>
    <row r="183" spans="1:12">
      <c r="A183" s="13">
        <v>5</v>
      </c>
      <c r="B183" s="932" t="s">
        <v>294</v>
      </c>
      <c r="C183" s="933"/>
      <c r="D183" s="933"/>
      <c r="E183" s="933"/>
      <c r="F183" s="933"/>
      <c r="G183" s="45"/>
      <c r="H183" s="921" t="s">
        <v>373</v>
      </c>
      <c r="I183" s="922"/>
      <c r="J183" s="922"/>
      <c r="K183" s="922"/>
      <c r="L183" s="923"/>
    </row>
    <row r="184" spans="1:12">
      <c r="A184" s="13">
        <v>6</v>
      </c>
      <c r="B184" s="194" t="s">
        <v>247</v>
      </c>
      <c r="C184" s="195" t="s">
        <v>248</v>
      </c>
      <c r="D184" s="195"/>
      <c r="E184" s="195"/>
      <c r="F184" s="195"/>
      <c r="G184" s="196"/>
      <c r="H184" s="205"/>
      <c r="I184" s="195"/>
      <c r="J184" s="195"/>
      <c r="K184" s="195"/>
      <c r="L184" s="233"/>
    </row>
    <row r="185" spans="1:12">
      <c r="A185" s="13"/>
      <c r="B185" s="194" t="s">
        <v>249</v>
      </c>
      <c r="C185" s="195" t="s">
        <v>250</v>
      </c>
      <c r="D185" s="195"/>
      <c r="E185" s="195"/>
      <c r="F185" s="195"/>
      <c r="G185" s="196"/>
      <c r="H185" s="205"/>
      <c r="I185" s="187"/>
      <c r="J185" s="187"/>
      <c r="K185" s="195"/>
      <c r="L185" s="233"/>
    </row>
    <row r="186" spans="1:12">
      <c r="A186" s="13">
        <v>7</v>
      </c>
      <c r="B186" s="929" t="s">
        <v>251</v>
      </c>
      <c r="C186" s="930"/>
      <c r="D186" s="930"/>
      <c r="E186" s="930"/>
      <c r="F186" s="930"/>
      <c r="G186" s="934"/>
      <c r="H186" s="209" t="s">
        <v>252</v>
      </c>
      <c r="I186" s="210"/>
      <c r="J186" s="211"/>
      <c r="K186" s="209" t="s">
        <v>253</v>
      </c>
      <c r="L186" s="234"/>
    </row>
    <row r="187" spans="1:12">
      <c r="A187" s="13">
        <v>8</v>
      </c>
      <c r="B187" s="929" t="s">
        <v>295</v>
      </c>
      <c r="C187" s="930"/>
      <c r="D187" s="930"/>
      <c r="E187" s="930"/>
      <c r="F187" s="930"/>
      <c r="G187" s="934"/>
      <c r="H187" s="209" t="s">
        <v>252</v>
      </c>
      <c r="I187" s="210"/>
      <c r="J187" s="211"/>
      <c r="K187" s="209" t="s">
        <v>253</v>
      </c>
      <c r="L187" s="234"/>
    </row>
    <row r="188" spans="1:12">
      <c r="A188" s="13"/>
      <c r="B188" s="181"/>
      <c r="C188" s="213"/>
      <c r="D188" s="213"/>
      <c r="E188" s="213"/>
      <c r="F188" s="213" t="s">
        <v>254</v>
      </c>
      <c r="G188" s="213"/>
      <c r="H188" s="213"/>
      <c r="I188" s="213"/>
      <c r="J188" s="213"/>
      <c r="K188" s="213"/>
      <c r="L188" s="235"/>
    </row>
    <row r="189" spans="1:12">
      <c r="A189" s="13">
        <v>9</v>
      </c>
      <c r="B189" s="194" t="s">
        <v>255</v>
      </c>
      <c r="C189" s="195" t="s">
        <v>256</v>
      </c>
      <c r="D189" s="195"/>
      <c r="E189" s="195"/>
      <c r="F189" s="195"/>
      <c r="G189" s="196"/>
      <c r="H189" s="205"/>
      <c r="I189" s="195"/>
      <c r="J189" s="195"/>
      <c r="K189" s="195"/>
      <c r="L189" s="233"/>
    </row>
    <row r="190" spans="1:12">
      <c r="A190" s="61"/>
      <c r="B190" s="194" t="s">
        <v>257</v>
      </c>
      <c r="C190" s="195" t="s">
        <v>258</v>
      </c>
      <c r="D190" s="195"/>
      <c r="E190" s="195"/>
      <c r="F190" s="195"/>
      <c r="G190" s="196"/>
      <c r="H190" s="205"/>
      <c r="I190" s="195"/>
      <c r="J190" s="195"/>
      <c r="K190" s="195"/>
      <c r="L190" s="233"/>
    </row>
    <row r="191" spans="1:12">
      <c r="A191" s="61"/>
      <c r="B191" s="194" t="s">
        <v>296</v>
      </c>
      <c r="C191" s="195" t="s">
        <v>297</v>
      </c>
      <c r="D191" s="195"/>
      <c r="E191" s="195"/>
      <c r="F191" s="195"/>
      <c r="G191" s="196"/>
      <c r="H191" s="205"/>
      <c r="I191" s="195"/>
      <c r="J191" s="195"/>
      <c r="K191" s="195"/>
      <c r="L191" s="233"/>
    </row>
    <row r="192" spans="1:12">
      <c r="A192" s="61"/>
      <c r="B192" s="194" t="s">
        <v>260</v>
      </c>
      <c r="C192" s="195" t="s">
        <v>261</v>
      </c>
      <c r="D192" s="195"/>
      <c r="E192" s="195"/>
      <c r="F192" s="195"/>
      <c r="G192" s="196"/>
      <c r="H192" s="205"/>
      <c r="I192" s="195"/>
      <c r="J192" s="195"/>
      <c r="K192" s="195"/>
      <c r="L192" s="233"/>
    </row>
    <row r="193" spans="1:12">
      <c r="A193" s="61"/>
      <c r="B193" s="194" t="s">
        <v>262</v>
      </c>
      <c r="C193" s="195" t="s">
        <v>263</v>
      </c>
      <c r="D193" s="195"/>
      <c r="E193" s="195"/>
      <c r="F193" s="195"/>
      <c r="G193" s="196"/>
      <c r="H193" s="205"/>
      <c r="I193" s="195"/>
      <c r="J193" s="195"/>
      <c r="K193" s="195"/>
      <c r="L193" s="233"/>
    </row>
    <row r="194" spans="1:12">
      <c r="A194" s="61">
        <v>10</v>
      </c>
      <c r="B194" s="194" t="s">
        <v>255</v>
      </c>
      <c r="C194" s="195" t="s">
        <v>298</v>
      </c>
      <c r="D194" s="195"/>
      <c r="E194" s="195"/>
      <c r="F194" s="195"/>
      <c r="G194" s="196"/>
      <c r="H194" s="209" t="s">
        <v>252</v>
      </c>
      <c r="I194" s="210"/>
      <c r="J194" s="211"/>
      <c r="K194" s="209" t="s">
        <v>253</v>
      </c>
      <c r="L194" s="234"/>
    </row>
    <row r="195" spans="1:12">
      <c r="A195" s="61"/>
      <c r="B195" s="194" t="s">
        <v>257</v>
      </c>
      <c r="C195" s="195" t="s">
        <v>299</v>
      </c>
      <c r="D195" s="195"/>
      <c r="E195" s="195"/>
      <c r="F195" s="195"/>
      <c r="G195" s="196"/>
      <c r="H195" s="205"/>
      <c r="I195" s="195"/>
      <c r="J195" s="195"/>
      <c r="K195" s="195"/>
      <c r="L195" s="233"/>
    </row>
    <row r="196" spans="1:12">
      <c r="A196" s="61"/>
      <c r="B196" s="194" t="s">
        <v>296</v>
      </c>
      <c r="C196" s="195" t="s">
        <v>264</v>
      </c>
      <c r="D196" s="195"/>
      <c r="E196" s="195"/>
      <c r="F196" s="195"/>
      <c r="G196" s="196"/>
      <c r="H196" s="205"/>
      <c r="I196" s="195"/>
      <c r="J196" s="195"/>
      <c r="K196" s="195"/>
      <c r="L196" s="233"/>
    </row>
    <row r="197" spans="1:12">
      <c r="A197" s="61"/>
      <c r="B197" s="194" t="s">
        <v>260</v>
      </c>
      <c r="C197" s="195" t="s">
        <v>300</v>
      </c>
      <c r="D197" s="195"/>
      <c r="E197" s="195"/>
      <c r="F197" s="195"/>
      <c r="G197" s="196"/>
      <c r="H197" s="205"/>
      <c r="I197" s="195"/>
      <c r="J197" s="195"/>
      <c r="K197" s="195"/>
      <c r="L197" s="233"/>
    </row>
    <row r="198" spans="1:12">
      <c r="A198" s="13"/>
      <c r="B198" s="181"/>
      <c r="C198" s="213"/>
      <c r="D198" s="213"/>
      <c r="E198" s="213" t="s">
        <v>301</v>
      </c>
      <c r="F198" s="213"/>
      <c r="G198" s="213"/>
      <c r="H198" s="213"/>
      <c r="I198" s="213"/>
      <c r="J198" s="213"/>
      <c r="K198" s="213"/>
      <c r="L198" s="235"/>
    </row>
    <row r="199" spans="1:12">
      <c r="A199" s="13">
        <v>11</v>
      </c>
      <c r="B199" s="194" t="s">
        <v>255</v>
      </c>
      <c r="C199" s="195" t="s">
        <v>265</v>
      </c>
      <c r="D199" s="195"/>
      <c r="E199" s="195"/>
      <c r="F199" s="195"/>
      <c r="G199" s="196"/>
      <c r="H199" s="205"/>
      <c r="I199" s="195"/>
      <c r="J199" s="195"/>
      <c r="K199" s="195"/>
      <c r="L199" s="233"/>
    </row>
    <row r="200" spans="1:12">
      <c r="A200" s="13"/>
      <c r="B200" s="194" t="s">
        <v>257</v>
      </c>
      <c r="C200" s="195" t="s">
        <v>266</v>
      </c>
      <c r="D200" s="195"/>
      <c r="E200" s="195"/>
      <c r="F200" s="195"/>
      <c r="G200" s="196"/>
      <c r="H200" s="205"/>
      <c r="I200" s="195"/>
      <c r="J200" s="195"/>
      <c r="K200" s="195"/>
      <c r="L200" s="233"/>
    </row>
    <row r="201" spans="1:12">
      <c r="A201" s="13"/>
      <c r="B201" s="194" t="s">
        <v>259</v>
      </c>
      <c r="C201" s="195" t="s">
        <v>267</v>
      </c>
      <c r="D201" s="195"/>
      <c r="E201" s="195"/>
      <c r="F201" s="195"/>
      <c r="G201" s="196"/>
      <c r="H201" s="205"/>
      <c r="I201" s="195"/>
      <c r="J201" s="195"/>
      <c r="K201" s="195"/>
      <c r="L201" s="233"/>
    </row>
    <row r="202" spans="1:12">
      <c r="A202" s="13"/>
      <c r="B202" s="169"/>
      <c r="C202" s="165"/>
      <c r="D202" s="165"/>
      <c r="E202" s="165"/>
      <c r="F202" s="214" t="s">
        <v>268</v>
      </c>
      <c r="G202" s="165"/>
      <c r="H202" s="154"/>
      <c r="I202" s="154"/>
      <c r="J202" s="154"/>
      <c r="K202" s="154"/>
      <c r="L202" s="172"/>
    </row>
    <row r="203" spans="1:12">
      <c r="A203" s="13"/>
      <c r="B203" s="226" t="s">
        <v>269</v>
      </c>
      <c r="C203" s="225" t="s">
        <v>270</v>
      </c>
      <c r="D203" s="165"/>
      <c r="E203" s="165"/>
      <c r="F203" s="165"/>
      <c r="G203" s="165"/>
      <c r="H203" s="154"/>
      <c r="I203" s="154"/>
      <c r="J203" s="155"/>
      <c r="K203" s="154"/>
      <c r="L203" s="172"/>
    </row>
    <row r="204" spans="1:12">
      <c r="A204" s="13"/>
      <c r="B204" s="226" t="s">
        <v>271</v>
      </c>
      <c r="C204" s="224" t="s">
        <v>272</v>
      </c>
      <c r="D204" s="154"/>
      <c r="E204" s="155"/>
      <c r="G204" s="935"/>
      <c r="H204" s="935"/>
      <c r="I204" s="170"/>
      <c r="J204" s="171"/>
      <c r="K204" s="935"/>
      <c r="L204" s="936"/>
    </row>
    <row r="205" spans="1:12">
      <c r="A205" s="13"/>
      <c r="B205" s="227" t="s">
        <v>273</v>
      </c>
      <c r="C205" s="937" t="s">
        <v>302</v>
      </c>
      <c r="D205" s="937"/>
      <c r="E205" s="937"/>
      <c r="F205" s="937"/>
      <c r="G205" s="937"/>
      <c r="H205" s="937"/>
      <c r="I205" s="937"/>
      <c r="J205" s="937"/>
      <c r="K205" s="937"/>
      <c r="L205" s="938"/>
    </row>
    <row r="206" spans="1:12">
      <c r="A206" s="13"/>
      <c r="B206" s="226" t="s">
        <v>274</v>
      </c>
      <c r="C206" s="225" t="s">
        <v>275</v>
      </c>
      <c r="D206" s="217"/>
      <c r="E206" s="217"/>
      <c r="F206" s="217"/>
      <c r="G206" s="217"/>
      <c r="H206" s="217"/>
      <c r="I206" s="217"/>
      <c r="J206" s="217"/>
      <c r="K206" s="217"/>
      <c r="L206" s="236"/>
    </row>
    <row r="207" spans="1:12">
      <c r="A207" s="13"/>
      <c r="B207" s="169"/>
      <c r="C207" t="s">
        <v>303</v>
      </c>
      <c r="D207" s="283" t="e">
        <f>'BOM 04 22Master'!#REF!</f>
        <v>#REF!</v>
      </c>
      <c r="E207" s="2"/>
      <c r="F207" s="2"/>
      <c r="G207" s="2"/>
      <c r="L207" s="14"/>
    </row>
    <row r="208" spans="1:12">
      <c r="A208" s="13"/>
      <c r="C208" t="s">
        <v>276</v>
      </c>
      <c r="D208" t="s">
        <v>365</v>
      </c>
      <c r="J208" t="s">
        <v>304</v>
      </c>
      <c r="L208" s="14"/>
    </row>
    <row r="209" spans="1:12">
      <c r="A209" s="13"/>
      <c r="L209" s="14"/>
    </row>
    <row r="210" spans="1:12">
      <c r="A210" s="13"/>
      <c r="F210" s="215" t="s">
        <v>277</v>
      </c>
      <c r="L210" s="14"/>
    </row>
    <row r="211" spans="1:12">
      <c r="A211" s="13" t="s">
        <v>305</v>
      </c>
      <c r="B211" t="s">
        <v>278</v>
      </c>
      <c r="E211" s="218" t="e">
        <f>'BOM 04 22Master'!#REF!</f>
        <v>#REF!</v>
      </c>
      <c r="H211" s="939" t="s">
        <v>279</v>
      </c>
      <c r="I211" s="939"/>
      <c r="J211" s="219" t="e">
        <f>'BOM 04 22Master'!#REF!</f>
        <v>#REF!</v>
      </c>
      <c r="K211" t="s">
        <v>280</v>
      </c>
      <c r="L211" s="14"/>
    </row>
    <row r="212" spans="1:12">
      <c r="A212" s="13"/>
      <c r="B212" s="950" t="e">
        <f>'BOM 04 22Master'!#REF!</f>
        <v>#REF!</v>
      </c>
      <c r="C212" s="951"/>
      <c r="D212" s="216"/>
      <c r="E212" s="216"/>
      <c r="F212" s="216"/>
      <c r="G212" s="216"/>
      <c r="H212" s="216"/>
      <c r="I212" s="216"/>
      <c r="J212" s="216"/>
      <c r="K212" s="216"/>
      <c r="L212" s="237"/>
    </row>
    <row r="213" spans="1:12">
      <c r="A213" s="13" t="s">
        <v>307</v>
      </c>
      <c r="B213" s="216" t="s">
        <v>281</v>
      </c>
      <c r="C213" s="216"/>
      <c r="D213" s="216"/>
      <c r="E213" s="216"/>
      <c r="F213" s="216"/>
      <c r="G213" s="216"/>
      <c r="H213" s="216"/>
      <c r="I213" s="216"/>
      <c r="J213" s="216"/>
      <c r="K213" s="216"/>
      <c r="L213" s="237"/>
    </row>
    <row r="214" spans="1:12">
      <c r="A214" s="13"/>
      <c r="B214" s="216" t="s">
        <v>306</v>
      </c>
      <c r="C214" s="216"/>
      <c r="D214" s="216"/>
      <c r="E214" s="216"/>
      <c r="F214" s="216"/>
      <c r="G214" s="216"/>
      <c r="H214" s="216"/>
      <c r="I214" s="216"/>
      <c r="J214" s="216"/>
      <c r="K214" s="216"/>
      <c r="L214" s="237"/>
    </row>
    <row r="215" spans="1:12" ht="27.95" customHeight="1">
      <c r="A215" s="13"/>
      <c r="B215" t="s">
        <v>282</v>
      </c>
      <c r="L215" s="14"/>
    </row>
    <row r="216" spans="1:12" ht="27.95" customHeight="1">
      <c r="A216" s="13"/>
      <c r="B216" s="2" t="s">
        <v>283</v>
      </c>
      <c r="F216" s="168"/>
      <c r="L216" s="14"/>
    </row>
    <row r="217" spans="1:12" ht="27.95" customHeight="1">
      <c r="A217" s="13"/>
      <c r="B217" s="2" t="s">
        <v>284</v>
      </c>
      <c r="L217" s="14"/>
    </row>
    <row r="218" spans="1:12" ht="27.95" customHeight="1">
      <c r="A218" s="13"/>
      <c r="B218" t="s">
        <v>285</v>
      </c>
      <c r="L218" s="14"/>
    </row>
    <row r="219" spans="1:12" ht="27.95" customHeight="1">
      <c r="A219" s="13"/>
      <c r="B219" t="s">
        <v>286</v>
      </c>
      <c r="L219" s="14"/>
    </row>
    <row r="220" spans="1:12" ht="27.95" customHeight="1">
      <c r="A220" s="13" t="s">
        <v>296</v>
      </c>
      <c r="B220" t="s">
        <v>287</v>
      </c>
      <c r="L220" s="14"/>
    </row>
    <row r="221" spans="1:12" ht="27.95" customHeight="1">
      <c r="A221" s="13"/>
      <c r="B221" s="228" t="s">
        <v>308</v>
      </c>
      <c r="L221" s="14"/>
    </row>
    <row r="222" spans="1:12" ht="27.95" customHeight="1">
      <c r="A222" s="13"/>
      <c r="B222" t="s">
        <v>282</v>
      </c>
      <c r="L222" s="14"/>
    </row>
    <row r="223" spans="1:12" ht="27.95" customHeight="1">
      <c r="A223" s="13"/>
      <c r="B223" t="s">
        <v>288</v>
      </c>
      <c r="L223" s="14"/>
    </row>
    <row r="224" spans="1:12" ht="27.95" customHeight="1">
      <c r="A224" s="13"/>
      <c r="B224" t="s">
        <v>289</v>
      </c>
      <c r="L224" s="14"/>
    </row>
    <row r="225" spans="1:12" ht="27.95" customHeight="1">
      <c r="A225" s="13"/>
      <c r="B225" s="952" t="s">
        <v>290</v>
      </c>
      <c r="C225" s="952"/>
      <c r="D225" s="952"/>
      <c r="E225" s="952"/>
      <c r="F225" s="952"/>
      <c r="G225" s="952"/>
      <c r="H225" s="952"/>
      <c r="I225" s="952"/>
      <c r="J225" s="952"/>
      <c r="K225" s="952"/>
      <c r="L225" s="953"/>
    </row>
    <row r="226" spans="1:12" ht="27.95" customHeight="1">
      <c r="A226" s="13"/>
      <c r="B226" t="s">
        <v>202</v>
      </c>
      <c r="C226" s="278" t="e">
        <f>D207</f>
        <v>#REF!</v>
      </c>
      <c r="D226" s="198"/>
      <c r="E226" s="198"/>
      <c r="F226" s="198"/>
      <c r="G226" s="198"/>
      <c r="H226" s="198"/>
      <c r="I226" t="s">
        <v>309</v>
      </c>
      <c r="J226" s="198"/>
      <c r="K226" s="198"/>
      <c r="L226" s="229"/>
    </row>
    <row r="227" spans="1:12" ht="27.95" customHeight="1" thickBot="1">
      <c r="A227" s="25"/>
      <c r="B227" s="761"/>
      <c r="C227" s="761"/>
      <c r="D227" s="761"/>
      <c r="E227" s="761"/>
      <c r="F227" s="761"/>
      <c r="G227" s="761"/>
      <c r="H227" s="761"/>
      <c r="I227" s="761"/>
      <c r="J227" s="761"/>
      <c r="K227" s="761"/>
      <c r="L227" s="762"/>
    </row>
    <row r="228" spans="1:12" ht="27.95" customHeight="1">
      <c r="A228" s="50"/>
      <c r="B228" s="51"/>
      <c r="C228" s="51"/>
      <c r="D228" s="51"/>
      <c r="E228" s="51"/>
      <c r="F228" s="51"/>
      <c r="G228" s="51"/>
      <c r="H228" s="51"/>
      <c r="I228" s="55" t="s">
        <v>236</v>
      </c>
      <c r="J228" s="51"/>
      <c r="K228" s="51"/>
      <c r="L228" s="52"/>
    </row>
    <row r="229" spans="1:12" ht="27.95" customHeight="1">
      <c r="A229" s="13"/>
      <c r="B229" s="940" t="s">
        <v>291</v>
      </c>
      <c r="C229" s="940"/>
      <c r="D229" s="940"/>
      <c r="E229" s="940"/>
      <c r="F229" s="940"/>
      <c r="G229" s="940"/>
      <c r="H229" s="940"/>
      <c r="I229" s="940"/>
      <c r="J229" s="940"/>
      <c r="K229" s="940"/>
      <c r="L229" s="941"/>
    </row>
    <row r="230" spans="1:12" ht="27.95" customHeight="1">
      <c r="A230" s="13"/>
      <c r="B230" s="198"/>
      <c r="C230" s="198"/>
      <c r="D230" s="206" t="s">
        <v>238</v>
      </c>
      <c r="E230" s="198"/>
      <c r="F230" s="198"/>
      <c r="G230" s="198"/>
      <c r="H230" s="198"/>
      <c r="I230" s="200" t="s">
        <v>292</v>
      </c>
      <c r="J230" s="201"/>
      <c r="K230" s="282" t="e">
        <f>'BOM 04 22Master'!#REF!</f>
        <v>#REF!</v>
      </c>
      <c r="L230" s="231"/>
    </row>
    <row r="231" spans="1:12" ht="27.95" customHeight="1">
      <c r="A231" s="13"/>
      <c r="B231" s="1"/>
      <c r="C231" s="1" t="s">
        <v>239</v>
      </c>
      <c r="E231" s="1"/>
      <c r="F231" s="1"/>
      <c r="G231" s="1"/>
      <c r="H231" s="1"/>
      <c r="I231" s="199" t="s">
        <v>293</v>
      </c>
      <c r="J231" s="220" t="str">
        <f>'BOM 04 22Master'!F5</f>
        <v>Burgeon IT Services Pvt.Ltd.</v>
      </c>
      <c r="K231" s="202"/>
      <c r="L231" s="232"/>
    </row>
    <row r="232" spans="1:12" ht="27.95" customHeight="1">
      <c r="A232" s="13"/>
      <c r="B232" s="207"/>
      <c r="C232" s="176" t="s">
        <v>240</v>
      </c>
      <c r="E232" s="207"/>
      <c r="F232" s="207"/>
      <c r="H232" s="177"/>
      <c r="I232" s="223" t="str">
        <f>'BOM 04 22Master'!F6</f>
        <v>Siri Mansion LIGB 436 Dr.A S Rao Nagar,Hyderabad</v>
      </c>
      <c r="J232" s="221"/>
      <c r="K232" s="222"/>
      <c r="L232" s="186"/>
    </row>
    <row r="233" spans="1:12">
      <c r="A233" s="13"/>
      <c r="L233" s="14"/>
    </row>
    <row r="234" spans="1:12" ht="19.5" customHeight="1">
      <c r="A234" s="13">
        <v>1</v>
      </c>
      <c r="B234" s="203" t="s">
        <v>241</v>
      </c>
      <c r="C234" s="44"/>
      <c r="D234" s="44"/>
      <c r="E234" s="44"/>
      <c r="F234" s="44"/>
      <c r="G234" s="45"/>
      <c r="H234" s="913" t="e">
        <f>'BOM 04 22Master'!#REF!</f>
        <v>#REF!</v>
      </c>
      <c r="I234" s="922"/>
      <c r="J234" s="922"/>
      <c r="K234" s="922"/>
      <c r="L234" s="923"/>
    </row>
    <row r="235" spans="1:12">
      <c r="A235" s="13">
        <v>2</v>
      </c>
      <c r="B235" s="942" t="s">
        <v>242</v>
      </c>
      <c r="C235" s="943"/>
      <c r="D235" s="943"/>
      <c r="E235" s="943"/>
      <c r="F235" s="204" t="s">
        <v>243</v>
      </c>
      <c r="G235" s="188"/>
      <c r="H235" s="944" t="e">
        <f>'BOM 04 22Master'!#REF!</f>
        <v>#REF!</v>
      </c>
      <c r="I235" s="945"/>
      <c r="J235" s="945"/>
      <c r="K235" s="945"/>
      <c r="L235" s="946"/>
    </row>
    <row r="236" spans="1:12" ht="12" customHeight="1">
      <c r="A236" s="13"/>
      <c r="B236" s="189" t="s">
        <v>244</v>
      </c>
      <c r="C236" s="190"/>
      <c r="D236" s="190"/>
      <c r="E236" s="190"/>
      <c r="F236" s="190" t="s">
        <v>237</v>
      </c>
      <c r="G236" s="191"/>
      <c r="H236" s="947"/>
      <c r="I236" s="948"/>
      <c r="J236" s="948"/>
      <c r="K236" s="948"/>
      <c r="L236" s="949"/>
    </row>
    <row r="237" spans="1:12">
      <c r="A237" s="13">
        <v>3</v>
      </c>
      <c r="B237" s="205" t="s">
        <v>245</v>
      </c>
      <c r="C237" s="195"/>
      <c r="D237" s="195"/>
      <c r="E237" s="195"/>
      <c r="F237" s="195"/>
      <c r="G237" s="196"/>
      <c r="H237" s="929" t="e">
        <f>'BOM 04 22Master'!#REF!</f>
        <v>#REF!</v>
      </c>
      <c r="I237" s="930"/>
      <c r="J237" s="930"/>
      <c r="K237" s="930"/>
      <c r="L237" s="931"/>
    </row>
    <row r="238" spans="1:12">
      <c r="A238" s="13">
        <v>4</v>
      </c>
      <c r="B238" s="181" t="s">
        <v>246</v>
      </c>
      <c r="C238" s="44"/>
      <c r="D238" s="44"/>
      <c r="E238" s="44"/>
      <c r="F238" s="44"/>
      <c r="G238" s="45"/>
      <c r="H238" s="911" t="e">
        <f>'BOM 04 22Master'!#REF!</f>
        <v>#REF!</v>
      </c>
      <c r="I238" s="918"/>
      <c r="J238" s="918"/>
      <c r="K238" s="918"/>
      <c r="L238" s="912"/>
    </row>
    <row r="239" spans="1:12">
      <c r="A239" s="13">
        <v>5</v>
      </c>
      <c r="B239" s="932" t="s">
        <v>294</v>
      </c>
      <c r="C239" s="933"/>
      <c r="D239" s="933"/>
      <c r="E239" s="933"/>
      <c r="F239" s="933"/>
      <c r="G239" s="45"/>
      <c r="H239" s="921" t="s">
        <v>373</v>
      </c>
      <c r="I239" s="922"/>
      <c r="J239" s="922"/>
      <c r="K239" s="922"/>
      <c r="L239" s="923"/>
    </row>
    <row r="240" spans="1:12">
      <c r="A240" s="13">
        <v>6</v>
      </c>
      <c r="B240" s="194" t="s">
        <v>247</v>
      </c>
      <c r="C240" s="195" t="s">
        <v>248</v>
      </c>
      <c r="D240" s="195"/>
      <c r="E240" s="195"/>
      <c r="F240" s="195"/>
      <c r="G240" s="196"/>
      <c r="H240" s="205"/>
      <c r="I240" s="195"/>
      <c r="J240" s="195"/>
      <c r="K240" s="195"/>
      <c r="L240" s="233"/>
    </row>
    <row r="241" spans="1:12">
      <c r="A241" s="13"/>
      <c r="B241" s="194" t="s">
        <v>249</v>
      </c>
      <c r="C241" s="195" t="s">
        <v>250</v>
      </c>
      <c r="D241" s="195"/>
      <c r="E241" s="195"/>
      <c r="F241" s="195"/>
      <c r="G241" s="196"/>
      <c r="H241" s="205"/>
      <c r="I241" s="187"/>
      <c r="J241" s="187"/>
      <c r="K241" s="195"/>
      <c r="L241" s="233"/>
    </row>
    <row r="242" spans="1:12">
      <c r="A242" s="13">
        <v>7</v>
      </c>
      <c r="B242" s="929" t="s">
        <v>251</v>
      </c>
      <c r="C242" s="930"/>
      <c r="D242" s="930"/>
      <c r="E242" s="930"/>
      <c r="F242" s="930"/>
      <c r="G242" s="934"/>
      <c r="H242" s="209" t="s">
        <v>252</v>
      </c>
      <c r="I242" s="210"/>
      <c r="J242" s="211"/>
      <c r="K242" s="209" t="s">
        <v>253</v>
      </c>
      <c r="L242" s="234"/>
    </row>
    <row r="243" spans="1:12">
      <c r="A243" s="13">
        <v>8</v>
      </c>
      <c r="B243" s="929" t="s">
        <v>295</v>
      </c>
      <c r="C243" s="930"/>
      <c r="D243" s="930"/>
      <c r="E243" s="930"/>
      <c r="F243" s="930"/>
      <c r="G243" s="934"/>
      <c r="H243" s="209" t="s">
        <v>252</v>
      </c>
      <c r="I243" s="210"/>
      <c r="J243" s="211"/>
      <c r="K243" s="209" t="s">
        <v>253</v>
      </c>
      <c r="L243" s="234"/>
    </row>
    <row r="244" spans="1:12">
      <c r="A244" s="13"/>
      <c r="B244" s="181"/>
      <c r="C244" s="213"/>
      <c r="D244" s="213"/>
      <c r="E244" s="213"/>
      <c r="F244" s="213" t="s">
        <v>254</v>
      </c>
      <c r="G244" s="213"/>
      <c r="H244" s="213"/>
      <c r="I244" s="213"/>
      <c r="J244" s="213"/>
      <c r="K244" s="213"/>
      <c r="L244" s="235"/>
    </row>
    <row r="245" spans="1:12">
      <c r="A245" s="13">
        <v>9</v>
      </c>
      <c r="B245" s="194" t="s">
        <v>255</v>
      </c>
      <c r="C245" s="195" t="s">
        <v>256</v>
      </c>
      <c r="D245" s="195"/>
      <c r="E245" s="195"/>
      <c r="F245" s="195"/>
      <c r="G245" s="196"/>
      <c r="H245" s="205"/>
      <c r="I245" s="195"/>
      <c r="J245" s="195"/>
      <c r="K245" s="195"/>
      <c r="L245" s="233"/>
    </row>
    <row r="246" spans="1:12">
      <c r="A246" s="61"/>
      <c r="B246" s="194" t="s">
        <v>257</v>
      </c>
      <c r="C246" s="195" t="s">
        <v>258</v>
      </c>
      <c r="D246" s="195"/>
      <c r="E246" s="195"/>
      <c r="F246" s="195"/>
      <c r="G246" s="196"/>
      <c r="H246" s="205"/>
      <c r="I246" s="195"/>
      <c r="J246" s="195"/>
      <c r="K246" s="195"/>
      <c r="L246" s="233"/>
    </row>
    <row r="247" spans="1:12">
      <c r="A247" s="61"/>
      <c r="B247" s="194" t="s">
        <v>296</v>
      </c>
      <c r="C247" s="195" t="s">
        <v>297</v>
      </c>
      <c r="D247" s="195"/>
      <c r="E247" s="195"/>
      <c r="F247" s="195"/>
      <c r="G247" s="196"/>
      <c r="H247" s="205"/>
      <c r="I247" s="195"/>
      <c r="J247" s="195"/>
      <c r="K247" s="195"/>
      <c r="L247" s="233"/>
    </row>
    <row r="248" spans="1:12">
      <c r="A248" s="61"/>
      <c r="B248" s="194" t="s">
        <v>260</v>
      </c>
      <c r="C248" s="195" t="s">
        <v>261</v>
      </c>
      <c r="D248" s="195"/>
      <c r="E248" s="195"/>
      <c r="F248" s="195"/>
      <c r="G248" s="196"/>
      <c r="H248" s="205"/>
      <c r="I248" s="195"/>
      <c r="J248" s="195"/>
      <c r="K248" s="195"/>
      <c r="L248" s="233"/>
    </row>
    <row r="249" spans="1:12">
      <c r="A249" s="61"/>
      <c r="B249" s="194" t="s">
        <v>262</v>
      </c>
      <c r="C249" s="195" t="s">
        <v>263</v>
      </c>
      <c r="D249" s="195"/>
      <c r="E249" s="195"/>
      <c r="F249" s="195"/>
      <c r="G249" s="196"/>
      <c r="H249" s="205"/>
      <c r="I249" s="195"/>
      <c r="J249" s="195"/>
      <c r="K249" s="195"/>
      <c r="L249" s="233"/>
    </row>
    <row r="250" spans="1:12">
      <c r="A250" s="61">
        <v>10</v>
      </c>
      <c r="B250" s="194" t="s">
        <v>255</v>
      </c>
      <c r="C250" s="195" t="s">
        <v>298</v>
      </c>
      <c r="D250" s="195"/>
      <c r="E250" s="195"/>
      <c r="F250" s="195"/>
      <c r="G250" s="196"/>
      <c r="H250" s="209" t="s">
        <v>252</v>
      </c>
      <c r="I250" s="210"/>
      <c r="J250" s="211"/>
      <c r="K250" s="209" t="s">
        <v>253</v>
      </c>
      <c r="L250" s="234"/>
    </row>
    <row r="251" spans="1:12">
      <c r="A251" s="61"/>
      <c r="B251" s="194" t="s">
        <v>257</v>
      </c>
      <c r="C251" s="195" t="s">
        <v>299</v>
      </c>
      <c r="D251" s="195"/>
      <c r="E251" s="195"/>
      <c r="F251" s="195"/>
      <c r="G251" s="196"/>
      <c r="H251" s="205"/>
      <c r="I251" s="195"/>
      <c r="J251" s="195"/>
      <c r="K251" s="195"/>
      <c r="L251" s="233"/>
    </row>
    <row r="252" spans="1:12">
      <c r="A252" s="61"/>
      <c r="B252" s="194" t="s">
        <v>296</v>
      </c>
      <c r="C252" s="195" t="s">
        <v>264</v>
      </c>
      <c r="D252" s="195"/>
      <c r="E252" s="195"/>
      <c r="F252" s="195"/>
      <c r="G252" s="196"/>
      <c r="H252" s="205"/>
      <c r="I252" s="195"/>
      <c r="J252" s="195"/>
      <c r="K252" s="195"/>
      <c r="L252" s="233"/>
    </row>
    <row r="253" spans="1:12">
      <c r="A253" s="61"/>
      <c r="B253" s="194" t="s">
        <v>260</v>
      </c>
      <c r="C253" s="195" t="s">
        <v>300</v>
      </c>
      <c r="D253" s="195"/>
      <c r="E253" s="195"/>
      <c r="F253" s="195"/>
      <c r="G253" s="196"/>
      <c r="H253" s="205"/>
      <c r="I253" s="195"/>
      <c r="J253" s="195"/>
      <c r="K253" s="195"/>
      <c r="L253" s="233"/>
    </row>
    <row r="254" spans="1:12">
      <c r="A254" s="13"/>
      <c r="B254" s="181"/>
      <c r="C254" s="213"/>
      <c r="D254" s="213"/>
      <c r="E254" s="213" t="s">
        <v>301</v>
      </c>
      <c r="F254" s="213"/>
      <c r="G254" s="213"/>
      <c r="H254" s="213"/>
      <c r="I254" s="213"/>
      <c r="J254" s="213"/>
      <c r="K254" s="213"/>
      <c r="L254" s="235"/>
    </row>
    <row r="255" spans="1:12">
      <c r="A255" s="13">
        <v>11</v>
      </c>
      <c r="B255" s="194" t="s">
        <v>255</v>
      </c>
      <c r="C255" s="195" t="s">
        <v>265</v>
      </c>
      <c r="D255" s="195"/>
      <c r="E255" s="195"/>
      <c r="F255" s="195"/>
      <c r="G255" s="196"/>
      <c r="H255" s="205"/>
      <c r="I255" s="195"/>
      <c r="J255" s="195"/>
      <c r="K255" s="195"/>
      <c r="L255" s="233"/>
    </row>
    <row r="256" spans="1:12">
      <c r="A256" s="13"/>
      <c r="B256" s="194" t="s">
        <v>257</v>
      </c>
      <c r="C256" s="195" t="s">
        <v>266</v>
      </c>
      <c r="D256" s="195"/>
      <c r="E256" s="195"/>
      <c r="F256" s="195"/>
      <c r="G256" s="196"/>
      <c r="H256" s="205"/>
      <c r="I256" s="195"/>
      <c r="J256" s="195"/>
      <c r="K256" s="195"/>
      <c r="L256" s="233"/>
    </row>
    <row r="257" spans="1:12">
      <c r="A257" s="13"/>
      <c r="B257" s="194" t="s">
        <v>259</v>
      </c>
      <c r="C257" s="195" t="s">
        <v>267</v>
      </c>
      <c r="D257" s="195"/>
      <c r="E257" s="195"/>
      <c r="F257" s="195"/>
      <c r="G257" s="196"/>
      <c r="H257" s="205"/>
      <c r="I257" s="195"/>
      <c r="J257" s="195"/>
      <c r="K257" s="195"/>
      <c r="L257" s="233"/>
    </row>
    <row r="258" spans="1:12">
      <c r="A258" s="13"/>
      <c r="B258" s="169"/>
      <c r="C258" s="165"/>
      <c r="D258" s="165"/>
      <c r="E258" s="165"/>
      <c r="F258" s="214" t="s">
        <v>268</v>
      </c>
      <c r="G258" s="165"/>
      <c r="H258" s="154"/>
      <c r="I258" s="154"/>
      <c r="J258" s="154"/>
      <c r="K258" s="154"/>
      <c r="L258" s="172"/>
    </row>
    <row r="259" spans="1:12">
      <c r="A259" s="13"/>
      <c r="B259" s="226" t="s">
        <v>269</v>
      </c>
      <c r="C259" s="225" t="s">
        <v>270</v>
      </c>
      <c r="D259" s="165"/>
      <c r="E259" s="165"/>
      <c r="F259" s="165"/>
      <c r="G259" s="165"/>
      <c r="H259" s="154"/>
      <c r="I259" s="154"/>
      <c r="J259" s="155"/>
      <c r="K259" s="154"/>
      <c r="L259" s="172"/>
    </row>
    <row r="260" spans="1:12">
      <c r="A260" s="13"/>
      <c r="B260" s="226" t="s">
        <v>271</v>
      </c>
      <c r="C260" s="224" t="s">
        <v>272</v>
      </c>
      <c r="D260" s="154"/>
      <c r="E260" s="155"/>
      <c r="G260" s="935"/>
      <c r="H260" s="935"/>
      <c r="I260" s="170"/>
      <c r="J260" s="171"/>
      <c r="K260" s="935"/>
      <c r="L260" s="936"/>
    </row>
    <row r="261" spans="1:12">
      <c r="A261" s="13"/>
      <c r="B261" s="227" t="s">
        <v>273</v>
      </c>
      <c r="C261" s="937" t="s">
        <v>302</v>
      </c>
      <c r="D261" s="937"/>
      <c r="E261" s="937"/>
      <c r="F261" s="937"/>
      <c r="G261" s="937"/>
      <c r="H261" s="937"/>
      <c r="I261" s="937"/>
      <c r="J261" s="937"/>
      <c r="K261" s="937"/>
      <c r="L261" s="938"/>
    </row>
    <row r="262" spans="1:12">
      <c r="A262" s="13"/>
      <c r="B262" s="226" t="s">
        <v>274</v>
      </c>
      <c r="C262" s="225" t="s">
        <v>275</v>
      </c>
      <c r="D262" s="217"/>
      <c r="E262" s="217"/>
      <c r="F262" s="217"/>
      <c r="G262" s="217"/>
      <c r="H262" s="217"/>
      <c r="I262" s="217"/>
      <c r="J262" s="217"/>
      <c r="K262" s="217"/>
      <c r="L262" s="236"/>
    </row>
    <row r="263" spans="1:12">
      <c r="A263" s="13"/>
      <c r="B263" s="169"/>
      <c r="C263" t="s">
        <v>303</v>
      </c>
      <c r="D263" s="283" t="e">
        <f>'BOM 04 22Master'!#REF!</f>
        <v>#REF!</v>
      </c>
      <c r="E263" s="2"/>
      <c r="F263" s="2"/>
      <c r="G263" s="2"/>
      <c r="L263" s="14"/>
    </row>
    <row r="264" spans="1:12">
      <c r="A264" s="13"/>
      <c r="C264" t="s">
        <v>276</v>
      </c>
      <c r="D264" t="s">
        <v>365</v>
      </c>
      <c r="J264" t="s">
        <v>304</v>
      </c>
      <c r="L264" s="14"/>
    </row>
    <row r="265" spans="1:12">
      <c r="A265" s="13"/>
      <c r="L265" s="14"/>
    </row>
    <row r="266" spans="1:12">
      <c r="A266" s="13"/>
      <c r="F266" s="215" t="s">
        <v>277</v>
      </c>
      <c r="L266" s="14"/>
    </row>
    <row r="267" spans="1:12">
      <c r="A267" s="13" t="s">
        <v>305</v>
      </c>
      <c r="B267" t="s">
        <v>278</v>
      </c>
      <c r="E267" s="218" t="e">
        <f>'BOM 04 22Master'!#REF!</f>
        <v>#REF!</v>
      </c>
      <c r="H267" s="939" t="s">
        <v>279</v>
      </c>
      <c r="I267" s="939"/>
      <c r="J267" s="219" t="e">
        <f>'BOM 04 22Master'!#REF!</f>
        <v>#REF!</v>
      </c>
      <c r="K267" t="s">
        <v>280</v>
      </c>
      <c r="L267" s="14"/>
    </row>
    <row r="268" spans="1:12" ht="24" customHeight="1">
      <c r="A268" s="13"/>
      <c r="B268" s="950" t="e">
        <f>'BOM 04 22Master'!#REF!</f>
        <v>#REF!</v>
      </c>
      <c r="C268" s="951"/>
      <c r="D268" s="216"/>
      <c r="E268" s="216"/>
      <c r="F268" s="216"/>
      <c r="G268" s="216"/>
      <c r="H268" s="216"/>
      <c r="I268" s="216"/>
      <c r="J268" s="216"/>
      <c r="K268" s="216"/>
      <c r="L268" s="237"/>
    </row>
    <row r="269" spans="1:12" ht="24" customHeight="1">
      <c r="A269" s="13" t="s">
        <v>307</v>
      </c>
      <c r="B269" s="216" t="s">
        <v>281</v>
      </c>
      <c r="C269" s="216"/>
      <c r="D269" s="216"/>
      <c r="E269" s="216"/>
      <c r="F269" s="216"/>
      <c r="G269" s="216"/>
      <c r="H269" s="216"/>
      <c r="I269" s="216"/>
      <c r="J269" s="216"/>
      <c r="K269" s="216"/>
      <c r="L269" s="237"/>
    </row>
    <row r="270" spans="1:12" ht="23.25" customHeight="1">
      <c r="A270" s="13"/>
      <c r="B270" s="216" t="s">
        <v>306</v>
      </c>
      <c r="C270" s="216"/>
      <c r="D270" s="216"/>
      <c r="E270" s="216"/>
      <c r="F270" s="216"/>
      <c r="G270" s="216"/>
      <c r="H270" s="216"/>
      <c r="I270" s="216"/>
      <c r="J270" s="216"/>
      <c r="K270" s="216"/>
      <c r="L270" s="237"/>
    </row>
    <row r="271" spans="1:12" ht="21.75" customHeight="1">
      <c r="A271" s="13"/>
      <c r="B271" t="s">
        <v>282</v>
      </c>
      <c r="L271" s="14"/>
    </row>
    <row r="272" spans="1:12" ht="27.95" customHeight="1">
      <c r="A272" s="13"/>
      <c r="B272" s="2" t="s">
        <v>283</v>
      </c>
      <c r="F272" s="168"/>
      <c r="L272" s="14"/>
    </row>
    <row r="273" spans="1:12" ht="21" customHeight="1">
      <c r="A273" s="13"/>
      <c r="B273" s="2" t="s">
        <v>284</v>
      </c>
      <c r="L273" s="14"/>
    </row>
    <row r="274" spans="1:12" ht="27.95" customHeight="1">
      <c r="A274" s="13"/>
      <c r="B274" t="s">
        <v>285</v>
      </c>
      <c r="L274" s="14"/>
    </row>
    <row r="275" spans="1:12" ht="27.95" customHeight="1">
      <c r="A275" s="13"/>
      <c r="B275" t="s">
        <v>286</v>
      </c>
      <c r="L275" s="14"/>
    </row>
    <row r="276" spans="1:12" ht="27.95" customHeight="1">
      <c r="A276" s="13" t="s">
        <v>296</v>
      </c>
      <c r="B276" t="s">
        <v>287</v>
      </c>
      <c r="L276" s="14"/>
    </row>
    <row r="277" spans="1:12" ht="27.95" customHeight="1">
      <c r="A277" s="13"/>
      <c r="B277" s="228" t="s">
        <v>308</v>
      </c>
      <c r="L277" s="14"/>
    </row>
    <row r="278" spans="1:12" ht="27.95" customHeight="1">
      <c r="A278" s="13"/>
      <c r="B278" t="s">
        <v>282</v>
      </c>
      <c r="L278" s="14"/>
    </row>
    <row r="279" spans="1:12" ht="19.5" customHeight="1">
      <c r="A279" s="13"/>
      <c r="B279" t="s">
        <v>288</v>
      </c>
      <c r="L279" s="14"/>
    </row>
    <row r="280" spans="1:12" ht="21.75" customHeight="1">
      <c r="A280" s="13"/>
      <c r="B280" t="s">
        <v>289</v>
      </c>
      <c r="L280" s="14"/>
    </row>
    <row r="281" spans="1:12" ht="18.75" customHeight="1">
      <c r="A281" s="13"/>
      <c r="B281" s="952" t="s">
        <v>290</v>
      </c>
      <c r="C281" s="952"/>
      <c r="D281" s="952"/>
      <c r="E281" s="952"/>
      <c r="F281" s="952"/>
      <c r="G281" s="952"/>
      <c r="H281" s="952"/>
      <c r="I281" s="952"/>
      <c r="J281" s="952"/>
      <c r="K281" s="952"/>
      <c r="L281" s="953"/>
    </row>
    <row r="282" spans="1:12" ht="27.95" customHeight="1">
      <c r="A282" s="13"/>
      <c r="B282" t="s">
        <v>202</v>
      </c>
      <c r="C282" s="278" t="e">
        <f>'BOM 04 22Master'!#REF!</f>
        <v>#REF!</v>
      </c>
      <c r="D282" s="198"/>
      <c r="E282" s="198"/>
      <c r="F282" s="198"/>
      <c r="G282" s="198"/>
      <c r="H282" s="198"/>
      <c r="I282" t="s">
        <v>309</v>
      </c>
      <c r="J282" s="198"/>
      <c r="K282" s="198"/>
      <c r="L282" s="229"/>
    </row>
    <row r="283" spans="1:12" ht="27.95" customHeight="1" thickBot="1">
      <c r="A283" s="25"/>
      <c r="B283" s="761"/>
      <c r="C283" s="761"/>
      <c r="D283" s="761"/>
      <c r="E283" s="761"/>
      <c r="F283" s="761"/>
      <c r="G283" s="761"/>
      <c r="H283" s="761"/>
      <c r="I283" s="761"/>
      <c r="J283" s="761"/>
      <c r="K283" s="761"/>
      <c r="L283" s="762"/>
    </row>
    <row r="284" spans="1:12" ht="27.95" customHeight="1">
      <c r="A284" s="50"/>
      <c r="B284" s="51"/>
      <c r="C284" s="51"/>
      <c r="D284" s="51"/>
      <c r="E284" s="51"/>
      <c r="F284" s="51"/>
      <c r="G284" s="51"/>
      <c r="H284" s="51"/>
      <c r="I284" s="55" t="s">
        <v>236</v>
      </c>
      <c r="J284" s="51"/>
      <c r="K284" s="51"/>
      <c r="L284" s="52"/>
    </row>
    <row r="285" spans="1:12" ht="27.95" customHeight="1">
      <c r="A285" s="13"/>
      <c r="B285" s="940" t="s">
        <v>291</v>
      </c>
      <c r="C285" s="940"/>
      <c r="D285" s="940"/>
      <c r="E285" s="940"/>
      <c r="F285" s="940"/>
      <c r="G285" s="940"/>
      <c r="H285" s="940"/>
      <c r="I285" s="940"/>
      <c r="J285" s="940"/>
      <c r="K285" s="940"/>
      <c r="L285" s="941"/>
    </row>
    <row r="286" spans="1:12" ht="23.25">
      <c r="A286" s="13"/>
      <c r="B286" s="198"/>
      <c r="C286" s="198"/>
      <c r="D286" s="206" t="s">
        <v>238</v>
      </c>
      <c r="E286" s="198"/>
      <c r="F286" s="198"/>
      <c r="G286" s="198"/>
      <c r="H286" s="198"/>
      <c r="I286" s="200" t="s">
        <v>292</v>
      </c>
      <c r="J286" s="201"/>
      <c r="K286" s="282" t="e">
        <f>'BOM 04 22Master'!#REF!</f>
        <v>#REF!</v>
      </c>
      <c r="L286" s="231"/>
    </row>
    <row r="287" spans="1:12" ht="15.75">
      <c r="A287" s="13"/>
      <c r="B287" s="1"/>
      <c r="C287" s="1" t="s">
        <v>239</v>
      </c>
      <c r="E287" s="1"/>
      <c r="F287" s="1"/>
      <c r="G287" s="1"/>
      <c r="H287" s="1"/>
      <c r="I287" s="199" t="s">
        <v>293</v>
      </c>
      <c r="J287" s="220" t="str">
        <f>'BOM 04 22Master'!F5</f>
        <v>Burgeon IT Services Pvt.Ltd.</v>
      </c>
      <c r="K287" s="202"/>
      <c r="L287" s="232"/>
    </row>
    <row r="288" spans="1:12">
      <c r="A288" s="13"/>
      <c r="B288" s="207"/>
      <c r="C288" s="176" t="s">
        <v>240</v>
      </c>
      <c r="E288" s="207"/>
      <c r="F288" s="207"/>
      <c r="H288" s="177"/>
      <c r="I288" s="223" t="str">
        <f>'BOM 04 22Master'!F6</f>
        <v>Siri Mansion LIGB 436 Dr.A S Rao Nagar,Hyderabad</v>
      </c>
      <c r="J288" s="221"/>
      <c r="K288" s="222"/>
      <c r="L288" s="186"/>
    </row>
    <row r="289" spans="1:12">
      <c r="A289" s="13"/>
      <c r="L289" s="14"/>
    </row>
    <row r="290" spans="1:12">
      <c r="A290" s="13">
        <v>1</v>
      </c>
      <c r="B290" s="203" t="s">
        <v>241</v>
      </c>
      <c r="C290" s="44"/>
      <c r="D290" s="44"/>
      <c r="E290" s="44"/>
      <c r="F290" s="44"/>
      <c r="G290" s="45"/>
      <c r="H290" s="913" t="e">
        <f>'BOM 04 22Master'!#REF!</f>
        <v>#REF!</v>
      </c>
      <c r="I290" s="922"/>
      <c r="J290" s="922"/>
      <c r="K290" s="922"/>
      <c r="L290" s="923"/>
    </row>
    <row r="291" spans="1:12">
      <c r="A291" s="13">
        <v>2</v>
      </c>
      <c r="B291" s="942" t="s">
        <v>242</v>
      </c>
      <c r="C291" s="943"/>
      <c r="D291" s="943"/>
      <c r="E291" s="943"/>
      <c r="F291" s="204" t="s">
        <v>243</v>
      </c>
      <c r="G291" s="188"/>
      <c r="H291" s="944" t="e">
        <f>'BOM 04 22Master'!#REF!</f>
        <v>#REF!</v>
      </c>
      <c r="I291" s="945"/>
      <c r="J291" s="945"/>
      <c r="K291" s="945"/>
      <c r="L291" s="946"/>
    </row>
    <row r="292" spans="1:12">
      <c r="A292" s="13"/>
      <c r="B292" s="189" t="s">
        <v>244</v>
      </c>
      <c r="C292" s="190"/>
      <c r="D292" s="190"/>
      <c r="E292" s="190"/>
      <c r="F292" s="190" t="s">
        <v>237</v>
      </c>
      <c r="G292" s="191"/>
      <c r="H292" s="947"/>
      <c r="I292" s="948"/>
      <c r="J292" s="948"/>
      <c r="K292" s="948"/>
      <c r="L292" s="949"/>
    </row>
    <row r="293" spans="1:12">
      <c r="A293" s="13">
        <v>3</v>
      </c>
      <c r="B293" s="205" t="s">
        <v>245</v>
      </c>
      <c r="C293" s="195"/>
      <c r="D293" s="195"/>
      <c r="E293" s="195"/>
      <c r="F293" s="195"/>
      <c r="G293" s="196"/>
      <c r="H293" s="929" t="e">
        <f>'BOM 04 22Master'!#REF!</f>
        <v>#REF!</v>
      </c>
      <c r="I293" s="930"/>
      <c r="J293" s="930"/>
      <c r="K293" s="930"/>
      <c r="L293" s="931"/>
    </row>
    <row r="294" spans="1:12">
      <c r="A294" s="13">
        <v>4</v>
      </c>
      <c r="B294" s="181" t="s">
        <v>246</v>
      </c>
      <c r="C294" s="44"/>
      <c r="D294" s="44"/>
      <c r="E294" s="44"/>
      <c r="F294" s="44"/>
      <c r="G294" s="45"/>
      <c r="H294" s="911" t="e">
        <f>'BOM 04 22Master'!#REF!</f>
        <v>#REF!</v>
      </c>
      <c r="I294" s="918"/>
      <c r="J294" s="918"/>
      <c r="K294" s="918"/>
      <c r="L294" s="912"/>
    </row>
    <row r="295" spans="1:12">
      <c r="A295" s="13">
        <v>5</v>
      </c>
      <c r="B295" s="932" t="s">
        <v>294</v>
      </c>
      <c r="C295" s="933"/>
      <c r="D295" s="933"/>
      <c r="E295" s="933"/>
      <c r="F295" s="933"/>
      <c r="G295" s="45"/>
      <c r="H295" s="921" t="s">
        <v>373</v>
      </c>
      <c r="I295" s="922"/>
      <c r="J295" s="922"/>
      <c r="K295" s="922"/>
      <c r="L295" s="923"/>
    </row>
    <row r="296" spans="1:12">
      <c r="A296" s="13">
        <v>6</v>
      </c>
      <c r="B296" s="194" t="s">
        <v>247</v>
      </c>
      <c r="C296" s="195" t="s">
        <v>248</v>
      </c>
      <c r="D296" s="195"/>
      <c r="E296" s="195"/>
      <c r="F296" s="195"/>
      <c r="G296" s="196"/>
      <c r="H296" s="205"/>
      <c r="I296" s="195"/>
      <c r="J296" s="195"/>
      <c r="K296" s="195"/>
      <c r="L296" s="233"/>
    </row>
    <row r="297" spans="1:12">
      <c r="A297" s="13"/>
      <c r="B297" s="194" t="s">
        <v>249</v>
      </c>
      <c r="C297" s="195" t="s">
        <v>250</v>
      </c>
      <c r="D297" s="195"/>
      <c r="E297" s="195"/>
      <c r="F297" s="195"/>
      <c r="G297" s="196"/>
      <c r="H297" s="205"/>
      <c r="I297" s="187"/>
      <c r="J297" s="187"/>
      <c r="K297" s="195"/>
      <c r="L297" s="233"/>
    </row>
    <row r="298" spans="1:12">
      <c r="A298" s="13">
        <v>7</v>
      </c>
      <c r="B298" s="929" t="s">
        <v>251</v>
      </c>
      <c r="C298" s="930"/>
      <c r="D298" s="930"/>
      <c r="E298" s="930"/>
      <c r="F298" s="930"/>
      <c r="G298" s="934"/>
      <c r="H298" s="209" t="s">
        <v>252</v>
      </c>
      <c r="I298" s="210"/>
      <c r="J298" s="211"/>
      <c r="K298" s="209" t="s">
        <v>253</v>
      </c>
      <c r="L298" s="234"/>
    </row>
    <row r="299" spans="1:12">
      <c r="A299" s="13">
        <v>8</v>
      </c>
      <c r="B299" s="929" t="s">
        <v>295</v>
      </c>
      <c r="C299" s="930"/>
      <c r="D299" s="930"/>
      <c r="E299" s="930"/>
      <c r="F299" s="930"/>
      <c r="G299" s="934"/>
      <c r="H299" s="209" t="s">
        <v>252</v>
      </c>
      <c r="I299" s="210"/>
      <c r="J299" s="211"/>
      <c r="K299" s="209" t="s">
        <v>253</v>
      </c>
      <c r="L299" s="234"/>
    </row>
    <row r="300" spans="1:12">
      <c r="A300" s="13"/>
      <c r="B300" s="181"/>
      <c r="C300" s="213"/>
      <c r="D300" s="213"/>
      <c r="E300" s="213"/>
      <c r="F300" s="213" t="s">
        <v>254</v>
      </c>
      <c r="G300" s="213"/>
      <c r="H300" s="213"/>
      <c r="I300" s="213"/>
      <c r="J300" s="213"/>
      <c r="K300" s="213"/>
      <c r="L300" s="235"/>
    </row>
    <row r="301" spans="1:12">
      <c r="A301" s="13">
        <v>9</v>
      </c>
      <c r="B301" s="194" t="s">
        <v>255</v>
      </c>
      <c r="C301" s="195" t="s">
        <v>256</v>
      </c>
      <c r="D301" s="195"/>
      <c r="E301" s="195"/>
      <c r="F301" s="195"/>
      <c r="G301" s="196"/>
      <c r="H301" s="205"/>
      <c r="I301" s="195"/>
      <c r="J301" s="195"/>
      <c r="K301" s="195"/>
      <c r="L301" s="233"/>
    </row>
    <row r="302" spans="1:12">
      <c r="A302" s="61"/>
      <c r="B302" s="194" t="s">
        <v>257</v>
      </c>
      <c r="C302" s="195" t="s">
        <v>258</v>
      </c>
      <c r="D302" s="195"/>
      <c r="E302" s="195"/>
      <c r="F302" s="195"/>
      <c r="G302" s="196"/>
      <c r="H302" s="205"/>
      <c r="I302" s="195"/>
      <c r="J302" s="195"/>
      <c r="K302" s="195"/>
      <c r="L302" s="233"/>
    </row>
    <row r="303" spans="1:12">
      <c r="A303" s="61"/>
      <c r="B303" s="194" t="s">
        <v>296</v>
      </c>
      <c r="C303" s="195" t="s">
        <v>297</v>
      </c>
      <c r="D303" s="195"/>
      <c r="E303" s="195"/>
      <c r="F303" s="195"/>
      <c r="G303" s="196"/>
      <c r="H303" s="205"/>
      <c r="I303" s="195"/>
      <c r="J303" s="195"/>
      <c r="K303" s="195"/>
      <c r="L303" s="233"/>
    </row>
    <row r="304" spans="1:12">
      <c r="A304" s="61"/>
      <c r="B304" s="194" t="s">
        <v>260</v>
      </c>
      <c r="C304" s="195" t="s">
        <v>261</v>
      </c>
      <c r="D304" s="195"/>
      <c r="E304" s="195"/>
      <c r="F304" s="195"/>
      <c r="G304" s="196"/>
      <c r="H304" s="205"/>
      <c r="I304" s="195"/>
      <c r="J304" s="195"/>
      <c r="K304" s="195"/>
      <c r="L304" s="233"/>
    </row>
    <row r="305" spans="1:12">
      <c r="A305" s="61"/>
      <c r="B305" s="194" t="s">
        <v>262</v>
      </c>
      <c r="C305" s="195" t="s">
        <v>263</v>
      </c>
      <c r="D305" s="195"/>
      <c r="E305" s="195"/>
      <c r="F305" s="195"/>
      <c r="G305" s="196"/>
      <c r="H305" s="205"/>
      <c r="I305" s="195"/>
      <c r="J305" s="195"/>
      <c r="K305" s="195"/>
      <c r="L305" s="233"/>
    </row>
    <row r="306" spans="1:12">
      <c r="A306" s="61">
        <v>10</v>
      </c>
      <c r="B306" s="194" t="s">
        <v>255</v>
      </c>
      <c r="C306" s="195" t="s">
        <v>298</v>
      </c>
      <c r="D306" s="195"/>
      <c r="E306" s="195"/>
      <c r="F306" s="195"/>
      <c r="G306" s="196"/>
      <c r="H306" s="209" t="s">
        <v>252</v>
      </c>
      <c r="I306" s="210"/>
      <c r="J306" s="211"/>
      <c r="K306" s="209" t="s">
        <v>253</v>
      </c>
      <c r="L306" s="234"/>
    </row>
    <row r="307" spans="1:12">
      <c r="A307" s="61"/>
      <c r="B307" s="194" t="s">
        <v>257</v>
      </c>
      <c r="C307" s="195" t="s">
        <v>299</v>
      </c>
      <c r="D307" s="195"/>
      <c r="E307" s="195"/>
      <c r="F307" s="195"/>
      <c r="G307" s="196"/>
      <c r="H307" s="205"/>
      <c r="I307" s="195"/>
      <c r="J307" s="195"/>
      <c r="K307" s="195"/>
      <c r="L307" s="233"/>
    </row>
    <row r="308" spans="1:12">
      <c r="A308" s="61"/>
      <c r="B308" s="194" t="s">
        <v>296</v>
      </c>
      <c r="C308" s="195" t="s">
        <v>264</v>
      </c>
      <c r="D308" s="195"/>
      <c r="E308" s="195"/>
      <c r="F308" s="195"/>
      <c r="G308" s="196"/>
      <c r="H308" s="205"/>
      <c r="I308" s="195"/>
      <c r="J308" s="195"/>
      <c r="K308" s="195"/>
      <c r="L308" s="233"/>
    </row>
    <row r="309" spans="1:12">
      <c r="A309" s="61"/>
      <c r="B309" s="194" t="s">
        <v>260</v>
      </c>
      <c r="C309" s="195" t="s">
        <v>300</v>
      </c>
      <c r="D309" s="195"/>
      <c r="E309" s="195"/>
      <c r="F309" s="195"/>
      <c r="G309" s="196"/>
      <c r="H309" s="205"/>
      <c r="I309" s="195"/>
      <c r="J309" s="195"/>
      <c r="K309" s="195"/>
      <c r="L309" s="233"/>
    </row>
    <row r="310" spans="1:12">
      <c r="A310" s="13"/>
      <c r="B310" s="181"/>
      <c r="C310" s="213"/>
      <c r="D310" s="213"/>
      <c r="E310" s="213" t="s">
        <v>301</v>
      </c>
      <c r="F310" s="213"/>
      <c r="G310" s="213"/>
      <c r="H310" s="213"/>
      <c r="I310" s="213"/>
      <c r="J310" s="213"/>
      <c r="K310" s="213"/>
      <c r="L310" s="235"/>
    </row>
    <row r="311" spans="1:12">
      <c r="A311" s="13">
        <v>11</v>
      </c>
      <c r="B311" s="194" t="s">
        <v>255</v>
      </c>
      <c r="C311" s="195" t="s">
        <v>265</v>
      </c>
      <c r="D311" s="195"/>
      <c r="E311" s="195"/>
      <c r="F311" s="195"/>
      <c r="G311" s="196"/>
      <c r="H311" s="205"/>
      <c r="I311" s="195"/>
      <c r="J311" s="195"/>
      <c r="K311" s="195"/>
      <c r="L311" s="233"/>
    </row>
    <row r="312" spans="1:12">
      <c r="A312" s="13"/>
      <c r="B312" s="194" t="s">
        <v>257</v>
      </c>
      <c r="C312" s="195" t="s">
        <v>266</v>
      </c>
      <c r="D312" s="195"/>
      <c r="E312" s="195"/>
      <c r="F312" s="195"/>
      <c r="G312" s="196"/>
      <c r="H312" s="205"/>
      <c r="I312" s="195"/>
      <c r="J312" s="195"/>
      <c r="K312" s="195"/>
      <c r="L312" s="233"/>
    </row>
    <row r="313" spans="1:12">
      <c r="A313" s="13"/>
      <c r="B313" s="194" t="s">
        <v>259</v>
      </c>
      <c r="C313" s="195" t="s">
        <v>267</v>
      </c>
      <c r="D313" s="195"/>
      <c r="E313" s="195"/>
      <c r="F313" s="195"/>
      <c r="G313" s="196"/>
      <c r="H313" s="205"/>
      <c r="I313" s="195"/>
      <c r="J313" s="195"/>
      <c r="K313" s="195"/>
      <c r="L313" s="233"/>
    </row>
    <row r="314" spans="1:12">
      <c r="A314" s="13"/>
      <c r="B314" s="169"/>
      <c r="C314" s="165"/>
      <c r="D314" s="165"/>
      <c r="E314" s="165"/>
      <c r="F314" s="214" t="s">
        <v>268</v>
      </c>
      <c r="G314" s="165"/>
      <c r="H314" s="154"/>
      <c r="I314" s="154"/>
      <c r="J314" s="154"/>
      <c r="K314" s="154"/>
      <c r="L314" s="172"/>
    </row>
    <row r="315" spans="1:12">
      <c r="A315" s="13"/>
      <c r="B315" s="226" t="s">
        <v>269</v>
      </c>
      <c r="C315" s="225" t="s">
        <v>270</v>
      </c>
      <c r="D315" s="165"/>
      <c r="E315" s="165"/>
      <c r="F315" s="165"/>
      <c r="G315" s="165"/>
      <c r="H315" s="154"/>
      <c r="I315" s="154"/>
      <c r="J315" s="155"/>
      <c r="K315" s="154"/>
      <c r="L315" s="172"/>
    </row>
    <row r="316" spans="1:12">
      <c r="A316" s="13"/>
      <c r="B316" s="226" t="s">
        <v>271</v>
      </c>
      <c r="C316" s="224" t="s">
        <v>272</v>
      </c>
      <c r="D316" s="154"/>
      <c r="E316" s="155"/>
      <c r="G316" s="935"/>
      <c r="H316" s="935"/>
      <c r="I316" s="170"/>
      <c r="J316" s="171"/>
      <c r="K316" s="935"/>
      <c r="L316" s="936"/>
    </row>
    <row r="317" spans="1:12">
      <c r="A317" s="13"/>
      <c r="B317" s="227" t="s">
        <v>273</v>
      </c>
      <c r="C317" s="937" t="s">
        <v>302</v>
      </c>
      <c r="D317" s="937"/>
      <c r="E317" s="937"/>
      <c r="F317" s="937"/>
      <c r="G317" s="937"/>
      <c r="H317" s="937"/>
      <c r="I317" s="937"/>
      <c r="J317" s="937"/>
      <c r="K317" s="937"/>
      <c r="L317" s="938"/>
    </row>
    <row r="318" spans="1:12">
      <c r="A318" s="13"/>
      <c r="B318" s="226" t="s">
        <v>274</v>
      </c>
      <c r="C318" s="225" t="s">
        <v>275</v>
      </c>
      <c r="D318" s="217"/>
      <c r="E318" s="217"/>
      <c r="F318" s="217"/>
      <c r="G318" s="217"/>
      <c r="H318" s="217"/>
      <c r="I318" s="217"/>
      <c r="J318" s="217"/>
      <c r="K318" s="217"/>
      <c r="L318" s="236"/>
    </row>
    <row r="319" spans="1:12">
      <c r="A319" s="13"/>
      <c r="B319" s="169"/>
      <c r="C319" t="s">
        <v>303</v>
      </c>
      <c r="D319" s="283" t="e">
        <f>'BOM 04 22Master'!#REF!</f>
        <v>#REF!</v>
      </c>
      <c r="E319" s="2"/>
      <c r="F319" s="2"/>
      <c r="G319" s="2"/>
      <c r="L319" s="14"/>
    </row>
    <row r="320" spans="1:12">
      <c r="A320" s="13"/>
      <c r="C320" t="s">
        <v>276</v>
      </c>
      <c r="D320" t="s">
        <v>365</v>
      </c>
      <c r="J320" t="s">
        <v>304</v>
      </c>
      <c r="L320" s="14"/>
    </row>
    <row r="321" spans="1:12" ht="16.5" customHeight="1">
      <c r="A321" s="13"/>
      <c r="L321" s="14"/>
    </row>
    <row r="322" spans="1:12" ht="21.75" customHeight="1">
      <c r="A322" s="13"/>
      <c r="F322" s="215" t="s">
        <v>277</v>
      </c>
      <c r="L322" s="14"/>
    </row>
    <row r="323" spans="1:12" ht="27.95" customHeight="1">
      <c r="A323" s="13" t="s">
        <v>305</v>
      </c>
      <c r="B323" t="s">
        <v>278</v>
      </c>
      <c r="E323" s="218" t="e">
        <f>'BOM 04 22Master'!#REF!</f>
        <v>#REF!</v>
      </c>
      <c r="H323" s="939" t="s">
        <v>279</v>
      </c>
      <c r="I323" s="939"/>
      <c r="J323" s="219" t="e">
        <f>'BOM 04 22Master'!#REF!</f>
        <v>#REF!</v>
      </c>
      <c r="K323" t="s">
        <v>280</v>
      </c>
      <c r="L323" s="14"/>
    </row>
    <row r="324" spans="1:12" ht="25.5" customHeight="1">
      <c r="A324" s="13"/>
      <c r="B324" s="950" t="e">
        <f>'BOM 04 22Master'!#REF!</f>
        <v>#REF!</v>
      </c>
      <c r="C324" s="951"/>
      <c r="D324" s="216"/>
      <c r="E324" s="216"/>
      <c r="F324" s="216"/>
      <c r="G324" s="216"/>
      <c r="H324" s="216"/>
      <c r="I324" s="216"/>
      <c r="J324" s="216"/>
      <c r="K324" s="216"/>
      <c r="L324" s="237"/>
    </row>
    <row r="325" spans="1:12" ht="24.75" customHeight="1">
      <c r="A325" s="13" t="s">
        <v>307</v>
      </c>
      <c r="B325" s="216" t="s">
        <v>281</v>
      </c>
      <c r="C325" s="216"/>
      <c r="D325" s="216"/>
      <c r="E325" s="216"/>
      <c r="F325" s="216"/>
      <c r="G325" s="216"/>
      <c r="H325" s="216"/>
      <c r="I325" s="216"/>
      <c r="J325" s="216"/>
      <c r="K325" s="216"/>
      <c r="L325" s="237"/>
    </row>
    <row r="326" spans="1:12" ht="27.95" customHeight="1">
      <c r="A326" s="13"/>
      <c r="B326" s="216" t="s">
        <v>306</v>
      </c>
      <c r="C326" s="216"/>
      <c r="D326" s="216"/>
      <c r="E326" s="216"/>
      <c r="F326" s="216"/>
      <c r="G326" s="216"/>
      <c r="H326" s="216"/>
      <c r="I326" s="216"/>
      <c r="J326" s="216"/>
      <c r="K326" s="216"/>
      <c r="L326" s="237"/>
    </row>
    <row r="327" spans="1:12" ht="27.95" customHeight="1">
      <c r="A327" s="13"/>
      <c r="B327" t="s">
        <v>282</v>
      </c>
      <c r="L327" s="14"/>
    </row>
    <row r="328" spans="1:12" ht="27.95" customHeight="1">
      <c r="A328" s="13"/>
      <c r="B328" s="2" t="s">
        <v>283</v>
      </c>
      <c r="F328" s="168"/>
      <c r="L328" s="14"/>
    </row>
    <row r="329" spans="1:12" ht="27.95" customHeight="1">
      <c r="A329" s="13"/>
      <c r="B329" s="2" t="s">
        <v>284</v>
      </c>
      <c r="L329" s="14"/>
    </row>
    <row r="330" spans="1:12" ht="27.95" customHeight="1">
      <c r="A330" s="13"/>
      <c r="B330" t="s">
        <v>285</v>
      </c>
      <c r="L330" s="14"/>
    </row>
    <row r="331" spans="1:12" ht="27.95" customHeight="1">
      <c r="A331" s="13"/>
      <c r="B331" t="s">
        <v>286</v>
      </c>
      <c r="L331" s="14"/>
    </row>
    <row r="332" spans="1:12" ht="27.95" customHeight="1">
      <c r="A332" s="13" t="s">
        <v>296</v>
      </c>
      <c r="B332" t="s">
        <v>287</v>
      </c>
      <c r="L332" s="14"/>
    </row>
    <row r="333" spans="1:12" ht="27.95" customHeight="1">
      <c r="A333" s="13"/>
      <c r="B333" s="228" t="s">
        <v>308</v>
      </c>
      <c r="L333" s="14"/>
    </row>
    <row r="334" spans="1:12" ht="27.95" customHeight="1">
      <c r="A334" s="13"/>
      <c r="B334" t="s">
        <v>282</v>
      </c>
      <c r="L334" s="14"/>
    </row>
    <row r="335" spans="1:12" ht="27.95" customHeight="1">
      <c r="A335" s="13"/>
      <c r="B335" t="s">
        <v>288</v>
      </c>
      <c r="L335" s="14"/>
    </row>
    <row r="336" spans="1:12" ht="27.95" customHeight="1">
      <c r="A336" s="13"/>
      <c r="B336" t="s">
        <v>289</v>
      </c>
      <c r="L336" s="14"/>
    </row>
    <row r="337" spans="1:12" ht="27.95" customHeight="1">
      <c r="A337" s="13"/>
      <c r="B337" s="952" t="s">
        <v>290</v>
      </c>
      <c r="C337" s="952"/>
      <c r="D337" s="952"/>
      <c r="E337" s="952"/>
      <c r="F337" s="952"/>
      <c r="G337" s="952"/>
      <c r="H337" s="952"/>
      <c r="I337" s="952"/>
      <c r="J337" s="952"/>
      <c r="K337" s="952"/>
      <c r="L337" s="953"/>
    </row>
    <row r="338" spans="1:12" ht="27.95" customHeight="1">
      <c r="A338" s="13"/>
      <c r="B338" t="s">
        <v>202</v>
      </c>
      <c r="C338" s="278" t="e">
        <f>'BOM 04 22Master'!#REF!</f>
        <v>#REF!</v>
      </c>
      <c r="D338" s="198"/>
      <c r="E338" s="198"/>
      <c r="F338" s="198"/>
      <c r="G338" s="198"/>
      <c r="H338" s="198"/>
      <c r="I338" t="s">
        <v>309</v>
      </c>
      <c r="J338" s="198"/>
      <c r="K338" s="198"/>
      <c r="L338" s="229"/>
    </row>
    <row r="339" spans="1:12" ht="16.5" thickBot="1">
      <c r="A339" s="25"/>
      <c r="B339" s="761"/>
      <c r="C339" s="761"/>
      <c r="D339" s="761"/>
      <c r="E339" s="761"/>
      <c r="F339" s="761"/>
      <c r="G339" s="761"/>
      <c r="H339" s="761"/>
      <c r="I339" s="761"/>
      <c r="J339" s="761"/>
      <c r="K339" s="761"/>
      <c r="L339" s="762"/>
    </row>
    <row r="340" spans="1:12">
      <c r="A340" s="50"/>
      <c r="B340" s="51"/>
      <c r="C340" s="51"/>
      <c r="D340" s="51"/>
      <c r="E340" s="51"/>
      <c r="F340" s="51"/>
      <c r="G340" s="51"/>
      <c r="H340" s="51"/>
      <c r="I340" s="55" t="s">
        <v>236</v>
      </c>
      <c r="J340" s="51"/>
      <c r="K340" s="51"/>
      <c r="L340" s="52"/>
    </row>
    <row r="341" spans="1:12">
      <c r="A341" s="13"/>
      <c r="B341" s="940" t="s">
        <v>291</v>
      </c>
      <c r="C341" s="940"/>
      <c r="D341" s="940"/>
      <c r="E341" s="940"/>
      <c r="F341" s="940"/>
      <c r="G341" s="940"/>
      <c r="H341" s="940"/>
      <c r="I341" s="940"/>
      <c r="J341" s="940"/>
      <c r="K341" s="940"/>
      <c r="L341" s="941"/>
    </row>
    <row r="342" spans="1:12" ht="23.25">
      <c r="A342" s="13"/>
      <c r="B342" s="198"/>
      <c r="C342" s="198"/>
      <c r="D342" s="206" t="s">
        <v>238</v>
      </c>
      <c r="E342" s="198"/>
      <c r="F342" s="198"/>
      <c r="G342" s="198"/>
      <c r="H342" s="198"/>
      <c r="I342" s="200" t="s">
        <v>292</v>
      </c>
      <c r="J342" s="201"/>
      <c r="K342" s="282" t="e">
        <f>'BOM 04 22Master'!#REF!</f>
        <v>#REF!</v>
      </c>
      <c r="L342" s="231"/>
    </row>
    <row r="343" spans="1:12" ht="15.75">
      <c r="A343" s="13"/>
      <c r="B343" s="1"/>
      <c r="C343" s="1" t="s">
        <v>239</v>
      </c>
      <c r="E343" s="1"/>
      <c r="F343" s="1"/>
      <c r="G343" s="1"/>
      <c r="H343" s="1"/>
      <c r="I343" s="199" t="s">
        <v>293</v>
      </c>
      <c r="J343" s="220" t="str">
        <f>'BOM 04 22Master'!F5</f>
        <v>Burgeon IT Services Pvt.Ltd.</v>
      </c>
      <c r="K343" s="202"/>
      <c r="L343" s="232"/>
    </row>
    <row r="344" spans="1:12">
      <c r="A344" s="13"/>
      <c r="B344" s="207"/>
      <c r="C344" s="176" t="s">
        <v>240</v>
      </c>
      <c r="E344" s="207"/>
      <c r="F344" s="207"/>
      <c r="H344" s="177"/>
      <c r="I344" s="223" t="str">
        <f>'BOM 04 22Master'!F6</f>
        <v>Siri Mansion LIGB 436 Dr.A S Rao Nagar,Hyderabad</v>
      </c>
      <c r="J344" s="221"/>
      <c r="K344" s="222"/>
      <c r="L344" s="186"/>
    </row>
    <row r="345" spans="1:12">
      <c r="A345" s="13"/>
      <c r="L345" s="14"/>
    </row>
    <row r="346" spans="1:12" ht="20.25" customHeight="1">
      <c r="A346" s="13">
        <v>1</v>
      </c>
      <c r="B346" s="203" t="s">
        <v>241</v>
      </c>
      <c r="C346" s="44"/>
      <c r="D346" s="44"/>
      <c r="E346" s="44"/>
      <c r="F346" s="44"/>
      <c r="G346" s="45"/>
      <c r="H346" s="913" t="e">
        <f>'BOM 04 22Master'!#REF!</f>
        <v>#REF!</v>
      </c>
      <c r="I346" s="922"/>
      <c r="J346" s="922"/>
      <c r="K346" s="922"/>
      <c r="L346" s="923"/>
    </row>
    <row r="347" spans="1:12" ht="11.25" customHeight="1">
      <c r="A347" s="13">
        <v>2</v>
      </c>
      <c r="B347" s="942" t="s">
        <v>242</v>
      </c>
      <c r="C347" s="943"/>
      <c r="D347" s="943"/>
      <c r="E347" s="943"/>
      <c r="F347" s="204" t="s">
        <v>243</v>
      </c>
      <c r="G347" s="188"/>
      <c r="H347" s="944" t="e">
        <f>'BOM 04 22Master'!#REF!</f>
        <v>#REF!</v>
      </c>
      <c r="I347" s="945"/>
      <c r="J347" s="945"/>
      <c r="K347" s="945"/>
      <c r="L347" s="946"/>
    </row>
    <row r="348" spans="1:12" ht="11.25" customHeight="1">
      <c r="A348" s="13"/>
      <c r="B348" s="189" t="s">
        <v>244</v>
      </c>
      <c r="C348" s="190"/>
      <c r="D348" s="190"/>
      <c r="E348" s="190"/>
      <c r="F348" s="190" t="s">
        <v>237</v>
      </c>
      <c r="G348" s="191"/>
      <c r="H348" s="947"/>
      <c r="I348" s="948"/>
      <c r="J348" s="948"/>
      <c r="K348" s="948"/>
      <c r="L348" s="949"/>
    </row>
    <row r="349" spans="1:12">
      <c r="A349" s="13">
        <v>3</v>
      </c>
      <c r="B349" s="205" t="s">
        <v>245</v>
      </c>
      <c r="C349" s="195"/>
      <c r="D349" s="195"/>
      <c r="E349" s="195"/>
      <c r="F349" s="195"/>
      <c r="G349" s="196"/>
      <c r="H349" s="929" t="e">
        <f>'BOM 04 22Master'!#REF!</f>
        <v>#REF!</v>
      </c>
      <c r="I349" s="930"/>
      <c r="J349" s="930"/>
      <c r="K349" s="930"/>
      <c r="L349" s="931"/>
    </row>
    <row r="350" spans="1:12">
      <c r="A350" s="13">
        <v>4</v>
      </c>
      <c r="B350" s="181" t="s">
        <v>246</v>
      </c>
      <c r="C350" s="44"/>
      <c r="D350" s="44"/>
      <c r="E350" s="44"/>
      <c r="F350" s="44"/>
      <c r="G350" s="45"/>
      <c r="H350" s="911" t="e">
        <f>'BOM 04 22Master'!#REF!</f>
        <v>#REF!</v>
      </c>
      <c r="I350" s="918"/>
      <c r="J350" s="918"/>
      <c r="K350" s="918"/>
      <c r="L350" s="912"/>
    </row>
    <row r="351" spans="1:12">
      <c r="A351" s="13">
        <v>5</v>
      </c>
      <c r="B351" s="932" t="s">
        <v>294</v>
      </c>
      <c r="C351" s="933"/>
      <c r="D351" s="933"/>
      <c r="E351" s="933"/>
      <c r="F351" s="933"/>
      <c r="G351" s="45"/>
      <c r="H351" s="921" t="s">
        <v>373</v>
      </c>
      <c r="I351" s="922"/>
      <c r="J351" s="922"/>
      <c r="K351" s="922"/>
      <c r="L351" s="923"/>
    </row>
    <row r="352" spans="1:12">
      <c r="A352" s="13">
        <v>6</v>
      </c>
      <c r="B352" s="194" t="s">
        <v>247</v>
      </c>
      <c r="C352" s="195" t="s">
        <v>248</v>
      </c>
      <c r="D352" s="195"/>
      <c r="E352" s="195"/>
      <c r="F352" s="195"/>
      <c r="G352" s="196"/>
      <c r="H352" s="205"/>
      <c r="I352" s="195"/>
      <c r="J352" s="195"/>
      <c r="K352" s="195"/>
      <c r="L352" s="233"/>
    </row>
    <row r="353" spans="1:12">
      <c r="A353" s="13"/>
      <c r="B353" s="194" t="s">
        <v>249</v>
      </c>
      <c r="C353" s="195" t="s">
        <v>250</v>
      </c>
      <c r="D353" s="195"/>
      <c r="E353" s="195"/>
      <c r="F353" s="195"/>
      <c r="G353" s="196"/>
      <c r="H353" s="205"/>
      <c r="I353" s="187"/>
      <c r="J353" s="187"/>
      <c r="K353" s="195"/>
      <c r="L353" s="233"/>
    </row>
    <row r="354" spans="1:12">
      <c r="A354" s="13">
        <v>7</v>
      </c>
      <c r="B354" s="929" t="s">
        <v>251</v>
      </c>
      <c r="C354" s="930"/>
      <c r="D354" s="930"/>
      <c r="E354" s="930"/>
      <c r="F354" s="930"/>
      <c r="G354" s="934"/>
      <c r="H354" s="209" t="s">
        <v>252</v>
      </c>
      <c r="I354" s="210"/>
      <c r="J354" s="211"/>
      <c r="K354" s="209" t="s">
        <v>253</v>
      </c>
      <c r="L354" s="234"/>
    </row>
    <row r="355" spans="1:12">
      <c r="A355" s="13">
        <v>8</v>
      </c>
      <c r="B355" s="929" t="s">
        <v>295</v>
      </c>
      <c r="C355" s="930"/>
      <c r="D355" s="930"/>
      <c r="E355" s="930"/>
      <c r="F355" s="930"/>
      <c r="G355" s="934"/>
      <c r="H355" s="209" t="s">
        <v>252</v>
      </c>
      <c r="I355" s="210"/>
      <c r="J355" s="211"/>
      <c r="K355" s="209" t="s">
        <v>253</v>
      </c>
      <c r="L355" s="234"/>
    </row>
    <row r="356" spans="1:12">
      <c r="A356" s="13"/>
      <c r="B356" s="181"/>
      <c r="C356" s="213"/>
      <c r="D356" s="213"/>
      <c r="E356" s="213"/>
      <c r="F356" s="213" t="s">
        <v>254</v>
      </c>
      <c r="G356" s="213"/>
      <c r="H356" s="213"/>
      <c r="I356" s="213"/>
      <c r="J356" s="213"/>
      <c r="K356" s="213"/>
      <c r="L356" s="235"/>
    </row>
    <row r="357" spans="1:12">
      <c r="A357" s="13">
        <v>9</v>
      </c>
      <c r="B357" s="194" t="s">
        <v>255</v>
      </c>
      <c r="C357" s="195" t="s">
        <v>256</v>
      </c>
      <c r="D357" s="195"/>
      <c r="E357" s="195"/>
      <c r="F357" s="195"/>
      <c r="G357" s="196"/>
      <c r="H357" s="205"/>
      <c r="I357" s="195"/>
      <c r="J357" s="195"/>
      <c r="K357" s="195"/>
      <c r="L357" s="233"/>
    </row>
    <row r="358" spans="1:12">
      <c r="A358" s="61"/>
      <c r="B358" s="194" t="s">
        <v>257</v>
      </c>
      <c r="C358" s="195" t="s">
        <v>258</v>
      </c>
      <c r="D358" s="195"/>
      <c r="E358" s="195"/>
      <c r="F358" s="195"/>
      <c r="G358" s="196"/>
      <c r="H358" s="205"/>
      <c r="I358" s="195"/>
      <c r="J358" s="195"/>
      <c r="K358" s="195"/>
      <c r="L358" s="233"/>
    </row>
    <row r="359" spans="1:12">
      <c r="A359" s="61"/>
      <c r="B359" s="194" t="s">
        <v>296</v>
      </c>
      <c r="C359" s="195" t="s">
        <v>297</v>
      </c>
      <c r="D359" s="195"/>
      <c r="E359" s="195"/>
      <c r="F359" s="195"/>
      <c r="G359" s="196"/>
      <c r="H359" s="205"/>
      <c r="I359" s="195"/>
      <c r="J359" s="195"/>
      <c r="K359" s="195"/>
      <c r="L359" s="233"/>
    </row>
    <row r="360" spans="1:12">
      <c r="A360" s="61"/>
      <c r="B360" s="194" t="s">
        <v>260</v>
      </c>
      <c r="C360" s="195" t="s">
        <v>261</v>
      </c>
      <c r="D360" s="195"/>
      <c r="E360" s="195"/>
      <c r="F360" s="195"/>
      <c r="G360" s="196"/>
      <c r="H360" s="205"/>
      <c r="I360" s="195"/>
      <c r="J360" s="195"/>
      <c r="K360" s="195"/>
      <c r="L360" s="233"/>
    </row>
    <row r="361" spans="1:12">
      <c r="A361" s="61"/>
      <c r="B361" s="194" t="s">
        <v>262</v>
      </c>
      <c r="C361" s="195" t="s">
        <v>263</v>
      </c>
      <c r="D361" s="195"/>
      <c r="E361" s="195"/>
      <c r="F361" s="195"/>
      <c r="G361" s="196"/>
      <c r="H361" s="205"/>
      <c r="I361" s="195"/>
      <c r="J361" s="195"/>
      <c r="K361" s="195"/>
      <c r="L361" s="233"/>
    </row>
    <row r="362" spans="1:12">
      <c r="A362" s="61">
        <v>10</v>
      </c>
      <c r="B362" s="194" t="s">
        <v>255</v>
      </c>
      <c r="C362" s="195" t="s">
        <v>298</v>
      </c>
      <c r="D362" s="195"/>
      <c r="E362" s="195"/>
      <c r="F362" s="195"/>
      <c r="G362" s="196"/>
      <c r="H362" s="209" t="s">
        <v>252</v>
      </c>
      <c r="I362" s="210"/>
      <c r="J362" s="211"/>
      <c r="K362" s="209" t="s">
        <v>253</v>
      </c>
      <c r="L362" s="234"/>
    </row>
    <row r="363" spans="1:12">
      <c r="A363" s="61"/>
      <c r="B363" s="194" t="s">
        <v>257</v>
      </c>
      <c r="C363" s="195" t="s">
        <v>299</v>
      </c>
      <c r="D363" s="195"/>
      <c r="E363" s="195"/>
      <c r="F363" s="195"/>
      <c r="G363" s="196"/>
      <c r="H363" s="205"/>
      <c r="I363" s="195"/>
      <c r="J363" s="195"/>
      <c r="K363" s="195"/>
      <c r="L363" s="233"/>
    </row>
    <row r="364" spans="1:12">
      <c r="A364" s="61"/>
      <c r="B364" s="194" t="s">
        <v>296</v>
      </c>
      <c r="C364" s="195" t="s">
        <v>264</v>
      </c>
      <c r="D364" s="195"/>
      <c r="E364" s="195"/>
      <c r="F364" s="195"/>
      <c r="G364" s="196"/>
      <c r="H364" s="205"/>
      <c r="I364" s="195"/>
      <c r="J364" s="195"/>
      <c r="K364" s="195"/>
      <c r="L364" s="233"/>
    </row>
    <row r="365" spans="1:12">
      <c r="A365" s="61"/>
      <c r="B365" s="194" t="s">
        <v>260</v>
      </c>
      <c r="C365" s="195" t="s">
        <v>300</v>
      </c>
      <c r="D365" s="195"/>
      <c r="E365" s="195"/>
      <c r="F365" s="195"/>
      <c r="G365" s="196"/>
      <c r="H365" s="205"/>
      <c r="I365" s="195"/>
      <c r="J365" s="195"/>
      <c r="K365" s="195"/>
      <c r="L365" s="233"/>
    </row>
    <row r="366" spans="1:12">
      <c r="A366" s="13"/>
      <c r="B366" s="181"/>
      <c r="C366" s="213"/>
      <c r="D366" s="213"/>
      <c r="E366" s="213" t="s">
        <v>301</v>
      </c>
      <c r="F366" s="213"/>
      <c r="G366" s="213"/>
      <c r="H366" s="213"/>
      <c r="I366" s="213"/>
      <c r="J366" s="213"/>
      <c r="K366" s="213"/>
      <c r="L366" s="235"/>
    </row>
    <row r="367" spans="1:12">
      <c r="A367" s="13">
        <v>11</v>
      </c>
      <c r="B367" s="194" t="s">
        <v>255</v>
      </c>
      <c r="C367" s="195" t="s">
        <v>265</v>
      </c>
      <c r="D367" s="195"/>
      <c r="E367" s="195"/>
      <c r="F367" s="195"/>
      <c r="G367" s="196"/>
      <c r="H367" s="205"/>
      <c r="I367" s="195"/>
      <c r="J367" s="195"/>
      <c r="K367" s="195"/>
      <c r="L367" s="233"/>
    </row>
    <row r="368" spans="1:12">
      <c r="A368" s="13"/>
      <c r="B368" s="194" t="s">
        <v>257</v>
      </c>
      <c r="C368" s="195" t="s">
        <v>266</v>
      </c>
      <c r="D368" s="195"/>
      <c r="E368" s="195"/>
      <c r="F368" s="195"/>
      <c r="G368" s="196"/>
      <c r="H368" s="205"/>
      <c r="I368" s="195"/>
      <c r="J368" s="195"/>
      <c r="K368" s="195"/>
      <c r="L368" s="233"/>
    </row>
    <row r="369" spans="1:12">
      <c r="A369" s="13"/>
      <c r="B369" s="194" t="s">
        <v>259</v>
      </c>
      <c r="C369" s="195" t="s">
        <v>267</v>
      </c>
      <c r="D369" s="195"/>
      <c r="E369" s="195"/>
      <c r="F369" s="195"/>
      <c r="G369" s="196"/>
      <c r="H369" s="205"/>
      <c r="I369" s="195"/>
      <c r="J369" s="195"/>
      <c r="K369" s="195"/>
      <c r="L369" s="233"/>
    </row>
    <row r="370" spans="1:12">
      <c r="A370" s="13"/>
      <c r="B370" s="169"/>
      <c r="C370" s="165"/>
      <c r="D370" s="165"/>
      <c r="E370" s="165"/>
      <c r="F370" s="214" t="s">
        <v>268</v>
      </c>
      <c r="G370" s="165"/>
      <c r="H370" s="154"/>
      <c r="I370" s="154"/>
      <c r="J370" s="154"/>
      <c r="K370" s="154"/>
      <c r="L370" s="172"/>
    </row>
    <row r="371" spans="1:12">
      <c r="A371" s="13"/>
      <c r="B371" s="226" t="s">
        <v>269</v>
      </c>
      <c r="C371" s="225" t="s">
        <v>270</v>
      </c>
      <c r="D371" s="165"/>
      <c r="E371" s="165"/>
      <c r="F371" s="165"/>
      <c r="G371" s="165"/>
      <c r="H371" s="154"/>
      <c r="I371" s="154"/>
      <c r="J371" s="155"/>
      <c r="K371" s="154"/>
      <c r="L371" s="172"/>
    </row>
    <row r="372" spans="1:12">
      <c r="A372" s="13"/>
      <c r="B372" s="226" t="s">
        <v>271</v>
      </c>
      <c r="C372" s="224" t="s">
        <v>272</v>
      </c>
      <c r="D372" s="154"/>
      <c r="E372" s="155"/>
      <c r="G372" s="935"/>
      <c r="H372" s="935"/>
      <c r="I372" s="170"/>
      <c r="J372" s="171"/>
      <c r="K372" s="935"/>
      <c r="L372" s="936"/>
    </row>
    <row r="373" spans="1:12">
      <c r="A373" s="13"/>
      <c r="B373" s="227" t="s">
        <v>273</v>
      </c>
      <c r="C373" s="937" t="s">
        <v>302</v>
      </c>
      <c r="D373" s="937"/>
      <c r="E373" s="937"/>
      <c r="F373" s="937"/>
      <c r="G373" s="937"/>
      <c r="H373" s="937"/>
      <c r="I373" s="937"/>
      <c r="J373" s="937"/>
      <c r="K373" s="937"/>
      <c r="L373" s="938"/>
    </row>
    <row r="374" spans="1:12" ht="27.95" customHeight="1">
      <c r="A374" s="13"/>
      <c r="B374" s="226" t="s">
        <v>274</v>
      </c>
      <c r="C374" s="225" t="s">
        <v>275</v>
      </c>
      <c r="D374" s="217"/>
      <c r="E374" s="217"/>
      <c r="F374" s="217"/>
      <c r="G374" s="217"/>
      <c r="H374" s="217"/>
      <c r="I374" s="217"/>
      <c r="J374" s="217"/>
      <c r="K374" s="217"/>
      <c r="L374" s="236"/>
    </row>
    <row r="375" spans="1:12" ht="27.95" customHeight="1">
      <c r="A375" s="13"/>
      <c r="B375" s="169"/>
      <c r="C375" t="s">
        <v>303</v>
      </c>
      <c r="D375" s="283" t="e">
        <f>'BOM 04 22Master'!#REF!</f>
        <v>#REF!</v>
      </c>
      <c r="E375" s="2"/>
      <c r="F375" s="2"/>
      <c r="G375" s="2"/>
      <c r="L375" s="14"/>
    </row>
    <row r="376" spans="1:12" ht="27.95" customHeight="1">
      <c r="A376" s="13"/>
      <c r="C376" t="s">
        <v>276</v>
      </c>
      <c r="D376" t="s">
        <v>365</v>
      </c>
      <c r="J376" t="s">
        <v>304</v>
      </c>
      <c r="L376" s="14"/>
    </row>
    <row r="377" spans="1:12" ht="27.95" customHeight="1">
      <c r="A377" s="13"/>
      <c r="F377" s="215" t="s">
        <v>277</v>
      </c>
      <c r="L377" s="14"/>
    </row>
    <row r="378" spans="1:12" ht="27.95" customHeight="1">
      <c r="A378" s="13" t="s">
        <v>305</v>
      </c>
      <c r="B378" t="s">
        <v>278</v>
      </c>
      <c r="E378" s="218" t="e">
        <f>'BOM 04 22Master'!#REF!</f>
        <v>#REF!</v>
      </c>
      <c r="H378" s="939" t="s">
        <v>279</v>
      </c>
      <c r="I378" s="939"/>
      <c r="J378" s="219" t="e">
        <f>'BOM 04 22Master'!#REF!</f>
        <v>#REF!</v>
      </c>
      <c r="K378" t="s">
        <v>280</v>
      </c>
      <c r="L378" s="14"/>
    </row>
    <row r="379" spans="1:12" ht="27.95" customHeight="1">
      <c r="A379" s="13"/>
      <c r="B379" s="950" t="e">
        <f>'BOM 04 22Master'!#REF!</f>
        <v>#REF!</v>
      </c>
      <c r="C379" s="951"/>
      <c r="D379" s="216"/>
      <c r="E379" s="216"/>
      <c r="F379" s="216"/>
      <c r="G379" s="216"/>
      <c r="H379" s="216"/>
      <c r="I379" s="216"/>
      <c r="J379" s="216"/>
      <c r="K379" s="216"/>
      <c r="L379" s="237"/>
    </row>
    <row r="380" spans="1:12" ht="27.95" customHeight="1">
      <c r="A380" s="13" t="s">
        <v>307</v>
      </c>
      <c r="B380" s="216" t="s">
        <v>281</v>
      </c>
      <c r="C380" s="216"/>
      <c r="D380" s="216"/>
      <c r="E380" s="216"/>
      <c r="F380" s="216"/>
      <c r="G380" s="216"/>
      <c r="H380" s="216"/>
      <c r="I380" s="216"/>
      <c r="J380" s="216"/>
      <c r="K380" s="216"/>
      <c r="L380" s="237"/>
    </row>
    <row r="381" spans="1:12" ht="27.95" customHeight="1">
      <c r="A381" s="13"/>
      <c r="B381" s="216" t="s">
        <v>306</v>
      </c>
      <c r="C381" s="216"/>
      <c r="D381" s="216"/>
      <c r="E381" s="216"/>
      <c r="F381" s="216"/>
      <c r="G381" s="216"/>
      <c r="H381" s="216"/>
      <c r="I381" s="216"/>
      <c r="J381" s="216"/>
      <c r="K381" s="216"/>
      <c r="L381" s="237"/>
    </row>
    <row r="382" spans="1:12" ht="27.95" customHeight="1">
      <c r="A382" s="13"/>
      <c r="B382" t="s">
        <v>282</v>
      </c>
      <c r="L382" s="14"/>
    </row>
    <row r="383" spans="1:12" ht="27.95" customHeight="1">
      <c r="A383" s="13"/>
      <c r="B383" s="2" t="s">
        <v>283</v>
      </c>
      <c r="F383" s="168"/>
      <c r="L383" s="14"/>
    </row>
    <row r="384" spans="1:12" ht="27.95" customHeight="1">
      <c r="A384" s="13"/>
      <c r="B384" s="2" t="s">
        <v>284</v>
      </c>
      <c r="L384" s="14"/>
    </row>
    <row r="385" spans="1:12" ht="27.95" customHeight="1">
      <c r="A385" s="13"/>
      <c r="B385" t="s">
        <v>285</v>
      </c>
      <c r="L385" s="14"/>
    </row>
    <row r="386" spans="1:12" ht="27.95" customHeight="1">
      <c r="A386" s="13"/>
      <c r="B386" t="s">
        <v>286</v>
      </c>
      <c r="L386" s="14"/>
    </row>
    <row r="387" spans="1:12" ht="27.95" customHeight="1">
      <c r="A387" s="13" t="s">
        <v>296</v>
      </c>
      <c r="B387" t="s">
        <v>287</v>
      </c>
      <c r="L387" s="14"/>
    </row>
    <row r="388" spans="1:12" ht="27.95" customHeight="1">
      <c r="A388" s="13"/>
      <c r="B388" s="228" t="s">
        <v>308</v>
      </c>
      <c r="L388" s="14"/>
    </row>
    <row r="389" spans="1:12" ht="27.95" customHeight="1">
      <c r="A389" s="13"/>
      <c r="B389" t="s">
        <v>282</v>
      </c>
      <c r="L389" s="14"/>
    </row>
    <row r="390" spans="1:12" ht="27.95" customHeight="1">
      <c r="A390" s="13"/>
      <c r="B390" t="s">
        <v>288</v>
      </c>
      <c r="L390" s="14"/>
    </row>
    <row r="391" spans="1:12">
      <c r="A391" s="13"/>
      <c r="B391" t="s">
        <v>289</v>
      </c>
      <c r="L391" s="14"/>
    </row>
    <row r="392" spans="1:12">
      <c r="A392" s="13"/>
      <c r="B392" s="952" t="s">
        <v>290</v>
      </c>
      <c r="C392" s="952"/>
      <c r="D392" s="952"/>
      <c r="E392" s="952"/>
      <c r="F392" s="952"/>
      <c r="G392" s="952"/>
      <c r="H392" s="952"/>
      <c r="I392" s="952"/>
      <c r="J392" s="952"/>
      <c r="K392" s="952"/>
      <c r="L392" s="953"/>
    </row>
    <row r="393" spans="1:12" ht="23.25">
      <c r="A393" s="13"/>
      <c r="B393" t="s">
        <v>202</v>
      </c>
      <c r="C393" s="278" t="e">
        <f>'BOM 04 22Master'!#REF!</f>
        <v>#REF!</v>
      </c>
      <c r="D393" s="198"/>
      <c r="E393" s="198"/>
      <c r="F393" s="198"/>
      <c r="G393" s="198"/>
      <c r="H393" s="198"/>
      <c r="I393" t="s">
        <v>309</v>
      </c>
      <c r="J393" s="198"/>
      <c r="K393" s="198"/>
      <c r="L393" s="229"/>
    </row>
    <row r="394" spans="1:12" ht="16.5" thickBot="1">
      <c r="A394" s="25"/>
      <c r="B394" s="761"/>
      <c r="C394" s="761"/>
      <c r="D394" s="761"/>
      <c r="E394" s="761"/>
      <c r="F394" s="761"/>
      <c r="G394" s="761"/>
      <c r="H394" s="761"/>
      <c r="I394" s="761"/>
      <c r="J394" s="761"/>
      <c r="K394" s="761"/>
      <c r="L394" s="762"/>
    </row>
    <row r="395" spans="1:12" ht="24" thickBot="1">
      <c r="B395" s="759"/>
      <c r="C395" s="759"/>
      <c r="D395" s="759"/>
      <c r="E395" s="759"/>
      <c r="F395" s="759"/>
      <c r="G395" s="759"/>
      <c r="H395" s="759"/>
      <c r="I395" s="759"/>
      <c r="J395" s="759"/>
      <c r="K395" s="759"/>
      <c r="L395" s="759"/>
    </row>
    <row r="396" spans="1:12">
      <c r="A396" s="50"/>
      <c r="B396" s="51"/>
      <c r="C396" s="51"/>
      <c r="D396" s="51"/>
      <c r="E396" s="51"/>
      <c r="F396" s="51"/>
      <c r="G396" s="51"/>
      <c r="H396" s="51"/>
      <c r="I396" s="55" t="s">
        <v>236</v>
      </c>
      <c r="J396" s="51"/>
      <c r="K396" s="51"/>
      <c r="L396" s="52"/>
    </row>
    <row r="397" spans="1:12" ht="15" customHeight="1">
      <c r="A397" s="13"/>
      <c r="B397" s="940" t="s">
        <v>291</v>
      </c>
      <c r="C397" s="940"/>
      <c r="D397" s="940"/>
      <c r="E397" s="940"/>
      <c r="F397" s="940"/>
      <c r="G397" s="940"/>
      <c r="H397" s="940"/>
      <c r="I397" s="940"/>
      <c r="J397" s="940"/>
      <c r="K397" s="940"/>
      <c r="L397" s="941"/>
    </row>
    <row r="398" spans="1:12" ht="23.25">
      <c r="A398" s="13"/>
      <c r="B398" s="198"/>
      <c r="C398" s="198"/>
      <c r="D398" s="206" t="s">
        <v>238</v>
      </c>
      <c r="E398" s="198"/>
      <c r="F398" s="198"/>
      <c r="G398" s="198"/>
      <c r="H398" s="198"/>
      <c r="I398" s="200" t="s">
        <v>292</v>
      </c>
      <c r="J398" s="201"/>
      <c r="K398" s="282" t="e">
        <f>'BOM 04 22Master'!#REF!</f>
        <v>#REF!</v>
      </c>
      <c r="L398" s="231"/>
    </row>
    <row r="399" spans="1:12" ht="15.75">
      <c r="A399" s="13"/>
      <c r="B399" s="1"/>
      <c r="C399" s="1" t="s">
        <v>239</v>
      </c>
      <c r="E399" s="1"/>
      <c r="F399" s="1"/>
      <c r="G399" s="1"/>
      <c r="H399" s="1"/>
      <c r="I399" s="199" t="s">
        <v>293</v>
      </c>
      <c r="J399" s="220" t="str">
        <f>'BOM 04 22Master'!F5</f>
        <v>Burgeon IT Services Pvt.Ltd.</v>
      </c>
      <c r="K399" s="202"/>
      <c r="L399" s="232"/>
    </row>
    <row r="400" spans="1:12">
      <c r="A400" s="13"/>
      <c r="B400" s="207"/>
      <c r="C400" s="176" t="s">
        <v>240</v>
      </c>
      <c r="E400" s="207"/>
      <c r="F400" s="207"/>
      <c r="H400" s="177"/>
      <c r="I400" s="223" t="str">
        <f>'BOM 04 22Master'!F6</f>
        <v>Siri Mansion LIGB 436 Dr.A S Rao Nagar,Hyderabad</v>
      </c>
      <c r="J400" s="221"/>
      <c r="K400" s="222"/>
      <c r="L400" s="186"/>
    </row>
    <row r="401" spans="1:12">
      <c r="A401" s="13"/>
      <c r="L401" s="14"/>
    </row>
    <row r="402" spans="1:12">
      <c r="A402" s="13">
        <v>1</v>
      </c>
      <c r="B402" s="203" t="s">
        <v>241</v>
      </c>
      <c r="C402" s="44"/>
      <c r="D402" s="44"/>
      <c r="E402" s="44"/>
      <c r="F402" s="44"/>
      <c r="G402" s="45"/>
      <c r="H402" s="913" t="e">
        <f>'BOM 04 22Master'!#REF!</f>
        <v>#REF!</v>
      </c>
      <c r="I402" s="922"/>
      <c r="J402" s="922"/>
      <c r="K402" s="922"/>
      <c r="L402" s="923"/>
    </row>
    <row r="403" spans="1:12">
      <c r="A403" s="13">
        <v>2</v>
      </c>
      <c r="B403" s="942" t="s">
        <v>242</v>
      </c>
      <c r="C403" s="943"/>
      <c r="D403" s="943"/>
      <c r="E403" s="943"/>
      <c r="F403" s="204" t="s">
        <v>243</v>
      </c>
      <c r="G403" s="188"/>
      <c r="H403" s="944" t="e">
        <f>'BOM 04 22Master'!#REF!</f>
        <v>#REF!</v>
      </c>
      <c r="I403" s="945"/>
      <c r="J403" s="945"/>
      <c r="K403" s="945"/>
      <c r="L403" s="946"/>
    </row>
    <row r="404" spans="1:12">
      <c r="A404" s="13"/>
      <c r="B404" s="189" t="s">
        <v>244</v>
      </c>
      <c r="C404" s="190"/>
      <c r="D404" s="190"/>
      <c r="E404" s="190"/>
      <c r="F404" s="190" t="s">
        <v>237</v>
      </c>
      <c r="G404" s="191"/>
      <c r="H404" s="947"/>
      <c r="I404" s="948"/>
      <c r="J404" s="948"/>
      <c r="K404" s="948"/>
      <c r="L404" s="949"/>
    </row>
    <row r="405" spans="1:12">
      <c r="A405" s="13">
        <v>3</v>
      </c>
      <c r="B405" s="205" t="s">
        <v>245</v>
      </c>
      <c r="C405" s="195"/>
      <c r="D405" s="195"/>
      <c r="E405" s="195"/>
      <c r="F405" s="195"/>
      <c r="G405" s="196"/>
      <c r="H405" s="929" t="e">
        <f>'BOM 04 22Master'!#REF!</f>
        <v>#REF!</v>
      </c>
      <c r="I405" s="930"/>
      <c r="J405" s="930"/>
      <c r="K405" s="930"/>
      <c r="L405" s="931"/>
    </row>
    <row r="406" spans="1:12">
      <c r="A406" s="13">
        <v>4</v>
      </c>
      <c r="B406" s="181" t="s">
        <v>246</v>
      </c>
      <c r="C406" s="44"/>
      <c r="D406" s="44"/>
      <c r="E406" s="44"/>
      <c r="F406" s="44"/>
      <c r="G406" s="45"/>
      <c r="H406" s="911" t="e">
        <f>'BOM 04 22Master'!#REF!</f>
        <v>#REF!</v>
      </c>
      <c r="I406" s="918"/>
      <c r="J406" s="918"/>
      <c r="K406" s="918"/>
      <c r="L406" s="912"/>
    </row>
    <row r="407" spans="1:12">
      <c r="A407" s="13">
        <v>5</v>
      </c>
      <c r="B407" s="932" t="s">
        <v>294</v>
      </c>
      <c r="C407" s="933"/>
      <c r="D407" s="933"/>
      <c r="E407" s="933"/>
      <c r="F407" s="933"/>
      <c r="G407" s="45"/>
      <c r="H407" s="921" t="s">
        <v>373</v>
      </c>
      <c r="I407" s="922"/>
      <c r="J407" s="922"/>
      <c r="K407" s="922"/>
      <c r="L407" s="923"/>
    </row>
    <row r="408" spans="1:12">
      <c r="A408" s="13">
        <v>6</v>
      </c>
      <c r="B408" s="194" t="s">
        <v>247</v>
      </c>
      <c r="C408" s="195" t="s">
        <v>248</v>
      </c>
      <c r="D408" s="195"/>
      <c r="E408" s="195"/>
      <c r="F408" s="195"/>
      <c r="G408" s="196"/>
      <c r="H408" s="205"/>
      <c r="I408" s="195"/>
      <c r="J408" s="195"/>
      <c r="K408" s="195"/>
      <c r="L408" s="233"/>
    </row>
    <row r="409" spans="1:12">
      <c r="A409" s="13"/>
      <c r="B409" s="194" t="s">
        <v>249</v>
      </c>
      <c r="C409" s="195" t="s">
        <v>250</v>
      </c>
      <c r="D409" s="195"/>
      <c r="E409" s="195"/>
      <c r="F409" s="195"/>
      <c r="G409" s="196"/>
      <c r="H409" s="205"/>
      <c r="I409" s="187"/>
      <c r="J409" s="187"/>
      <c r="K409" s="195"/>
      <c r="L409" s="233"/>
    </row>
    <row r="410" spans="1:12">
      <c r="A410" s="13">
        <v>7</v>
      </c>
      <c r="B410" s="929" t="s">
        <v>251</v>
      </c>
      <c r="C410" s="930"/>
      <c r="D410" s="930"/>
      <c r="E410" s="930"/>
      <c r="F410" s="930"/>
      <c r="G410" s="934"/>
      <c r="H410" s="209" t="s">
        <v>252</v>
      </c>
      <c r="I410" s="210"/>
      <c r="J410" s="211"/>
      <c r="K410" s="209" t="s">
        <v>253</v>
      </c>
      <c r="L410" s="234"/>
    </row>
    <row r="411" spans="1:12">
      <c r="A411" s="13">
        <v>8</v>
      </c>
      <c r="B411" s="929" t="s">
        <v>295</v>
      </c>
      <c r="C411" s="930"/>
      <c r="D411" s="930"/>
      <c r="E411" s="930"/>
      <c r="F411" s="930"/>
      <c r="G411" s="934"/>
      <c r="H411" s="209" t="s">
        <v>252</v>
      </c>
      <c r="I411" s="210"/>
      <c r="J411" s="211"/>
      <c r="K411" s="209" t="s">
        <v>253</v>
      </c>
      <c r="L411" s="234"/>
    </row>
    <row r="412" spans="1:12" ht="27.95" customHeight="1">
      <c r="A412" s="13"/>
      <c r="B412" s="181"/>
      <c r="C412" s="213"/>
      <c r="D412" s="213"/>
      <c r="E412" s="213"/>
      <c r="F412" s="213" t="s">
        <v>254</v>
      </c>
      <c r="G412" s="213"/>
      <c r="H412" s="213"/>
      <c r="I412" s="213"/>
      <c r="J412" s="213"/>
      <c r="K412" s="213"/>
      <c r="L412" s="235"/>
    </row>
    <row r="413" spans="1:12" ht="27.95" customHeight="1">
      <c r="A413" s="13">
        <v>9</v>
      </c>
      <c r="B413" s="194" t="s">
        <v>255</v>
      </c>
      <c r="C413" s="195" t="s">
        <v>256</v>
      </c>
      <c r="D413" s="195"/>
      <c r="E413" s="195"/>
      <c r="F413" s="195"/>
      <c r="G413" s="196"/>
      <c r="H413" s="205"/>
      <c r="I413" s="195"/>
      <c r="J413" s="195"/>
      <c r="K413" s="195"/>
      <c r="L413" s="233"/>
    </row>
    <row r="414" spans="1:12" ht="27.95" customHeight="1">
      <c r="A414" s="61"/>
      <c r="B414" s="194" t="s">
        <v>257</v>
      </c>
      <c r="C414" s="195" t="s">
        <v>258</v>
      </c>
      <c r="D414" s="195"/>
      <c r="E414" s="195"/>
      <c r="F414" s="195"/>
      <c r="G414" s="196"/>
      <c r="H414" s="205"/>
      <c r="I414" s="195"/>
      <c r="J414" s="195"/>
      <c r="K414" s="195"/>
      <c r="L414" s="233"/>
    </row>
    <row r="415" spans="1:12" ht="27.95" customHeight="1">
      <c r="A415" s="61"/>
      <c r="B415" s="194" t="s">
        <v>296</v>
      </c>
      <c r="C415" s="195" t="s">
        <v>297</v>
      </c>
      <c r="D415" s="195"/>
      <c r="E415" s="195"/>
      <c r="F415" s="195"/>
      <c r="G415" s="196"/>
      <c r="H415" s="205"/>
      <c r="I415" s="195"/>
      <c r="J415" s="195"/>
      <c r="K415" s="195"/>
      <c r="L415" s="233"/>
    </row>
    <row r="416" spans="1:12" ht="27.95" customHeight="1">
      <c r="A416" s="61"/>
      <c r="B416" s="194" t="s">
        <v>260</v>
      </c>
      <c r="C416" s="195" t="s">
        <v>261</v>
      </c>
      <c r="D416" s="195"/>
      <c r="E416" s="195"/>
      <c r="F416" s="195"/>
      <c r="G416" s="196"/>
      <c r="H416" s="205"/>
      <c r="I416" s="195"/>
      <c r="J416" s="195"/>
      <c r="K416" s="195"/>
      <c r="L416" s="233"/>
    </row>
    <row r="417" spans="1:12" ht="27.95" customHeight="1">
      <c r="A417" s="61"/>
      <c r="B417" s="194" t="s">
        <v>262</v>
      </c>
      <c r="C417" s="195" t="s">
        <v>263</v>
      </c>
      <c r="D417" s="195"/>
      <c r="E417" s="195"/>
      <c r="F417" s="195"/>
      <c r="G417" s="196"/>
      <c r="H417" s="205"/>
      <c r="I417" s="195"/>
      <c r="J417" s="195"/>
      <c r="K417" s="195"/>
      <c r="L417" s="233"/>
    </row>
    <row r="418" spans="1:12" ht="27.95" customHeight="1">
      <c r="A418" s="61">
        <v>10</v>
      </c>
      <c r="B418" s="194" t="s">
        <v>255</v>
      </c>
      <c r="C418" s="195" t="s">
        <v>298</v>
      </c>
      <c r="D418" s="195"/>
      <c r="E418" s="195"/>
      <c r="F418" s="195"/>
      <c r="G418" s="196"/>
      <c r="H418" s="209" t="s">
        <v>252</v>
      </c>
      <c r="I418" s="210"/>
      <c r="J418" s="211"/>
      <c r="K418" s="209" t="s">
        <v>253</v>
      </c>
      <c r="L418" s="234"/>
    </row>
    <row r="419" spans="1:12" ht="27.95" customHeight="1">
      <c r="A419" s="61"/>
      <c r="B419" s="194" t="s">
        <v>257</v>
      </c>
      <c r="C419" s="195" t="s">
        <v>299</v>
      </c>
      <c r="D419" s="195"/>
      <c r="E419" s="195"/>
      <c r="F419" s="195"/>
      <c r="G419" s="196"/>
      <c r="H419" s="205"/>
      <c r="I419" s="195"/>
      <c r="J419" s="195"/>
      <c r="K419" s="195"/>
      <c r="L419" s="233"/>
    </row>
    <row r="420" spans="1:12" ht="27.95" customHeight="1">
      <c r="A420" s="61"/>
      <c r="B420" s="194" t="s">
        <v>296</v>
      </c>
      <c r="C420" s="195" t="s">
        <v>264</v>
      </c>
      <c r="D420" s="195"/>
      <c r="E420" s="195"/>
      <c r="F420" s="195"/>
      <c r="G420" s="196"/>
      <c r="H420" s="205"/>
      <c r="I420" s="195"/>
      <c r="J420" s="195"/>
      <c r="K420" s="195"/>
      <c r="L420" s="233"/>
    </row>
    <row r="421" spans="1:12" ht="27.95" customHeight="1">
      <c r="A421" s="61"/>
      <c r="B421" s="194" t="s">
        <v>260</v>
      </c>
      <c r="C421" s="195" t="s">
        <v>300</v>
      </c>
      <c r="D421" s="195"/>
      <c r="E421" s="195"/>
      <c r="F421" s="195"/>
      <c r="G421" s="196"/>
      <c r="H421" s="205"/>
      <c r="I421" s="195"/>
      <c r="J421" s="195"/>
      <c r="K421" s="195"/>
      <c r="L421" s="233"/>
    </row>
    <row r="422" spans="1:12" ht="27.95" customHeight="1">
      <c r="A422" s="13"/>
      <c r="B422" s="181"/>
      <c r="C422" s="213"/>
      <c r="D422" s="213"/>
      <c r="E422" s="213" t="s">
        <v>301</v>
      </c>
      <c r="F422" s="213"/>
      <c r="G422" s="213"/>
      <c r="H422" s="213"/>
      <c r="I422" s="213"/>
      <c r="J422" s="213"/>
      <c r="K422" s="213"/>
      <c r="L422" s="235"/>
    </row>
    <row r="423" spans="1:12" ht="27.95" customHeight="1">
      <c r="A423" s="13">
        <v>11</v>
      </c>
      <c r="B423" s="194" t="s">
        <v>255</v>
      </c>
      <c r="C423" s="195" t="s">
        <v>265</v>
      </c>
      <c r="D423" s="195"/>
      <c r="E423" s="195"/>
      <c r="F423" s="195"/>
      <c r="G423" s="196"/>
      <c r="H423" s="205"/>
      <c r="I423" s="195"/>
      <c r="J423" s="195"/>
      <c r="K423" s="195"/>
      <c r="L423" s="233"/>
    </row>
    <row r="424" spans="1:12" ht="27.95" customHeight="1">
      <c r="A424" s="13"/>
      <c r="B424" s="194" t="s">
        <v>257</v>
      </c>
      <c r="C424" s="195" t="s">
        <v>266</v>
      </c>
      <c r="D424" s="195"/>
      <c r="E424" s="195"/>
      <c r="F424" s="195"/>
      <c r="G424" s="196"/>
      <c r="H424" s="205"/>
      <c r="I424" s="195"/>
      <c r="J424" s="195"/>
      <c r="K424" s="195"/>
      <c r="L424" s="233"/>
    </row>
    <row r="425" spans="1:12" ht="27.95" customHeight="1">
      <c r="A425" s="13"/>
      <c r="B425" s="194" t="s">
        <v>259</v>
      </c>
      <c r="C425" s="195" t="s">
        <v>267</v>
      </c>
      <c r="D425" s="195"/>
      <c r="E425" s="195"/>
      <c r="F425" s="195"/>
      <c r="G425" s="196"/>
      <c r="H425" s="205"/>
      <c r="I425" s="195"/>
      <c r="J425" s="195"/>
      <c r="K425" s="195"/>
      <c r="L425" s="233"/>
    </row>
    <row r="426" spans="1:12" ht="27.95" customHeight="1">
      <c r="A426" s="13"/>
      <c r="B426" s="169"/>
      <c r="C426" s="165"/>
      <c r="D426" s="165"/>
      <c r="E426" s="165"/>
      <c r="F426" s="214" t="s">
        <v>268</v>
      </c>
      <c r="G426" s="165"/>
      <c r="H426" s="154"/>
      <c r="I426" s="154"/>
      <c r="J426" s="154"/>
      <c r="K426" s="154"/>
      <c r="L426" s="172"/>
    </row>
    <row r="427" spans="1:12" ht="27.95" customHeight="1">
      <c r="A427" s="13"/>
      <c r="B427" s="226" t="s">
        <v>269</v>
      </c>
      <c r="C427" s="225" t="s">
        <v>270</v>
      </c>
      <c r="D427" s="165"/>
      <c r="E427" s="165"/>
      <c r="F427" s="165"/>
      <c r="G427" s="165"/>
      <c r="H427" s="154"/>
      <c r="I427" s="154"/>
      <c r="J427" s="155"/>
      <c r="K427" s="154"/>
      <c r="L427" s="172"/>
    </row>
    <row r="428" spans="1:12" ht="27.95" customHeight="1">
      <c r="A428" s="13"/>
      <c r="B428" s="226" t="s">
        <v>271</v>
      </c>
      <c r="C428" s="224" t="s">
        <v>272</v>
      </c>
      <c r="D428" s="154"/>
      <c r="E428" s="155"/>
      <c r="G428" s="935"/>
      <c r="H428" s="935"/>
      <c r="I428" s="170"/>
      <c r="J428" s="171"/>
      <c r="K428" s="935"/>
      <c r="L428" s="936"/>
    </row>
    <row r="429" spans="1:12" ht="27.95" customHeight="1">
      <c r="A429" s="13"/>
      <c r="B429" s="227" t="s">
        <v>273</v>
      </c>
      <c r="C429" s="937" t="s">
        <v>302</v>
      </c>
      <c r="D429" s="937"/>
      <c r="E429" s="937"/>
      <c r="F429" s="937"/>
      <c r="G429" s="937"/>
      <c r="H429" s="937"/>
      <c r="I429" s="937"/>
      <c r="J429" s="937"/>
      <c r="K429" s="937"/>
      <c r="L429" s="938"/>
    </row>
    <row r="430" spans="1:12">
      <c r="A430" s="13"/>
      <c r="B430" s="226" t="s">
        <v>274</v>
      </c>
      <c r="C430" s="225" t="s">
        <v>275</v>
      </c>
      <c r="D430" s="217"/>
      <c r="E430" s="217"/>
      <c r="F430" s="217"/>
      <c r="G430" s="217"/>
      <c r="H430" s="217"/>
      <c r="I430" s="217"/>
      <c r="J430" s="217"/>
      <c r="K430" s="217"/>
      <c r="L430" s="236"/>
    </row>
    <row r="431" spans="1:12">
      <c r="A431" s="13"/>
      <c r="B431" s="169"/>
      <c r="C431" t="s">
        <v>303</v>
      </c>
      <c r="D431" s="283" t="e">
        <f>'BOM 04 22Master'!#REF!</f>
        <v>#REF!</v>
      </c>
      <c r="E431" s="2"/>
      <c r="F431" s="2"/>
      <c r="G431" s="2"/>
      <c r="L431" s="14"/>
    </row>
    <row r="432" spans="1:12">
      <c r="A432" s="13"/>
      <c r="C432" t="s">
        <v>276</v>
      </c>
      <c r="D432" t="s">
        <v>365</v>
      </c>
      <c r="J432" t="s">
        <v>304</v>
      </c>
      <c r="L432" s="14"/>
    </row>
    <row r="433" spans="1:12">
      <c r="A433" s="13"/>
      <c r="F433" s="215" t="s">
        <v>277</v>
      </c>
      <c r="L433" s="14"/>
    </row>
    <row r="434" spans="1:12">
      <c r="A434" s="13" t="s">
        <v>305</v>
      </c>
      <c r="B434" t="s">
        <v>278</v>
      </c>
      <c r="E434" s="218" t="e">
        <f>'BOM 04 22Master'!#REF!</f>
        <v>#REF!</v>
      </c>
      <c r="H434" s="939" t="s">
        <v>279</v>
      </c>
      <c r="I434" s="939"/>
      <c r="J434" s="219" t="e">
        <f>'BOM 04 22Master'!#REF!</f>
        <v>#REF!</v>
      </c>
      <c r="K434" t="s">
        <v>280</v>
      </c>
      <c r="L434" s="14"/>
    </row>
    <row r="435" spans="1:12">
      <c r="A435" s="13"/>
      <c r="B435" s="950" t="e">
        <f>'BOM 04 22Master'!#REF!</f>
        <v>#REF!</v>
      </c>
      <c r="C435" s="951"/>
      <c r="D435" s="216"/>
      <c r="E435" s="216"/>
      <c r="F435" s="216"/>
      <c r="G435" s="216"/>
      <c r="H435" s="216"/>
      <c r="I435" s="216"/>
      <c r="J435" s="216"/>
      <c r="K435" s="216"/>
      <c r="L435" s="237"/>
    </row>
    <row r="436" spans="1:12" ht="15" customHeight="1">
      <c r="A436" s="13" t="s">
        <v>307</v>
      </c>
      <c r="B436" s="216" t="s">
        <v>281</v>
      </c>
      <c r="C436" s="216"/>
      <c r="D436" s="216"/>
      <c r="E436" s="216"/>
      <c r="F436" s="216"/>
      <c r="G436" s="216"/>
      <c r="H436" s="216"/>
      <c r="I436" s="216"/>
      <c r="J436" s="216"/>
      <c r="K436" s="216"/>
      <c r="L436" s="237"/>
    </row>
    <row r="437" spans="1:12">
      <c r="A437" s="13"/>
      <c r="B437" s="216" t="s">
        <v>306</v>
      </c>
      <c r="C437" s="216"/>
      <c r="D437" s="216"/>
      <c r="E437" s="216"/>
      <c r="F437" s="216"/>
      <c r="G437" s="216"/>
      <c r="H437" s="216"/>
      <c r="I437" s="216"/>
      <c r="J437" s="216"/>
      <c r="K437" s="216"/>
      <c r="L437" s="237"/>
    </row>
    <row r="438" spans="1:12">
      <c r="A438" s="13"/>
      <c r="B438" t="s">
        <v>282</v>
      </c>
      <c r="L438" s="14"/>
    </row>
    <row r="439" spans="1:12" ht="18.75">
      <c r="A439" s="13"/>
      <c r="B439" s="2" t="s">
        <v>283</v>
      </c>
      <c r="F439" s="168"/>
      <c r="L439" s="14"/>
    </row>
    <row r="440" spans="1:12">
      <c r="A440" s="13"/>
      <c r="B440" s="2" t="s">
        <v>284</v>
      </c>
      <c r="L440" s="14"/>
    </row>
    <row r="441" spans="1:12">
      <c r="A441" s="13"/>
      <c r="B441" t="s">
        <v>285</v>
      </c>
      <c r="L441" s="14"/>
    </row>
    <row r="442" spans="1:12">
      <c r="A442" s="13"/>
      <c r="B442" t="s">
        <v>286</v>
      </c>
      <c r="L442" s="14"/>
    </row>
    <row r="443" spans="1:12">
      <c r="A443" s="13" t="s">
        <v>296</v>
      </c>
      <c r="B443" t="s">
        <v>287</v>
      </c>
      <c r="L443" s="14"/>
    </row>
    <row r="444" spans="1:12">
      <c r="A444" s="13"/>
      <c r="B444" s="228" t="s">
        <v>308</v>
      </c>
      <c r="L444" s="14"/>
    </row>
    <row r="445" spans="1:12">
      <c r="A445" s="13"/>
      <c r="B445" t="s">
        <v>282</v>
      </c>
      <c r="L445" s="14"/>
    </row>
    <row r="446" spans="1:12">
      <c r="A446" s="13"/>
      <c r="B446" t="s">
        <v>288</v>
      </c>
      <c r="L446" s="14"/>
    </row>
    <row r="447" spans="1:12">
      <c r="A447" s="13"/>
      <c r="B447" t="s">
        <v>289</v>
      </c>
      <c r="L447" s="14"/>
    </row>
    <row r="448" spans="1:12">
      <c r="A448" s="13"/>
      <c r="B448" s="952" t="s">
        <v>290</v>
      </c>
      <c r="C448" s="952"/>
      <c r="D448" s="952"/>
      <c r="E448" s="952"/>
      <c r="F448" s="952"/>
      <c r="G448" s="952"/>
      <c r="H448" s="952"/>
      <c r="I448" s="952"/>
      <c r="J448" s="952"/>
      <c r="K448" s="952"/>
      <c r="L448" s="953"/>
    </row>
    <row r="449" spans="1:12" ht="23.25">
      <c r="A449" s="13"/>
      <c r="B449" t="s">
        <v>202</v>
      </c>
      <c r="C449" s="278" t="e">
        <f>'BOM 04 22Master'!#REF!</f>
        <v>#REF!</v>
      </c>
      <c r="D449" s="198"/>
      <c r="E449" s="198"/>
      <c r="F449" s="198"/>
      <c r="G449" s="198"/>
      <c r="H449" s="198"/>
      <c r="I449" t="s">
        <v>309</v>
      </c>
      <c r="J449" s="198"/>
      <c r="K449" s="198"/>
      <c r="L449" s="229"/>
    </row>
    <row r="450" spans="1:12" ht="16.5" thickBot="1">
      <c r="A450" s="25"/>
      <c r="B450" s="761"/>
      <c r="C450" s="761"/>
      <c r="D450" s="761"/>
      <c r="E450" s="761"/>
      <c r="F450" s="761"/>
      <c r="G450" s="761"/>
      <c r="H450" s="761"/>
      <c r="I450" s="761"/>
      <c r="J450" s="761"/>
      <c r="K450" s="761"/>
      <c r="L450" s="762"/>
    </row>
    <row r="451" spans="1:12" ht="21.75" customHeight="1">
      <c r="A451" s="50"/>
      <c r="B451" s="51"/>
      <c r="C451" s="51"/>
      <c r="D451" s="51"/>
      <c r="E451" s="51"/>
      <c r="F451" s="51"/>
      <c r="G451" s="51"/>
      <c r="H451" s="51"/>
      <c r="I451" s="55" t="s">
        <v>236</v>
      </c>
      <c r="J451" s="51"/>
      <c r="K451" s="51"/>
      <c r="L451" s="52"/>
    </row>
    <row r="452" spans="1:12" ht="12" customHeight="1">
      <c r="A452" s="13"/>
      <c r="B452" s="940" t="s">
        <v>291</v>
      </c>
      <c r="C452" s="940"/>
      <c r="D452" s="940"/>
      <c r="E452" s="940"/>
      <c r="F452" s="940"/>
      <c r="G452" s="940"/>
      <c r="H452" s="940"/>
      <c r="I452" s="940"/>
      <c r="J452" s="940"/>
      <c r="K452" s="940"/>
      <c r="L452" s="941"/>
    </row>
    <row r="453" spans="1:12" ht="27.95" customHeight="1">
      <c r="A453" s="13"/>
      <c r="B453" s="198"/>
      <c r="C453" s="198"/>
      <c r="D453" s="206" t="s">
        <v>238</v>
      </c>
      <c r="E453" s="198"/>
      <c r="F453" s="198"/>
      <c r="G453" s="198"/>
      <c r="H453" s="198"/>
      <c r="I453" s="200" t="s">
        <v>292</v>
      </c>
      <c r="J453" s="201"/>
      <c r="K453" s="282" t="e">
        <f>'BOM 04 22Master'!#REF!</f>
        <v>#REF!</v>
      </c>
      <c r="L453" s="231"/>
    </row>
    <row r="454" spans="1:12" ht="27.95" customHeight="1">
      <c r="A454" s="13"/>
      <c r="B454" s="1"/>
      <c r="C454" s="1" t="s">
        <v>239</v>
      </c>
      <c r="E454" s="1"/>
      <c r="F454" s="1"/>
      <c r="G454" s="1"/>
      <c r="H454" s="1"/>
      <c r="I454" s="199" t="s">
        <v>293</v>
      </c>
      <c r="J454" s="220" t="str">
        <f>'BOM 04 22Master'!F5</f>
        <v>Burgeon IT Services Pvt.Ltd.</v>
      </c>
      <c r="K454" s="202"/>
      <c r="L454" s="232"/>
    </row>
    <row r="455" spans="1:12" ht="24" customHeight="1">
      <c r="A455" s="13"/>
      <c r="B455" s="207"/>
      <c r="C455" s="176" t="s">
        <v>240</v>
      </c>
      <c r="E455" s="207"/>
      <c r="F455" s="207"/>
      <c r="H455" s="177"/>
      <c r="I455" s="223" t="str">
        <f>'BOM 04 22Master'!F6</f>
        <v>Siri Mansion LIGB 436 Dr.A S Rao Nagar,Hyderabad</v>
      </c>
      <c r="J455" s="221"/>
      <c r="K455" s="222"/>
      <c r="L455" s="186"/>
    </row>
    <row r="456" spans="1:12" ht="27.95" customHeight="1">
      <c r="A456" s="13">
        <v>1</v>
      </c>
      <c r="B456" s="203" t="s">
        <v>241</v>
      </c>
      <c r="C456" s="44"/>
      <c r="D456" s="44"/>
      <c r="E456" s="44"/>
      <c r="F456" s="44"/>
      <c r="G456" s="45"/>
      <c r="H456" s="913" t="e">
        <f>'BOM 04 22Master'!#REF!</f>
        <v>#REF!</v>
      </c>
      <c r="I456" s="922"/>
      <c r="J456" s="922"/>
      <c r="K456" s="922"/>
      <c r="L456" s="923"/>
    </row>
    <row r="457" spans="1:12" ht="21" customHeight="1">
      <c r="A457" s="13">
        <v>2</v>
      </c>
      <c r="B457" s="942" t="s">
        <v>242</v>
      </c>
      <c r="C457" s="943"/>
      <c r="D457" s="943"/>
      <c r="E457" s="943"/>
      <c r="F457" s="204" t="s">
        <v>243</v>
      </c>
      <c r="G457" s="188"/>
      <c r="H457" s="944" t="e">
        <f>'BOM 04 22Master'!#REF!</f>
        <v>#REF!</v>
      </c>
      <c r="I457" s="945"/>
      <c r="J457" s="945"/>
      <c r="K457" s="945"/>
      <c r="L457" s="946"/>
    </row>
    <row r="458" spans="1:12" ht="12" customHeight="1">
      <c r="A458" s="13"/>
      <c r="B458" s="189" t="s">
        <v>244</v>
      </c>
      <c r="C458" s="190"/>
      <c r="D458" s="190"/>
      <c r="E458" s="190"/>
      <c r="F458" s="190" t="s">
        <v>237</v>
      </c>
      <c r="G458" s="191"/>
      <c r="H458" s="947"/>
      <c r="I458" s="948"/>
      <c r="J458" s="948"/>
      <c r="K458" s="948"/>
      <c r="L458" s="949"/>
    </row>
    <row r="459" spans="1:12" ht="27.95" customHeight="1">
      <c r="A459" s="13">
        <v>3</v>
      </c>
      <c r="B459" s="205" t="s">
        <v>245</v>
      </c>
      <c r="C459" s="195"/>
      <c r="D459" s="195"/>
      <c r="E459" s="195"/>
      <c r="F459" s="195"/>
      <c r="G459" s="196"/>
      <c r="H459" s="929" t="e">
        <f>'BOM 04 22Master'!#REF!</f>
        <v>#REF!</v>
      </c>
      <c r="I459" s="930"/>
      <c r="J459" s="930"/>
      <c r="K459" s="930"/>
      <c r="L459" s="931"/>
    </row>
    <row r="460" spans="1:12" ht="23.25" customHeight="1">
      <c r="A460" s="13">
        <v>4</v>
      </c>
      <c r="B460" s="181" t="s">
        <v>246</v>
      </c>
      <c r="C460" s="44"/>
      <c r="D460" s="44"/>
      <c r="E460" s="44"/>
      <c r="F460" s="44"/>
      <c r="G460" s="45"/>
      <c r="H460" s="911" t="e">
        <f>'BOM 04 22Master'!#REF!</f>
        <v>#REF!</v>
      </c>
      <c r="I460" s="918"/>
      <c r="J460" s="918"/>
      <c r="K460" s="918"/>
      <c r="L460" s="912"/>
    </row>
    <row r="461" spans="1:12" ht="27.95" customHeight="1">
      <c r="A461" s="13">
        <v>5</v>
      </c>
      <c r="B461" s="932" t="s">
        <v>294</v>
      </c>
      <c r="C461" s="933"/>
      <c r="D461" s="933"/>
      <c r="E461" s="933"/>
      <c r="F461" s="933"/>
      <c r="G461" s="45"/>
      <c r="H461" s="921" t="s">
        <v>373</v>
      </c>
      <c r="I461" s="922"/>
      <c r="J461" s="922"/>
      <c r="K461" s="922"/>
      <c r="L461" s="923"/>
    </row>
    <row r="462" spans="1:12" ht="27.95" customHeight="1">
      <c r="A462" s="13">
        <v>6</v>
      </c>
      <c r="B462" s="194" t="s">
        <v>247</v>
      </c>
      <c r="C462" s="195" t="s">
        <v>248</v>
      </c>
      <c r="D462" s="195"/>
      <c r="E462" s="195"/>
      <c r="F462" s="195"/>
      <c r="G462" s="196"/>
      <c r="H462" s="205"/>
      <c r="I462" s="195"/>
      <c r="J462" s="195"/>
      <c r="K462" s="195"/>
      <c r="L462" s="233"/>
    </row>
    <row r="463" spans="1:12" ht="27.95" customHeight="1">
      <c r="A463" s="13"/>
      <c r="B463" s="194" t="s">
        <v>249</v>
      </c>
      <c r="C463" s="195" t="s">
        <v>250</v>
      </c>
      <c r="D463" s="195"/>
      <c r="E463" s="195"/>
      <c r="F463" s="195"/>
      <c r="G463" s="196"/>
      <c r="H463" s="205"/>
      <c r="I463" s="187"/>
      <c r="J463" s="187"/>
      <c r="K463" s="195"/>
      <c r="L463" s="233"/>
    </row>
    <row r="464" spans="1:12" ht="27.95" customHeight="1">
      <c r="A464" s="13">
        <v>7</v>
      </c>
      <c r="B464" s="929" t="s">
        <v>251</v>
      </c>
      <c r="C464" s="930"/>
      <c r="D464" s="930"/>
      <c r="E464" s="930"/>
      <c r="F464" s="930"/>
      <c r="G464" s="934"/>
      <c r="H464" s="209" t="s">
        <v>252</v>
      </c>
      <c r="I464" s="210"/>
      <c r="J464" s="211"/>
      <c r="K464" s="209" t="s">
        <v>253</v>
      </c>
      <c r="L464" s="234"/>
    </row>
    <row r="465" spans="1:12" ht="27.95" customHeight="1">
      <c r="A465" s="13">
        <v>8</v>
      </c>
      <c r="B465" s="929" t="s">
        <v>295</v>
      </c>
      <c r="C465" s="930"/>
      <c r="D465" s="930"/>
      <c r="E465" s="930"/>
      <c r="F465" s="930"/>
      <c r="G465" s="934"/>
      <c r="H465" s="209" t="s">
        <v>252</v>
      </c>
      <c r="I465" s="210"/>
      <c r="J465" s="211"/>
      <c r="K465" s="209" t="s">
        <v>253</v>
      </c>
      <c r="L465" s="234"/>
    </row>
    <row r="466" spans="1:12" ht="27.95" customHeight="1">
      <c r="A466" s="13"/>
      <c r="B466" s="181"/>
      <c r="C466" s="213"/>
      <c r="D466" s="213"/>
      <c r="E466" s="213"/>
      <c r="F466" s="213" t="s">
        <v>254</v>
      </c>
      <c r="G466" s="213"/>
      <c r="H466" s="213"/>
      <c r="I466" s="213"/>
      <c r="J466" s="213"/>
      <c r="K466" s="213"/>
      <c r="L466" s="235"/>
    </row>
    <row r="467" spans="1:12" ht="27.95" customHeight="1">
      <c r="A467" s="13">
        <v>9</v>
      </c>
      <c r="B467" s="194" t="s">
        <v>255</v>
      </c>
      <c r="C467" s="195" t="s">
        <v>256</v>
      </c>
      <c r="D467" s="195"/>
      <c r="E467" s="195"/>
      <c r="F467" s="195"/>
      <c r="G467" s="196"/>
      <c r="H467" s="205"/>
      <c r="I467" s="195"/>
      <c r="J467" s="195"/>
      <c r="K467" s="195"/>
      <c r="L467" s="233"/>
    </row>
    <row r="468" spans="1:12">
      <c r="A468" s="61"/>
      <c r="B468" s="194" t="s">
        <v>257</v>
      </c>
      <c r="C468" s="195" t="s">
        <v>258</v>
      </c>
      <c r="D468" s="195"/>
      <c r="E468" s="195"/>
      <c r="F468" s="195"/>
      <c r="G468" s="196"/>
      <c r="H468" s="205"/>
      <c r="I468" s="195"/>
      <c r="J468" s="195"/>
      <c r="K468" s="195"/>
      <c r="L468" s="233"/>
    </row>
    <row r="469" spans="1:12">
      <c r="A469" s="61"/>
      <c r="B469" s="194" t="s">
        <v>296</v>
      </c>
      <c r="C469" s="195" t="s">
        <v>297</v>
      </c>
      <c r="D469" s="195"/>
      <c r="E469" s="195"/>
      <c r="F469" s="195"/>
      <c r="G469" s="196"/>
      <c r="H469" s="205"/>
      <c r="I469" s="195"/>
      <c r="J469" s="195"/>
      <c r="K469" s="195"/>
      <c r="L469" s="233"/>
    </row>
    <row r="470" spans="1:12">
      <c r="A470" s="61"/>
      <c r="B470" s="194" t="s">
        <v>260</v>
      </c>
      <c r="C470" s="195" t="s">
        <v>261</v>
      </c>
      <c r="D470" s="195"/>
      <c r="E470" s="195"/>
      <c r="F470" s="195"/>
      <c r="G470" s="196"/>
      <c r="H470" s="205"/>
      <c r="I470" s="195"/>
      <c r="J470" s="195"/>
      <c r="K470" s="195"/>
      <c r="L470" s="233"/>
    </row>
    <row r="471" spans="1:12">
      <c r="A471" s="61"/>
      <c r="B471" s="194" t="s">
        <v>262</v>
      </c>
      <c r="C471" s="195" t="s">
        <v>263</v>
      </c>
      <c r="D471" s="195"/>
      <c r="E471" s="195"/>
      <c r="F471" s="195"/>
      <c r="G471" s="196"/>
      <c r="H471" s="205"/>
      <c r="I471" s="195"/>
      <c r="J471" s="195"/>
      <c r="K471" s="195"/>
      <c r="L471" s="233"/>
    </row>
    <row r="472" spans="1:12">
      <c r="A472" s="61">
        <v>10</v>
      </c>
      <c r="B472" s="194" t="s">
        <v>255</v>
      </c>
      <c r="C472" s="195" t="s">
        <v>298</v>
      </c>
      <c r="D472" s="195"/>
      <c r="E472" s="195"/>
      <c r="F472" s="195"/>
      <c r="G472" s="196"/>
      <c r="H472" s="209" t="s">
        <v>252</v>
      </c>
      <c r="I472" s="210"/>
      <c r="J472" s="211"/>
      <c r="K472" s="209" t="s">
        <v>253</v>
      </c>
      <c r="L472" s="234"/>
    </row>
    <row r="473" spans="1:12" ht="15" customHeight="1">
      <c r="A473" s="61"/>
      <c r="B473" s="194" t="s">
        <v>257</v>
      </c>
      <c r="C473" s="195" t="s">
        <v>299</v>
      </c>
      <c r="D473" s="195"/>
      <c r="E473" s="195"/>
      <c r="F473" s="195"/>
      <c r="G473" s="196"/>
      <c r="H473" s="205"/>
      <c r="I473" s="195"/>
      <c r="J473" s="195"/>
      <c r="K473" s="195"/>
      <c r="L473" s="233"/>
    </row>
    <row r="474" spans="1:12">
      <c r="A474" s="61"/>
      <c r="B474" s="194" t="s">
        <v>296</v>
      </c>
      <c r="C474" s="195" t="s">
        <v>264</v>
      </c>
      <c r="D474" s="195"/>
      <c r="E474" s="195"/>
      <c r="F474" s="195"/>
      <c r="G474" s="196"/>
      <c r="H474" s="205"/>
      <c r="I474" s="195"/>
      <c r="J474" s="195"/>
      <c r="K474" s="195"/>
      <c r="L474" s="233"/>
    </row>
    <row r="475" spans="1:12">
      <c r="A475" s="61"/>
      <c r="B475" s="194" t="s">
        <v>260</v>
      </c>
      <c r="C475" s="195" t="s">
        <v>300</v>
      </c>
      <c r="D475" s="195"/>
      <c r="E475" s="195"/>
      <c r="F475" s="195"/>
      <c r="G475" s="196"/>
      <c r="H475" s="205"/>
      <c r="I475" s="195"/>
      <c r="J475" s="195"/>
      <c r="K475" s="195"/>
      <c r="L475" s="233"/>
    </row>
    <row r="476" spans="1:12">
      <c r="A476" s="13"/>
      <c r="B476" s="181"/>
      <c r="C476" s="213"/>
      <c r="D476" s="213"/>
      <c r="E476" s="213" t="s">
        <v>301</v>
      </c>
      <c r="F476" s="213"/>
      <c r="G476" s="213"/>
      <c r="H476" s="213"/>
      <c r="I476" s="213"/>
      <c r="J476" s="213"/>
      <c r="K476" s="213"/>
      <c r="L476" s="235"/>
    </row>
    <row r="477" spans="1:12">
      <c r="A477" s="13">
        <v>11</v>
      </c>
      <c r="B477" s="194" t="s">
        <v>255</v>
      </c>
      <c r="C477" s="195" t="s">
        <v>265</v>
      </c>
      <c r="D477" s="195"/>
      <c r="E477" s="195"/>
      <c r="F477" s="195"/>
      <c r="G477" s="196"/>
      <c r="H477" s="205"/>
      <c r="I477" s="195"/>
      <c r="J477" s="195"/>
      <c r="K477" s="195"/>
      <c r="L477" s="233"/>
    </row>
    <row r="478" spans="1:12">
      <c r="A478" s="13"/>
      <c r="B478" s="194" t="s">
        <v>257</v>
      </c>
      <c r="C478" s="195" t="s">
        <v>266</v>
      </c>
      <c r="D478" s="195"/>
      <c r="E478" s="195"/>
      <c r="F478" s="195"/>
      <c r="G478" s="196"/>
      <c r="H478" s="205"/>
      <c r="I478" s="195"/>
      <c r="J478" s="195"/>
      <c r="K478" s="195"/>
      <c r="L478" s="233"/>
    </row>
    <row r="479" spans="1:12">
      <c r="A479" s="13"/>
      <c r="B479" s="194" t="s">
        <v>259</v>
      </c>
      <c r="C479" s="195" t="s">
        <v>267</v>
      </c>
      <c r="D479" s="195"/>
      <c r="E479" s="195"/>
      <c r="F479" s="195"/>
      <c r="G479" s="196"/>
      <c r="H479" s="205"/>
      <c r="I479" s="195"/>
      <c r="J479" s="195"/>
      <c r="K479" s="195"/>
      <c r="L479" s="233"/>
    </row>
    <row r="480" spans="1:12">
      <c r="A480" s="13"/>
      <c r="B480" s="169"/>
      <c r="C480" s="165"/>
      <c r="D480" s="165"/>
      <c r="E480" s="165"/>
      <c r="F480" s="214" t="s">
        <v>268</v>
      </c>
      <c r="G480" s="165"/>
      <c r="H480" s="154"/>
      <c r="I480" s="154"/>
      <c r="J480" s="154"/>
      <c r="K480" s="154"/>
      <c r="L480" s="172"/>
    </row>
    <row r="481" spans="1:12">
      <c r="A481" s="13"/>
      <c r="B481" s="226" t="s">
        <v>269</v>
      </c>
      <c r="C481" s="225" t="s">
        <v>270</v>
      </c>
      <c r="D481" s="165"/>
      <c r="E481" s="165"/>
      <c r="F481" s="165"/>
      <c r="G481" s="165"/>
      <c r="H481" s="154"/>
      <c r="I481" s="154"/>
      <c r="J481" s="155"/>
      <c r="K481" s="154"/>
      <c r="L481" s="172"/>
    </row>
    <row r="482" spans="1:12">
      <c r="A482" s="13"/>
      <c r="B482" s="226" t="s">
        <v>271</v>
      </c>
      <c r="C482" s="224" t="s">
        <v>272</v>
      </c>
      <c r="D482" s="154"/>
      <c r="E482" s="155"/>
      <c r="G482" s="935"/>
      <c r="H482" s="935"/>
      <c r="I482" s="170"/>
      <c r="J482" s="171"/>
      <c r="K482" s="935"/>
      <c r="L482" s="936"/>
    </row>
    <row r="483" spans="1:12">
      <c r="A483" s="13"/>
      <c r="B483" s="227" t="s">
        <v>273</v>
      </c>
      <c r="C483" s="937" t="s">
        <v>302</v>
      </c>
      <c r="D483" s="937"/>
      <c r="E483" s="937"/>
      <c r="F483" s="937"/>
      <c r="G483" s="937"/>
      <c r="H483" s="937"/>
      <c r="I483" s="937"/>
      <c r="J483" s="937"/>
      <c r="K483" s="937"/>
      <c r="L483" s="938"/>
    </row>
    <row r="484" spans="1:12">
      <c r="A484" s="13"/>
      <c r="B484" s="226" t="s">
        <v>274</v>
      </c>
      <c r="C484" s="225" t="s">
        <v>275</v>
      </c>
      <c r="D484" s="217"/>
      <c r="E484" s="217"/>
      <c r="F484" s="217"/>
      <c r="G484" s="217"/>
      <c r="H484" s="217"/>
      <c r="I484" s="217"/>
      <c r="J484" s="217"/>
      <c r="K484" s="217"/>
      <c r="L484" s="236"/>
    </row>
    <row r="485" spans="1:12">
      <c r="A485" s="13"/>
      <c r="B485" s="169"/>
      <c r="C485" t="s">
        <v>303</v>
      </c>
      <c r="D485" s="283" t="e">
        <f>'BOM 04 22Master'!#REF!</f>
        <v>#REF!</v>
      </c>
      <c r="E485" s="2"/>
      <c r="F485" s="2"/>
      <c r="G485" s="2"/>
      <c r="L485" s="14"/>
    </row>
    <row r="486" spans="1:12">
      <c r="A486" s="13"/>
      <c r="C486" t="s">
        <v>276</v>
      </c>
      <c r="D486" t="s">
        <v>365</v>
      </c>
      <c r="J486" t="s">
        <v>304</v>
      </c>
      <c r="L486" s="14"/>
    </row>
    <row r="487" spans="1:12">
      <c r="A487" s="13"/>
      <c r="F487" s="215" t="s">
        <v>277</v>
      </c>
      <c r="L487" s="14"/>
    </row>
    <row r="488" spans="1:12" ht="27.95" customHeight="1">
      <c r="A488" s="13" t="s">
        <v>305</v>
      </c>
      <c r="B488" t="s">
        <v>278</v>
      </c>
      <c r="E488" s="218" t="e">
        <f>'BOM 04 22Master'!#REF!</f>
        <v>#REF!</v>
      </c>
      <c r="H488" s="939" t="s">
        <v>279</v>
      </c>
      <c r="I488" s="939"/>
      <c r="J488" s="219" t="e">
        <f>'BOM 04 22Master'!#REF!</f>
        <v>#REF!</v>
      </c>
      <c r="K488" t="s">
        <v>280</v>
      </c>
      <c r="L488" s="14"/>
    </row>
    <row r="489" spans="1:12" ht="15.75" customHeight="1">
      <c r="A489" s="13"/>
      <c r="B489" s="950" t="e">
        <f>'BOM 04 22Master'!#REF!</f>
        <v>#REF!</v>
      </c>
      <c r="C489" s="951"/>
      <c r="D489" s="216"/>
      <c r="E489" s="216"/>
      <c r="F489" s="216"/>
      <c r="G489" s="216"/>
      <c r="H489" s="216"/>
      <c r="I489" s="216"/>
      <c r="J489" s="216"/>
      <c r="K489" s="216"/>
      <c r="L489" s="237"/>
    </row>
    <row r="490" spans="1:12" ht="22.5" customHeight="1">
      <c r="A490" s="13" t="s">
        <v>307</v>
      </c>
      <c r="B490" s="216" t="s">
        <v>281</v>
      </c>
      <c r="C490" s="216"/>
      <c r="D490" s="216"/>
      <c r="E490" s="216"/>
      <c r="F490" s="216"/>
      <c r="G490" s="216"/>
      <c r="H490" s="216"/>
      <c r="I490" s="216"/>
      <c r="J490" s="216"/>
      <c r="K490" s="216"/>
      <c r="L490" s="237"/>
    </row>
    <row r="491" spans="1:12" ht="19.5" customHeight="1">
      <c r="A491" s="13"/>
      <c r="B491" s="216" t="s">
        <v>306</v>
      </c>
      <c r="C491" s="216"/>
      <c r="D491" s="216"/>
      <c r="E491" s="216"/>
      <c r="F491" s="216"/>
      <c r="G491" s="216"/>
      <c r="H491" s="216"/>
      <c r="I491" s="216"/>
      <c r="J491" s="216"/>
      <c r="K491" s="216"/>
      <c r="L491" s="237"/>
    </row>
    <row r="492" spans="1:12" ht="22.5" customHeight="1">
      <c r="A492" s="13"/>
      <c r="B492" t="s">
        <v>282</v>
      </c>
      <c r="L492" s="14"/>
    </row>
    <row r="493" spans="1:12" ht="18" customHeight="1">
      <c r="A493" s="13"/>
      <c r="B493" s="2" t="s">
        <v>283</v>
      </c>
      <c r="F493" s="168"/>
      <c r="L493" s="14"/>
    </row>
    <row r="494" spans="1:12" ht="16.5" customHeight="1">
      <c r="A494" s="13"/>
      <c r="B494" s="2" t="s">
        <v>284</v>
      </c>
      <c r="L494" s="14"/>
    </row>
    <row r="495" spans="1:12" ht="22.5" customHeight="1">
      <c r="A495" s="13"/>
      <c r="B495" t="s">
        <v>285</v>
      </c>
      <c r="L495" s="14"/>
    </row>
    <row r="496" spans="1:12" ht="19.5" customHeight="1">
      <c r="A496" s="13"/>
      <c r="B496" t="s">
        <v>286</v>
      </c>
      <c r="L496" s="14"/>
    </row>
    <row r="497" spans="1:12" ht="20.25" customHeight="1">
      <c r="A497" s="13" t="s">
        <v>296</v>
      </c>
      <c r="B497" t="s">
        <v>287</v>
      </c>
      <c r="L497" s="14"/>
    </row>
    <row r="498" spans="1:12" ht="20.25" customHeight="1">
      <c r="A498" s="13"/>
      <c r="B498" s="228" t="s">
        <v>308</v>
      </c>
      <c r="L498" s="14"/>
    </row>
    <row r="499" spans="1:12" ht="20.25" customHeight="1">
      <c r="A499" s="13"/>
      <c r="B499" t="s">
        <v>282</v>
      </c>
      <c r="L499" s="14"/>
    </row>
    <row r="500" spans="1:12" ht="20.25" customHeight="1">
      <c r="A500" s="13"/>
      <c r="B500" t="s">
        <v>288</v>
      </c>
      <c r="L500" s="14"/>
    </row>
    <row r="501" spans="1:12" ht="20.25" customHeight="1">
      <c r="A501" s="13"/>
      <c r="B501" t="s">
        <v>289</v>
      </c>
      <c r="L501" s="14"/>
    </row>
    <row r="502" spans="1:12" ht="21" customHeight="1">
      <c r="A502" s="13"/>
      <c r="B502" s="952" t="s">
        <v>290</v>
      </c>
      <c r="C502" s="952"/>
      <c r="D502" s="952"/>
      <c r="E502" s="952"/>
      <c r="F502" s="952"/>
      <c r="G502" s="952"/>
      <c r="H502" s="952"/>
      <c r="I502" s="952"/>
      <c r="J502" s="952"/>
      <c r="K502" s="952"/>
      <c r="L502" s="953"/>
    </row>
    <row r="503" spans="1:12" ht="27.95" customHeight="1">
      <c r="A503" s="13"/>
      <c r="B503" t="s">
        <v>202</v>
      </c>
      <c r="C503" s="278" t="e">
        <f>'BOM 04 22Master'!#REF!</f>
        <v>#REF!</v>
      </c>
      <c r="D503" s="198"/>
      <c r="E503" s="198"/>
      <c r="F503" s="198"/>
      <c r="G503" s="198"/>
      <c r="H503" s="198"/>
      <c r="I503" t="s">
        <v>309</v>
      </c>
      <c r="J503" s="198"/>
      <c r="K503" s="198"/>
      <c r="L503" s="229"/>
    </row>
    <row r="504" spans="1:12" ht="27.95" customHeight="1" thickBot="1">
      <c r="A504" s="25"/>
      <c r="B504" s="761"/>
      <c r="C504" s="761"/>
      <c r="D504" s="761"/>
      <c r="E504" s="761"/>
      <c r="F504" s="761"/>
      <c r="G504" s="761"/>
      <c r="H504" s="761"/>
      <c r="I504" s="761"/>
      <c r="J504" s="761"/>
      <c r="K504" s="761"/>
      <c r="L504" s="762"/>
    </row>
    <row r="505" spans="1:12" ht="27.95" customHeight="1">
      <c r="A505" s="50"/>
      <c r="B505" s="51"/>
      <c r="C505" s="51"/>
      <c r="D505" s="51"/>
      <c r="E505" s="51"/>
      <c r="F505" s="51"/>
      <c r="G505" s="51"/>
      <c r="H505" s="51"/>
      <c r="I505" s="55" t="s">
        <v>236</v>
      </c>
      <c r="J505" s="51"/>
      <c r="K505" s="51"/>
      <c r="L505" s="52"/>
    </row>
    <row r="506" spans="1:12">
      <c r="A506" s="13"/>
      <c r="B506" s="940" t="s">
        <v>291</v>
      </c>
      <c r="C506" s="940"/>
      <c r="D506" s="940"/>
      <c r="E506" s="940"/>
      <c r="F506" s="940"/>
      <c r="G506" s="940"/>
      <c r="H506" s="940"/>
      <c r="I506" s="940"/>
      <c r="J506" s="940"/>
      <c r="K506" s="940"/>
      <c r="L506" s="941"/>
    </row>
    <row r="507" spans="1:12" ht="23.25">
      <c r="A507" s="13"/>
      <c r="B507" s="198"/>
      <c r="C507" s="198"/>
      <c r="D507" s="206" t="s">
        <v>238</v>
      </c>
      <c r="E507" s="198"/>
      <c r="F507" s="198"/>
      <c r="G507" s="198"/>
      <c r="H507" s="198"/>
      <c r="I507" s="200" t="s">
        <v>292</v>
      </c>
      <c r="J507" s="201"/>
      <c r="K507" s="201"/>
      <c r="L507" s="231"/>
    </row>
    <row r="508" spans="1:12" ht="15.75">
      <c r="A508" s="13"/>
      <c r="B508" s="1"/>
      <c r="C508" s="1" t="s">
        <v>239</v>
      </c>
      <c r="E508" s="1"/>
      <c r="F508" s="1"/>
      <c r="G508" s="1"/>
      <c r="H508" s="1"/>
      <c r="I508" s="199" t="s">
        <v>293</v>
      </c>
      <c r="J508" s="220">
        <f>'BOM 04 22Master'!F429</f>
        <v>0</v>
      </c>
      <c r="K508" s="202"/>
      <c r="L508" s="232"/>
    </row>
    <row r="509" spans="1:12">
      <c r="A509" s="13"/>
      <c r="B509" s="207"/>
      <c r="C509" s="176" t="s">
        <v>240</v>
      </c>
      <c r="E509" s="207"/>
      <c r="F509" s="207"/>
      <c r="H509" s="177"/>
      <c r="I509" s="223">
        <f>'BOM 04 22Master'!F430</f>
        <v>0</v>
      </c>
      <c r="J509" s="221"/>
      <c r="K509" s="222"/>
      <c r="L509" s="186"/>
    </row>
    <row r="510" spans="1:12">
      <c r="A510" s="13">
        <v>1</v>
      </c>
      <c r="B510" s="203" t="s">
        <v>241</v>
      </c>
      <c r="C510" s="44"/>
      <c r="D510" s="44"/>
      <c r="E510" s="44"/>
      <c r="F510" s="44"/>
      <c r="G510" s="45"/>
      <c r="H510" s="921"/>
      <c r="I510" s="922"/>
      <c r="J510" s="922"/>
      <c r="K510" s="922"/>
      <c r="L510" s="923"/>
    </row>
    <row r="511" spans="1:12" ht="15" customHeight="1">
      <c r="A511" s="13">
        <v>2</v>
      </c>
      <c r="B511" s="942" t="s">
        <v>242</v>
      </c>
      <c r="C511" s="943"/>
      <c r="D511" s="943"/>
      <c r="E511" s="943"/>
      <c r="F511" s="204" t="s">
        <v>243</v>
      </c>
      <c r="G511" s="188"/>
      <c r="H511" s="944"/>
      <c r="I511" s="945"/>
      <c r="J511" s="945"/>
      <c r="K511" s="945"/>
      <c r="L511" s="946"/>
    </row>
    <row r="512" spans="1:12">
      <c r="A512" s="13"/>
      <c r="B512" s="189" t="s">
        <v>244</v>
      </c>
      <c r="C512" s="190"/>
      <c r="D512" s="190"/>
      <c r="E512" s="190"/>
      <c r="F512" s="190" t="s">
        <v>237</v>
      </c>
      <c r="G512" s="191"/>
      <c r="H512" s="947"/>
      <c r="I512" s="948"/>
      <c r="J512" s="948"/>
      <c r="K512" s="948"/>
      <c r="L512" s="949"/>
    </row>
    <row r="513" spans="1:12">
      <c r="A513" s="13">
        <v>3</v>
      </c>
      <c r="B513" s="205" t="s">
        <v>245</v>
      </c>
      <c r="C513" s="195"/>
      <c r="D513" s="195"/>
      <c r="E513" s="195"/>
      <c r="F513" s="195"/>
      <c r="G513" s="196"/>
      <c r="H513" s="929">
        <f>'BOM 04 22Master'!C160</f>
        <v>0</v>
      </c>
      <c r="I513" s="930"/>
      <c r="J513" s="930"/>
      <c r="K513" s="930"/>
      <c r="L513" s="931"/>
    </row>
    <row r="514" spans="1:12">
      <c r="A514" s="13">
        <v>4</v>
      </c>
      <c r="B514" s="181" t="s">
        <v>246</v>
      </c>
      <c r="C514" s="44"/>
      <c r="D514" s="44"/>
      <c r="E514" s="44"/>
      <c r="F514" s="44"/>
      <c r="G514" s="45"/>
      <c r="H514" s="911">
        <f>'BOM 04 22Master'!D160</f>
        <v>0</v>
      </c>
      <c r="I514" s="918"/>
      <c r="J514" s="918"/>
      <c r="K514" s="918"/>
      <c r="L514" s="912"/>
    </row>
    <row r="515" spans="1:12">
      <c r="A515" s="13">
        <v>5</v>
      </c>
      <c r="B515" s="932" t="s">
        <v>294</v>
      </c>
      <c r="C515" s="933"/>
      <c r="D515" s="933"/>
      <c r="E515" s="933"/>
      <c r="F515" s="933"/>
      <c r="G515" s="45"/>
      <c r="H515" s="921" t="s">
        <v>373</v>
      </c>
      <c r="I515" s="922"/>
      <c r="J515" s="922"/>
      <c r="K515" s="922"/>
      <c r="L515" s="923"/>
    </row>
    <row r="516" spans="1:12">
      <c r="A516" s="13">
        <v>6</v>
      </c>
      <c r="B516" s="194" t="s">
        <v>247</v>
      </c>
      <c r="C516" s="195" t="s">
        <v>248</v>
      </c>
      <c r="D516" s="195"/>
      <c r="E516" s="195"/>
      <c r="F516" s="195"/>
      <c r="G516" s="196"/>
      <c r="H516" s="205"/>
      <c r="I516" s="195"/>
      <c r="J516" s="195"/>
      <c r="K516" s="195"/>
      <c r="L516" s="233"/>
    </row>
    <row r="517" spans="1:12">
      <c r="A517" s="13"/>
      <c r="B517" s="194" t="s">
        <v>249</v>
      </c>
      <c r="C517" s="195" t="s">
        <v>250</v>
      </c>
      <c r="D517" s="195"/>
      <c r="E517" s="195"/>
      <c r="F517" s="195"/>
      <c r="G517" s="196"/>
      <c r="H517" s="205"/>
      <c r="I517" s="187"/>
      <c r="J517" s="187"/>
      <c r="K517" s="195"/>
      <c r="L517" s="233"/>
    </row>
    <row r="518" spans="1:12">
      <c r="A518" s="13">
        <v>7</v>
      </c>
      <c r="B518" s="929" t="s">
        <v>251</v>
      </c>
      <c r="C518" s="930"/>
      <c r="D518" s="930"/>
      <c r="E518" s="930"/>
      <c r="F518" s="930"/>
      <c r="G518" s="934"/>
      <c r="H518" s="209" t="s">
        <v>252</v>
      </c>
      <c r="I518" s="210"/>
      <c r="J518" s="211"/>
      <c r="K518" s="209" t="s">
        <v>253</v>
      </c>
      <c r="L518" s="234"/>
    </row>
    <row r="519" spans="1:12">
      <c r="A519" s="13">
        <v>8</v>
      </c>
      <c r="B519" s="929" t="s">
        <v>295</v>
      </c>
      <c r="C519" s="930"/>
      <c r="D519" s="930"/>
      <c r="E519" s="930"/>
      <c r="F519" s="930"/>
      <c r="G519" s="934"/>
      <c r="H519" s="209" t="s">
        <v>252</v>
      </c>
      <c r="I519" s="210"/>
      <c r="J519" s="211"/>
      <c r="K519" s="209" t="s">
        <v>253</v>
      </c>
      <c r="L519" s="234"/>
    </row>
    <row r="520" spans="1:12">
      <c r="A520" s="13"/>
      <c r="B520" s="181"/>
      <c r="C520" s="213"/>
      <c r="D520" s="213"/>
      <c r="E520" s="213"/>
      <c r="F520" s="213" t="s">
        <v>254</v>
      </c>
      <c r="G520" s="213"/>
      <c r="H520" s="213"/>
      <c r="I520" s="213"/>
      <c r="J520" s="213"/>
      <c r="K520" s="213"/>
      <c r="L520" s="235"/>
    </row>
    <row r="521" spans="1:12">
      <c r="A521" s="13">
        <v>9</v>
      </c>
      <c r="B521" s="194" t="s">
        <v>255</v>
      </c>
      <c r="C521" s="195" t="s">
        <v>256</v>
      </c>
      <c r="D521" s="195"/>
      <c r="E521" s="195"/>
      <c r="F521" s="195"/>
      <c r="G521" s="196"/>
      <c r="H521" s="205"/>
      <c r="I521" s="195"/>
      <c r="J521" s="195"/>
      <c r="K521" s="195"/>
      <c r="L521" s="233"/>
    </row>
    <row r="522" spans="1:12">
      <c r="A522" s="61"/>
      <c r="B522" s="194" t="s">
        <v>257</v>
      </c>
      <c r="C522" s="195" t="s">
        <v>258</v>
      </c>
      <c r="D522" s="195"/>
      <c r="E522" s="195"/>
      <c r="F522" s="195"/>
      <c r="G522" s="196"/>
      <c r="H522" s="205"/>
      <c r="I522" s="195"/>
      <c r="J522" s="195"/>
      <c r="K522" s="195"/>
      <c r="L522" s="233"/>
    </row>
    <row r="523" spans="1:12">
      <c r="A523" s="61"/>
      <c r="B523" s="194" t="s">
        <v>296</v>
      </c>
      <c r="C523" s="195" t="s">
        <v>297</v>
      </c>
      <c r="D523" s="195"/>
      <c r="E523" s="195"/>
      <c r="F523" s="195"/>
      <c r="G523" s="196"/>
      <c r="H523" s="205"/>
      <c r="I523" s="195"/>
      <c r="J523" s="195"/>
      <c r="K523" s="195"/>
      <c r="L523" s="233"/>
    </row>
    <row r="524" spans="1:12">
      <c r="A524" s="61"/>
      <c r="B524" s="194" t="s">
        <v>260</v>
      </c>
      <c r="C524" s="195" t="s">
        <v>261</v>
      </c>
      <c r="D524" s="195"/>
      <c r="E524" s="195"/>
      <c r="F524" s="195"/>
      <c r="G524" s="196"/>
      <c r="H524" s="205"/>
      <c r="I524" s="195"/>
      <c r="J524" s="195"/>
      <c r="K524" s="195"/>
      <c r="L524" s="233"/>
    </row>
    <row r="525" spans="1:12">
      <c r="A525" s="61"/>
      <c r="B525" s="194" t="s">
        <v>262</v>
      </c>
      <c r="C525" s="195" t="s">
        <v>263</v>
      </c>
      <c r="D525" s="195"/>
      <c r="E525" s="195"/>
      <c r="F525" s="195"/>
      <c r="G525" s="196"/>
      <c r="H525" s="205"/>
      <c r="I525" s="195"/>
      <c r="J525" s="195"/>
      <c r="K525" s="195"/>
      <c r="L525" s="233"/>
    </row>
    <row r="526" spans="1:12" ht="27.95" customHeight="1">
      <c r="A526" s="61">
        <v>10</v>
      </c>
      <c r="B526" s="194" t="s">
        <v>255</v>
      </c>
      <c r="C526" s="195" t="s">
        <v>298</v>
      </c>
      <c r="D526" s="195"/>
      <c r="E526" s="195"/>
      <c r="F526" s="195"/>
      <c r="G526" s="196"/>
      <c r="H526" s="209" t="s">
        <v>252</v>
      </c>
      <c r="I526" s="210"/>
      <c r="J526" s="211"/>
      <c r="K526" s="209" t="s">
        <v>253</v>
      </c>
      <c r="L526" s="234"/>
    </row>
    <row r="527" spans="1:12" ht="27.95" customHeight="1">
      <c r="A527" s="61"/>
      <c r="B527" s="194" t="s">
        <v>257</v>
      </c>
      <c r="C527" s="195" t="s">
        <v>299</v>
      </c>
      <c r="D527" s="195"/>
      <c r="E527" s="195"/>
      <c r="F527" s="195"/>
      <c r="G527" s="196"/>
      <c r="H527" s="205"/>
      <c r="I527" s="195"/>
      <c r="J527" s="195"/>
      <c r="K527" s="195"/>
      <c r="L527" s="233"/>
    </row>
    <row r="528" spans="1:12" ht="27.95" customHeight="1">
      <c r="A528" s="61"/>
      <c r="B528" s="194" t="s">
        <v>296</v>
      </c>
      <c r="C528" s="195" t="s">
        <v>264</v>
      </c>
      <c r="D528" s="195"/>
      <c r="E528" s="195"/>
      <c r="F528" s="195"/>
      <c r="G528" s="196"/>
      <c r="H528" s="205"/>
      <c r="I528" s="195"/>
      <c r="J528" s="195"/>
      <c r="K528" s="195"/>
      <c r="L528" s="233"/>
    </row>
    <row r="529" spans="1:12" ht="27.95" customHeight="1">
      <c r="A529" s="61"/>
      <c r="B529" s="194" t="s">
        <v>260</v>
      </c>
      <c r="C529" s="195" t="s">
        <v>300</v>
      </c>
      <c r="D529" s="195"/>
      <c r="E529" s="195"/>
      <c r="F529" s="195"/>
      <c r="G529" s="196"/>
      <c r="H529" s="205"/>
      <c r="I529" s="195"/>
      <c r="J529" s="195"/>
      <c r="K529" s="195"/>
      <c r="L529" s="233"/>
    </row>
    <row r="530" spans="1:12" ht="27.95" customHeight="1">
      <c r="A530" s="13"/>
      <c r="B530" s="181"/>
      <c r="C530" s="213"/>
      <c r="D530" s="213"/>
      <c r="E530" s="213" t="s">
        <v>301</v>
      </c>
      <c r="F530" s="213"/>
      <c r="G530" s="213"/>
      <c r="H530" s="213"/>
      <c r="I530" s="213"/>
      <c r="J530" s="213"/>
      <c r="K530" s="213"/>
      <c r="L530" s="235"/>
    </row>
    <row r="531" spans="1:12" ht="27.95" customHeight="1">
      <c r="A531" s="13">
        <v>11</v>
      </c>
      <c r="B531" s="194" t="s">
        <v>255</v>
      </c>
      <c r="C531" s="195" t="s">
        <v>265</v>
      </c>
      <c r="D531" s="195"/>
      <c r="E531" s="195"/>
      <c r="F531" s="195"/>
      <c r="G531" s="196"/>
      <c r="H531" s="205"/>
      <c r="I531" s="195"/>
      <c r="J531" s="195"/>
      <c r="K531" s="195"/>
      <c r="L531" s="233"/>
    </row>
    <row r="532" spans="1:12" ht="27.95" customHeight="1">
      <c r="A532" s="13"/>
      <c r="B532" s="194" t="s">
        <v>257</v>
      </c>
      <c r="C532" s="195" t="s">
        <v>266</v>
      </c>
      <c r="D532" s="195"/>
      <c r="E532" s="195"/>
      <c r="F532" s="195"/>
      <c r="G532" s="196"/>
      <c r="H532" s="205"/>
      <c r="I532" s="195"/>
      <c r="J532" s="195"/>
      <c r="K532" s="195"/>
      <c r="L532" s="233"/>
    </row>
    <row r="533" spans="1:12" ht="27.95" customHeight="1">
      <c r="A533" s="13"/>
      <c r="B533" s="194" t="s">
        <v>259</v>
      </c>
      <c r="C533" s="195" t="s">
        <v>267</v>
      </c>
      <c r="D533" s="195"/>
      <c r="E533" s="195"/>
      <c r="F533" s="195"/>
      <c r="G533" s="196"/>
      <c r="H533" s="205"/>
      <c r="I533" s="195"/>
      <c r="J533" s="195"/>
      <c r="K533" s="195"/>
      <c r="L533" s="233"/>
    </row>
    <row r="534" spans="1:12" ht="27.95" customHeight="1">
      <c r="A534" s="13"/>
      <c r="B534" s="169"/>
      <c r="C534" s="165"/>
      <c r="D534" s="165"/>
      <c r="E534" s="165"/>
      <c r="F534" s="214" t="s">
        <v>268</v>
      </c>
      <c r="G534" s="165"/>
      <c r="H534" s="154"/>
      <c r="I534" s="154"/>
      <c r="J534" s="154"/>
      <c r="K534" s="154"/>
      <c r="L534" s="172"/>
    </row>
    <row r="535" spans="1:12" ht="27.95" customHeight="1">
      <c r="A535" s="13"/>
      <c r="B535" s="226" t="s">
        <v>269</v>
      </c>
      <c r="C535" s="225" t="s">
        <v>270</v>
      </c>
      <c r="D535" s="165"/>
      <c r="E535" s="165"/>
      <c r="F535" s="165"/>
      <c r="G535" s="165"/>
      <c r="H535" s="154"/>
      <c r="I535" s="154"/>
      <c r="J535" s="155"/>
      <c r="K535" s="154"/>
      <c r="L535" s="172"/>
    </row>
    <row r="536" spans="1:12" ht="27.95" customHeight="1">
      <c r="A536" s="13"/>
      <c r="B536" s="226" t="s">
        <v>271</v>
      </c>
      <c r="C536" s="224" t="s">
        <v>272</v>
      </c>
      <c r="D536" s="154"/>
      <c r="E536" s="155"/>
      <c r="G536" s="935"/>
      <c r="H536" s="935"/>
      <c r="I536" s="170"/>
      <c r="J536" s="171"/>
      <c r="K536" s="935"/>
      <c r="L536" s="936"/>
    </row>
    <row r="537" spans="1:12" ht="27.95" customHeight="1">
      <c r="A537" s="13"/>
      <c r="B537" s="227" t="s">
        <v>273</v>
      </c>
      <c r="C537" s="937" t="s">
        <v>302</v>
      </c>
      <c r="D537" s="937"/>
      <c r="E537" s="937"/>
      <c r="F537" s="937"/>
      <c r="G537" s="937"/>
      <c r="H537" s="937"/>
      <c r="I537" s="937"/>
      <c r="J537" s="937"/>
      <c r="K537" s="937"/>
      <c r="L537" s="938"/>
    </row>
    <row r="538" spans="1:12" ht="27.95" customHeight="1">
      <c r="A538" s="13"/>
      <c r="B538" s="226" t="s">
        <v>274</v>
      </c>
      <c r="C538" s="225" t="s">
        <v>275</v>
      </c>
      <c r="D538" s="217"/>
      <c r="E538" s="217"/>
      <c r="F538" s="217"/>
      <c r="G538" s="217"/>
      <c r="H538" s="217"/>
      <c r="I538" s="217"/>
      <c r="J538" s="217"/>
      <c r="K538" s="217"/>
      <c r="L538" s="236"/>
    </row>
    <row r="539" spans="1:12" ht="27.95" customHeight="1">
      <c r="A539" s="13"/>
      <c r="B539" s="169"/>
      <c r="C539" t="s">
        <v>303</v>
      </c>
      <c r="D539" s="2"/>
      <c r="E539" s="2"/>
      <c r="F539" s="2"/>
      <c r="G539" s="2"/>
      <c r="L539" s="14"/>
    </row>
    <row r="540" spans="1:12" ht="27.95" customHeight="1">
      <c r="A540" s="13"/>
      <c r="C540" t="s">
        <v>276</v>
      </c>
      <c r="J540" t="s">
        <v>304</v>
      </c>
      <c r="L540" s="14"/>
    </row>
    <row r="541" spans="1:12" ht="27.95" customHeight="1">
      <c r="A541" s="13"/>
      <c r="F541" s="215" t="s">
        <v>277</v>
      </c>
      <c r="L541" s="14"/>
    </row>
    <row r="542" spans="1:12" ht="27.95" customHeight="1">
      <c r="A542" s="13" t="s">
        <v>305</v>
      </c>
      <c r="B542" t="s">
        <v>278</v>
      </c>
      <c r="E542" s="218">
        <f>'BOM 04 22Master'!B439</f>
        <v>0</v>
      </c>
      <c r="H542" s="939" t="s">
        <v>279</v>
      </c>
      <c r="I542" s="939"/>
      <c r="J542" s="219">
        <f>'BOM 04 22Master'!N439</f>
        <v>0</v>
      </c>
      <c r="K542" t="s">
        <v>280</v>
      </c>
      <c r="L542" s="14"/>
    </row>
    <row r="543" spans="1:12" ht="27.95" customHeight="1">
      <c r="A543" s="13"/>
      <c r="B543" s="950">
        <f>'BOM 04 22Master'!S439</f>
        <v>0</v>
      </c>
      <c r="C543" s="951"/>
      <c r="D543" s="216"/>
      <c r="E543" s="216"/>
      <c r="F543" s="216"/>
      <c r="G543" s="216"/>
      <c r="H543" s="216"/>
      <c r="I543" s="216"/>
      <c r="J543" s="216"/>
      <c r="K543" s="216"/>
      <c r="L543" s="237"/>
    </row>
    <row r="544" spans="1:12">
      <c r="A544" s="13" t="s">
        <v>307</v>
      </c>
      <c r="B544" s="216" t="s">
        <v>281</v>
      </c>
      <c r="C544" s="216"/>
      <c r="D544" s="216"/>
      <c r="E544" s="216"/>
      <c r="F544" s="216"/>
      <c r="G544" s="216"/>
      <c r="H544" s="216"/>
      <c r="I544" s="216"/>
      <c r="J544" s="216"/>
      <c r="K544" s="216"/>
      <c r="L544" s="237"/>
    </row>
    <row r="545" spans="1:12">
      <c r="A545" s="13"/>
      <c r="B545" s="216" t="s">
        <v>306</v>
      </c>
      <c r="C545" s="216"/>
      <c r="D545" s="216"/>
      <c r="E545" s="216"/>
      <c r="F545" s="216"/>
      <c r="G545" s="216"/>
      <c r="H545" s="216"/>
      <c r="I545" s="216"/>
      <c r="J545" s="216"/>
      <c r="K545" s="216"/>
      <c r="L545" s="237"/>
    </row>
    <row r="546" spans="1:12">
      <c r="A546" s="13"/>
      <c r="B546" t="s">
        <v>282</v>
      </c>
      <c r="L546" s="14"/>
    </row>
    <row r="547" spans="1:12" ht="18.75">
      <c r="A547" s="13"/>
      <c r="B547" s="2" t="s">
        <v>283</v>
      </c>
      <c r="F547" s="168"/>
      <c r="L547" s="14"/>
    </row>
    <row r="548" spans="1:12">
      <c r="A548" s="13"/>
      <c r="B548" s="2" t="s">
        <v>284</v>
      </c>
      <c r="L548" s="14"/>
    </row>
    <row r="549" spans="1:12" ht="15" customHeight="1">
      <c r="A549" s="13"/>
      <c r="B549" t="s">
        <v>285</v>
      </c>
      <c r="L549" s="14"/>
    </row>
    <row r="550" spans="1:12">
      <c r="A550" s="13"/>
      <c r="B550" t="s">
        <v>286</v>
      </c>
      <c r="L550" s="14"/>
    </row>
    <row r="551" spans="1:12">
      <c r="A551" s="13" t="s">
        <v>296</v>
      </c>
      <c r="B551" t="s">
        <v>287</v>
      </c>
      <c r="L551" s="14"/>
    </row>
    <row r="552" spans="1:12">
      <c r="A552" s="13"/>
      <c r="B552" s="228" t="s">
        <v>308</v>
      </c>
      <c r="L552" s="14"/>
    </row>
    <row r="553" spans="1:12">
      <c r="A553" s="13"/>
      <c r="B553" t="s">
        <v>282</v>
      </c>
      <c r="L553" s="14"/>
    </row>
    <row r="554" spans="1:12">
      <c r="A554" s="13"/>
      <c r="B554" t="s">
        <v>288</v>
      </c>
      <c r="L554" s="14"/>
    </row>
    <row r="555" spans="1:12">
      <c r="A555" s="13"/>
      <c r="B555" t="s">
        <v>289</v>
      </c>
      <c r="L555" s="14"/>
    </row>
    <row r="556" spans="1:12">
      <c r="A556" s="13"/>
      <c r="B556" s="952" t="s">
        <v>290</v>
      </c>
      <c r="C556" s="952"/>
      <c r="D556" s="952"/>
      <c r="E556" s="952"/>
      <c r="F556" s="952"/>
      <c r="G556" s="952"/>
      <c r="H556" s="952"/>
      <c r="I556" s="952"/>
      <c r="J556" s="952"/>
      <c r="K556" s="952"/>
      <c r="L556" s="953"/>
    </row>
    <row r="557" spans="1:12" ht="23.25">
      <c r="A557" s="13"/>
      <c r="B557" t="s">
        <v>202</v>
      </c>
      <c r="C557" s="198"/>
      <c r="D557" s="198"/>
      <c r="E557" s="198"/>
      <c r="F557" s="198"/>
      <c r="G557" s="198"/>
      <c r="H557" s="198"/>
      <c r="I557" t="s">
        <v>309</v>
      </c>
      <c r="J557" s="198"/>
      <c r="K557" s="198"/>
      <c r="L557" s="229"/>
    </row>
    <row r="558" spans="1:12" ht="16.5" thickBot="1">
      <c r="A558" s="25"/>
      <c r="B558" s="761"/>
      <c r="C558" s="761"/>
      <c r="D558" s="761"/>
      <c r="E558" s="761"/>
      <c r="F558" s="761"/>
      <c r="G558" s="761"/>
      <c r="H558" s="761"/>
      <c r="I558" s="761"/>
      <c r="J558" s="761"/>
      <c r="K558" s="761"/>
      <c r="L558" s="762"/>
    </row>
    <row r="559" spans="1:12">
      <c r="A559" s="50"/>
      <c r="B559" s="51"/>
      <c r="C559" s="51"/>
      <c r="D559" s="51"/>
      <c r="E559" s="51"/>
      <c r="F559" s="51"/>
      <c r="G559" s="51"/>
      <c r="H559" s="51"/>
      <c r="I559" s="55" t="s">
        <v>236</v>
      </c>
      <c r="J559" s="51"/>
      <c r="K559" s="51"/>
      <c r="L559" s="52"/>
    </row>
    <row r="560" spans="1:12">
      <c r="A560" s="13"/>
      <c r="B560" s="940" t="s">
        <v>291</v>
      </c>
      <c r="C560" s="940"/>
      <c r="D560" s="940"/>
      <c r="E560" s="940"/>
      <c r="F560" s="940"/>
      <c r="G560" s="940"/>
      <c r="H560" s="940"/>
      <c r="I560" s="940"/>
      <c r="J560" s="940"/>
      <c r="K560" s="940"/>
      <c r="L560" s="941"/>
    </row>
    <row r="561" spans="1:12" ht="23.25">
      <c r="A561" s="13"/>
      <c r="B561" s="198"/>
      <c r="C561" s="198"/>
      <c r="D561" s="206" t="s">
        <v>238</v>
      </c>
      <c r="E561" s="198"/>
      <c r="F561" s="198"/>
      <c r="G561" s="198"/>
      <c r="H561" s="198"/>
      <c r="I561" s="200" t="s">
        <v>292</v>
      </c>
      <c r="J561" s="201"/>
      <c r="K561" s="201"/>
      <c r="L561" s="231"/>
    </row>
    <row r="562" spans="1:12" ht="15.75">
      <c r="A562" s="13"/>
      <c r="B562" s="1"/>
      <c r="C562" s="1" t="s">
        <v>239</v>
      </c>
      <c r="E562" s="1"/>
      <c r="F562" s="1"/>
      <c r="G562" s="1"/>
      <c r="H562" s="1"/>
      <c r="I562" s="199" t="s">
        <v>293</v>
      </c>
      <c r="J562" s="220">
        <f>'BOM 04 22Master'!F483</f>
        <v>0</v>
      </c>
      <c r="K562" s="202"/>
      <c r="L562" s="232"/>
    </row>
    <row r="563" spans="1:12">
      <c r="A563" s="13"/>
      <c r="B563" s="207"/>
      <c r="C563" s="176" t="s">
        <v>240</v>
      </c>
      <c r="E563" s="207"/>
      <c r="F563" s="207"/>
      <c r="H563" s="177"/>
      <c r="I563" s="223">
        <f>'BOM 04 22Master'!F484</f>
        <v>0</v>
      </c>
      <c r="J563" s="221"/>
      <c r="K563" s="222"/>
      <c r="L563" s="186"/>
    </row>
    <row r="564" spans="1:12" ht="23.25" customHeight="1">
      <c r="A564" s="13">
        <v>1</v>
      </c>
      <c r="B564" s="203" t="s">
        <v>241</v>
      </c>
      <c r="C564" s="44"/>
      <c r="D564" s="44"/>
      <c r="E564" s="44"/>
      <c r="F564" s="44"/>
      <c r="G564" s="45"/>
      <c r="H564" s="921"/>
      <c r="I564" s="922"/>
      <c r="J564" s="922"/>
      <c r="K564" s="922"/>
      <c r="L564" s="923"/>
    </row>
    <row r="565" spans="1:12" ht="22.5" customHeight="1">
      <c r="A565" s="13">
        <v>2</v>
      </c>
      <c r="B565" s="942" t="s">
        <v>242</v>
      </c>
      <c r="C565" s="943"/>
      <c r="D565" s="943"/>
      <c r="E565" s="943"/>
      <c r="F565" s="204" t="s">
        <v>243</v>
      </c>
      <c r="G565" s="188"/>
      <c r="H565" s="944"/>
      <c r="I565" s="945"/>
      <c r="J565" s="945"/>
      <c r="K565" s="945"/>
      <c r="L565" s="946"/>
    </row>
    <row r="566" spans="1:12" ht="10.5" customHeight="1">
      <c r="A566" s="13"/>
      <c r="B566" s="189" t="s">
        <v>244</v>
      </c>
      <c r="C566" s="190"/>
      <c r="D566" s="190"/>
      <c r="E566" s="190"/>
      <c r="F566" s="190" t="s">
        <v>237</v>
      </c>
      <c r="G566" s="191"/>
      <c r="H566" s="947"/>
      <c r="I566" s="948"/>
      <c r="J566" s="948"/>
      <c r="K566" s="948"/>
      <c r="L566" s="949"/>
    </row>
    <row r="567" spans="1:12" ht="24" customHeight="1">
      <c r="A567" s="13">
        <v>3</v>
      </c>
      <c r="B567" s="205" t="s">
        <v>245</v>
      </c>
      <c r="C567" s="195"/>
      <c r="D567" s="195"/>
      <c r="E567" s="195"/>
      <c r="F567" s="195"/>
      <c r="G567" s="196"/>
      <c r="H567" s="205"/>
      <c r="I567" s="195"/>
      <c r="J567" s="195"/>
      <c r="K567" s="195"/>
      <c r="L567" s="233"/>
    </row>
    <row r="568" spans="1:12" ht="27.95" customHeight="1">
      <c r="A568" s="13">
        <v>4</v>
      </c>
      <c r="B568" s="181" t="s">
        <v>246</v>
      </c>
      <c r="C568" s="44"/>
      <c r="D568" s="44"/>
      <c r="E568" s="44"/>
      <c r="F568" s="44"/>
      <c r="G568" s="45"/>
      <c r="H568" s="181"/>
      <c r="I568" s="44"/>
      <c r="J568" s="44"/>
      <c r="K568" s="44"/>
      <c r="L568" s="186"/>
    </row>
    <row r="569" spans="1:12" ht="27.95" customHeight="1">
      <c r="A569" s="13">
        <v>5</v>
      </c>
      <c r="B569" s="932" t="s">
        <v>294</v>
      </c>
      <c r="C569" s="933"/>
      <c r="D569" s="933"/>
      <c r="E569" s="933"/>
      <c r="F569" s="933"/>
      <c r="G569" s="45"/>
      <c r="H569" s="954"/>
      <c r="I569" s="955"/>
      <c r="J569" s="955"/>
      <c r="K569" s="955"/>
      <c r="L569" s="956"/>
    </row>
    <row r="570" spans="1:12" ht="27.95" customHeight="1">
      <c r="A570" s="13">
        <v>6</v>
      </c>
      <c r="B570" s="194" t="s">
        <v>247</v>
      </c>
      <c r="C570" s="195" t="s">
        <v>248</v>
      </c>
      <c r="D570" s="195"/>
      <c r="E570" s="195"/>
      <c r="F570" s="195"/>
      <c r="G570" s="196"/>
      <c r="H570" s="205"/>
      <c r="I570" s="195"/>
      <c r="J570" s="195"/>
      <c r="K570" s="195"/>
      <c r="L570" s="233"/>
    </row>
    <row r="571" spans="1:12" ht="27.95" customHeight="1">
      <c r="A571" s="13"/>
      <c r="B571" s="194" t="s">
        <v>249</v>
      </c>
      <c r="C571" s="195" t="s">
        <v>250</v>
      </c>
      <c r="D571" s="195"/>
      <c r="E571" s="195"/>
      <c r="F571" s="195"/>
      <c r="G571" s="196"/>
      <c r="H571" s="205"/>
      <c r="I571" s="187"/>
      <c r="J571" s="187"/>
      <c r="K571" s="195"/>
      <c r="L571" s="233"/>
    </row>
    <row r="572" spans="1:12" ht="27.95" customHeight="1">
      <c r="A572" s="13">
        <v>7</v>
      </c>
      <c r="B572" s="929" t="s">
        <v>251</v>
      </c>
      <c r="C572" s="930"/>
      <c r="D572" s="930"/>
      <c r="E572" s="930"/>
      <c r="F572" s="930"/>
      <c r="G572" s="934"/>
      <c r="H572" s="209" t="s">
        <v>252</v>
      </c>
      <c r="I572" s="210"/>
      <c r="J572" s="211"/>
      <c r="K572" s="209" t="s">
        <v>253</v>
      </c>
      <c r="L572" s="234"/>
    </row>
    <row r="573" spans="1:12" ht="27.95" customHeight="1">
      <c r="A573" s="13">
        <v>8</v>
      </c>
      <c r="B573" s="929" t="s">
        <v>295</v>
      </c>
      <c r="C573" s="930"/>
      <c r="D573" s="930"/>
      <c r="E573" s="930"/>
      <c r="F573" s="930"/>
      <c r="G573" s="934"/>
      <c r="H573" s="209" t="s">
        <v>252</v>
      </c>
      <c r="I573" s="210"/>
      <c r="J573" s="211"/>
      <c r="K573" s="209" t="s">
        <v>253</v>
      </c>
      <c r="L573" s="234"/>
    </row>
    <row r="574" spans="1:12" ht="27.95" customHeight="1">
      <c r="A574" s="13"/>
      <c r="B574" s="181"/>
      <c r="C574" s="213"/>
      <c r="D574" s="213"/>
      <c r="E574" s="213"/>
      <c r="F574" s="213" t="s">
        <v>254</v>
      </c>
      <c r="G574" s="213"/>
      <c r="H574" s="213"/>
      <c r="I574" s="213"/>
      <c r="J574" s="213"/>
      <c r="K574" s="213"/>
      <c r="L574" s="235"/>
    </row>
    <row r="575" spans="1:12" ht="27.95" customHeight="1">
      <c r="A575" s="13">
        <v>9</v>
      </c>
      <c r="B575" s="194" t="s">
        <v>255</v>
      </c>
      <c r="C575" s="195" t="s">
        <v>256</v>
      </c>
      <c r="D575" s="195"/>
      <c r="E575" s="195"/>
      <c r="F575" s="195"/>
      <c r="G575" s="196"/>
      <c r="H575" s="205"/>
      <c r="I575" s="195"/>
      <c r="J575" s="195"/>
      <c r="K575" s="195"/>
      <c r="L575" s="233"/>
    </row>
    <row r="576" spans="1:12" ht="24" customHeight="1">
      <c r="A576" s="61"/>
      <c r="B576" s="194" t="s">
        <v>257</v>
      </c>
      <c r="C576" s="195" t="s">
        <v>258</v>
      </c>
      <c r="D576" s="195"/>
      <c r="E576" s="195"/>
      <c r="F576" s="195"/>
      <c r="G576" s="196"/>
      <c r="H576" s="205"/>
      <c r="I576" s="195"/>
      <c r="J576" s="195"/>
      <c r="K576" s="195"/>
      <c r="L576" s="233"/>
    </row>
    <row r="577" spans="1:12" ht="24" customHeight="1">
      <c r="A577" s="61"/>
      <c r="B577" s="194" t="s">
        <v>296</v>
      </c>
      <c r="C577" s="195" t="s">
        <v>297</v>
      </c>
      <c r="D577" s="195"/>
      <c r="E577" s="195"/>
      <c r="F577" s="195"/>
      <c r="G577" s="196"/>
      <c r="H577" s="205"/>
      <c r="I577" s="195"/>
      <c r="J577" s="195"/>
      <c r="K577" s="195"/>
      <c r="L577" s="233"/>
    </row>
    <row r="578" spans="1:12" ht="22.5" customHeight="1">
      <c r="A578" s="61"/>
      <c r="B578" s="194" t="s">
        <v>260</v>
      </c>
      <c r="C578" s="195" t="s">
        <v>261</v>
      </c>
      <c r="D578" s="195"/>
      <c r="E578" s="195"/>
      <c r="F578" s="195"/>
      <c r="G578" s="196"/>
      <c r="H578" s="205"/>
      <c r="I578" s="195"/>
      <c r="J578" s="195"/>
      <c r="K578" s="195"/>
      <c r="L578" s="233"/>
    </row>
    <row r="579" spans="1:12" ht="27.95" customHeight="1">
      <c r="A579" s="61"/>
      <c r="B579" s="194" t="s">
        <v>262</v>
      </c>
      <c r="C579" s="195" t="s">
        <v>263</v>
      </c>
      <c r="D579" s="195"/>
      <c r="E579" s="195"/>
      <c r="F579" s="195"/>
      <c r="G579" s="196"/>
      <c r="H579" s="205"/>
      <c r="I579" s="195"/>
      <c r="J579" s="195"/>
      <c r="K579" s="195"/>
      <c r="L579" s="233"/>
    </row>
    <row r="580" spans="1:12" ht="27.95" customHeight="1">
      <c r="A580" s="61">
        <v>10</v>
      </c>
      <c r="B580" s="194" t="s">
        <v>255</v>
      </c>
      <c r="C580" s="195" t="s">
        <v>298</v>
      </c>
      <c r="D580" s="195"/>
      <c r="E580" s="195"/>
      <c r="F580" s="195"/>
      <c r="G580" s="196"/>
      <c r="H580" s="209" t="s">
        <v>252</v>
      </c>
      <c r="I580" s="210"/>
      <c r="J580" s="211"/>
      <c r="K580" s="209" t="s">
        <v>253</v>
      </c>
      <c r="L580" s="234"/>
    </row>
    <row r="581" spans="1:12" ht="27.95" customHeight="1">
      <c r="A581" s="61"/>
      <c r="B581" s="194" t="s">
        <v>257</v>
      </c>
      <c r="C581" s="195" t="s">
        <v>299</v>
      </c>
      <c r="D581" s="195"/>
      <c r="E581" s="195"/>
      <c r="F581" s="195"/>
      <c r="G581" s="196"/>
      <c r="H581" s="205"/>
      <c r="I581" s="195"/>
      <c r="J581" s="195"/>
      <c r="K581" s="195"/>
      <c r="L581" s="233"/>
    </row>
    <row r="582" spans="1:12">
      <c r="A582" s="61"/>
      <c r="B582" s="194" t="s">
        <v>296</v>
      </c>
      <c r="C582" s="195" t="s">
        <v>264</v>
      </c>
      <c r="D582" s="195"/>
      <c r="E582" s="195"/>
      <c r="F582" s="195"/>
      <c r="G582" s="196"/>
      <c r="H582" s="205"/>
      <c r="I582" s="195"/>
      <c r="J582" s="195"/>
      <c r="K582" s="195"/>
      <c r="L582" s="233"/>
    </row>
    <row r="583" spans="1:12">
      <c r="A583" s="61"/>
      <c r="B583" s="194" t="s">
        <v>260</v>
      </c>
      <c r="C583" s="195" t="s">
        <v>300</v>
      </c>
      <c r="D583" s="195"/>
      <c r="E583" s="195"/>
      <c r="F583" s="195"/>
      <c r="G583" s="196"/>
      <c r="H583" s="205"/>
      <c r="I583" s="195"/>
      <c r="J583" s="195"/>
      <c r="K583" s="195"/>
      <c r="L583" s="233"/>
    </row>
    <row r="584" spans="1:12">
      <c r="A584" s="13"/>
      <c r="B584" s="181"/>
      <c r="C584" s="213"/>
      <c r="D584" s="213"/>
      <c r="E584" s="213" t="s">
        <v>301</v>
      </c>
      <c r="F584" s="213"/>
      <c r="G584" s="213"/>
      <c r="H584" s="213"/>
      <c r="I584" s="213"/>
      <c r="J584" s="213"/>
      <c r="K584" s="213"/>
      <c r="L584" s="235"/>
    </row>
    <row r="585" spans="1:12">
      <c r="A585" s="13">
        <v>11</v>
      </c>
      <c r="B585" s="194" t="s">
        <v>255</v>
      </c>
      <c r="C585" s="195" t="s">
        <v>265</v>
      </c>
      <c r="D585" s="195"/>
      <c r="E585" s="195"/>
      <c r="F585" s="195"/>
      <c r="G585" s="196"/>
      <c r="H585" s="205"/>
      <c r="I585" s="195"/>
      <c r="J585" s="195"/>
      <c r="K585" s="195"/>
      <c r="L585" s="233"/>
    </row>
    <row r="586" spans="1:12">
      <c r="A586" s="13"/>
      <c r="B586" s="194" t="s">
        <v>257</v>
      </c>
      <c r="C586" s="195" t="s">
        <v>266</v>
      </c>
      <c r="D586" s="195"/>
      <c r="E586" s="195"/>
      <c r="F586" s="195"/>
      <c r="G586" s="196"/>
      <c r="H586" s="205"/>
      <c r="I586" s="195"/>
      <c r="J586" s="195"/>
      <c r="K586" s="195"/>
      <c r="L586" s="233"/>
    </row>
    <row r="587" spans="1:12">
      <c r="A587" s="13"/>
      <c r="B587" s="194" t="s">
        <v>259</v>
      </c>
      <c r="C587" s="195" t="s">
        <v>267</v>
      </c>
      <c r="D587" s="195"/>
      <c r="E587" s="195"/>
      <c r="F587" s="195"/>
      <c r="G587" s="196"/>
      <c r="H587" s="205"/>
      <c r="I587" s="195"/>
      <c r="J587" s="195"/>
      <c r="K587" s="195"/>
      <c r="L587" s="233"/>
    </row>
    <row r="588" spans="1:12" ht="15" customHeight="1">
      <c r="A588" s="13"/>
      <c r="B588" s="169"/>
      <c r="C588" s="165"/>
      <c r="D588" s="165"/>
      <c r="E588" s="165"/>
      <c r="F588" s="214" t="s">
        <v>268</v>
      </c>
      <c r="G588" s="165"/>
      <c r="H588" s="154"/>
      <c r="I588" s="154"/>
      <c r="J588" s="154"/>
      <c r="K588" s="154"/>
      <c r="L588" s="172"/>
    </row>
    <row r="589" spans="1:12">
      <c r="A589" s="13"/>
      <c r="B589" s="226" t="s">
        <v>269</v>
      </c>
      <c r="C589" s="225" t="s">
        <v>270</v>
      </c>
      <c r="D589" s="165"/>
      <c r="E589" s="165"/>
      <c r="F589" s="165"/>
      <c r="G589" s="165"/>
      <c r="H589" s="154"/>
      <c r="I589" s="154"/>
      <c r="J589" s="155"/>
      <c r="K589" s="154"/>
      <c r="L589" s="172"/>
    </row>
    <row r="590" spans="1:12">
      <c r="A590" s="13"/>
      <c r="B590" s="226" t="s">
        <v>271</v>
      </c>
      <c r="C590" s="224" t="s">
        <v>272</v>
      </c>
      <c r="D590" s="154"/>
      <c r="E590" s="155"/>
      <c r="G590" s="935"/>
      <c r="H590" s="935"/>
      <c r="I590" s="170"/>
      <c r="J590" s="171"/>
      <c r="K590" s="935"/>
      <c r="L590" s="936"/>
    </row>
    <row r="591" spans="1:12">
      <c r="A591" s="13"/>
      <c r="B591" s="227" t="s">
        <v>273</v>
      </c>
      <c r="C591" s="937" t="s">
        <v>302</v>
      </c>
      <c r="D591" s="937"/>
      <c r="E591" s="937"/>
      <c r="F591" s="937"/>
      <c r="G591" s="937"/>
      <c r="H591" s="937"/>
      <c r="I591" s="937"/>
      <c r="J591" s="937"/>
      <c r="K591" s="937"/>
      <c r="L591" s="938"/>
    </row>
    <row r="592" spans="1:12">
      <c r="A592" s="13"/>
      <c r="B592" s="226" t="s">
        <v>274</v>
      </c>
      <c r="C592" s="225" t="s">
        <v>275</v>
      </c>
      <c r="D592" s="217"/>
      <c r="E592" s="217"/>
      <c r="F592" s="217"/>
      <c r="G592" s="217"/>
      <c r="H592" s="217"/>
      <c r="I592" s="217"/>
      <c r="J592" s="217"/>
      <c r="K592" s="217"/>
      <c r="L592" s="236"/>
    </row>
    <row r="593" spans="1:12">
      <c r="A593" s="13"/>
      <c r="B593" s="169"/>
      <c r="C593" t="s">
        <v>303</v>
      </c>
      <c r="D593" s="2"/>
      <c r="E593" s="2"/>
      <c r="F593" s="2"/>
      <c r="G593" s="2"/>
      <c r="L593" s="14"/>
    </row>
    <row r="594" spans="1:12">
      <c r="A594" s="13"/>
      <c r="C594" t="s">
        <v>276</v>
      </c>
      <c r="J594" t="s">
        <v>304</v>
      </c>
      <c r="L594" s="14"/>
    </row>
    <row r="595" spans="1:12">
      <c r="A595" s="13"/>
      <c r="F595" s="215" t="s">
        <v>277</v>
      </c>
      <c r="L595" s="14"/>
    </row>
    <row r="596" spans="1:12">
      <c r="A596" s="13" t="s">
        <v>305</v>
      </c>
      <c r="B596" t="s">
        <v>278</v>
      </c>
      <c r="E596" s="218">
        <f>'BOM 04 22Master'!B493</f>
        <v>0</v>
      </c>
      <c r="H596" s="939" t="s">
        <v>279</v>
      </c>
      <c r="I596" s="939"/>
      <c r="J596" s="219">
        <f>'BOM 04 22Master'!N493</f>
        <v>0</v>
      </c>
      <c r="K596" t="s">
        <v>280</v>
      </c>
      <c r="L596" s="14"/>
    </row>
    <row r="597" spans="1:12">
      <c r="A597" s="13"/>
      <c r="B597" s="950">
        <f>'BOM 04 22Master'!S493</f>
        <v>0</v>
      </c>
      <c r="C597" s="951"/>
      <c r="D597" s="216"/>
      <c r="E597" s="216"/>
      <c r="F597" s="216"/>
      <c r="G597" s="216"/>
      <c r="H597" s="216"/>
      <c r="I597" s="216"/>
      <c r="J597" s="216"/>
      <c r="K597" s="216"/>
      <c r="L597" s="237"/>
    </row>
    <row r="598" spans="1:12">
      <c r="A598" s="13" t="s">
        <v>307</v>
      </c>
      <c r="B598" s="216" t="s">
        <v>281</v>
      </c>
      <c r="C598" s="216"/>
      <c r="D598" s="216"/>
      <c r="E598" s="216"/>
      <c r="F598" s="216"/>
      <c r="G598" s="216"/>
      <c r="H598" s="216"/>
      <c r="I598" s="216"/>
      <c r="J598" s="216"/>
      <c r="K598" s="216"/>
      <c r="L598" s="237"/>
    </row>
    <row r="599" spans="1:12">
      <c r="A599" s="13"/>
      <c r="B599" s="216" t="s">
        <v>306</v>
      </c>
      <c r="C599" s="216"/>
      <c r="D599" s="216"/>
      <c r="E599" s="216"/>
      <c r="F599" s="216"/>
      <c r="G599" s="216"/>
      <c r="H599" s="216"/>
      <c r="I599" s="216"/>
      <c r="J599" s="216"/>
      <c r="K599" s="216"/>
      <c r="L599" s="237"/>
    </row>
    <row r="600" spans="1:12">
      <c r="A600" s="13"/>
      <c r="B600" t="s">
        <v>282</v>
      </c>
      <c r="L600" s="14"/>
    </row>
    <row r="601" spans="1:12" ht="18.75">
      <c r="A601" s="13"/>
      <c r="B601" s="2" t="s">
        <v>283</v>
      </c>
      <c r="F601" s="168"/>
      <c r="L601" s="14"/>
    </row>
    <row r="602" spans="1:12">
      <c r="A602" s="13"/>
      <c r="B602" s="2" t="s">
        <v>284</v>
      </c>
      <c r="L602" s="14"/>
    </row>
    <row r="603" spans="1:12" ht="21.75" customHeight="1">
      <c r="A603" s="13"/>
      <c r="B603" t="s">
        <v>285</v>
      </c>
      <c r="L603" s="14"/>
    </row>
    <row r="604" spans="1:12" ht="18" customHeight="1">
      <c r="A604" s="13"/>
      <c r="B604" t="s">
        <v>286</v>
      </c>
      <c r="L604" s="14"/>
    </row>
    <row r="605" spans="1:12" ht="17.25" customHeight="1">
      <c r="A605" s="13" t="s">
        <v>296</v>
      </c>
      <c r="B605" t="s">
        <v>287</v>
      </c>
      <c r="L605" s="14"/>
    </row>
    <row r="606" spans="1:12" ht="19.5" customHeight="1">
      <c r="A606" s="13"/>
      <c r="B606" s="228" t="s">
        <v>308</v>
      </c>
      <c r="L606" s="14"/>
    </row>
    <row r="607" spans="1:12" ht="18.75" customHeight="1">
      <c r="A607" s="13"/>
      <c r="B607" t="s">
        <v>282</v>
      </c>
      <c r="L607" s="14"/>
    </row>
    <row r="608" spans="1:12" ht="15" customHeight="1">
      <c r="A608" s="13"/>
      <c r="B608" t="s">
        <v>288</v>
      </c>
      <c r="L608" s="14"/>
    </row>
    <row r="609" spans="1:12" ht="20.25" customHeight="1">
      <c r="A609" s="13"/>
      <c r="B609" t="s">
        <v>289</v>
      </c>
      <c r="L609" s="14"/>
    </row>
    <row r="610" spans="1:12" ht="21" customHeight="1">
      <c r="A610" s="13"/>
      <c r="B610" s="952" t="s">
        <v>290</v>
      </c>
      <c r="C610" s="952"/>
      <c r="D610" s="952"/>
      <c r="E610" s="952"/>
      <c r="F610" s="952"/>
      <c r="G610" s="952"/>
      <c r="H610" s="952"/>
      <c r="I610" s="952"/>
      <c r="J610" s="952"/>
      <c r="K610" s="952"/>
      <c r="L610" s="953"/>
    </row>
    <row r="611" spans="1:12" ht="27.95" customHeight="1">
      <c r="A611" s="13"/>
      <c r="B611" t="s">
        <v>202</v>
      </c>
      <c r="C611" s="198"/>
      <c r="D611" s="198"/>
      <c r="E611" s="198"/>
      <c r="F611" s="198"/>
      <c r="G611" s="198"/>
      <c r="H611" s="198"/>
      <c r="I611" t="s">
        <v>309</v>
      </c>
      <c r="J611" s="198"/>
      <c r="K611" s="198"/>
      <c r="L611" s="229"/>
    </row>
    <row r="612" spans="1:12" ht="27.95" customHeight="1" thickBot="1">
      <c r="A612" s="25"/>
      <c r="B612" s="761"/>
      <c r="C612" s="761"/>
      <c r="D612" s="761"/>
      <c r="E612" s="761"/>
      <c r="F612" s="761"/>
      <c r="G612" s="761"/>
      <c r="H612" s="761"/>
      <c r="I612" s="761"/>
      <c r="J612" s="761"/>
      <c r="K612" s="761"/>
      <c r="L612" s="762"/>
    </row>
    <row r="613" spans="1:12" ht="27.95" customHeight="1">
      <c r="B613" s="169"/>
      <c r="C613" s="165"/>
      <c r="D613" s="165"/>
      <c r="E613" s="165"/>
      <c r="F613" s="165"/>
      <c r="G613" s="165"/>
      <c r="H613" s="154"/>
      <c r="I613" s="154"/>
      <c r="J613" s="154"/>
      <c r="K613" s="154"/>
      <c r="L613" s="154"/>
    </row>
    <row r="614" spans="1:12" ht="27.95" customHeight="1">
      <c r="B614" s="169"/>
      <c r="C614" s="165"/>
      <c r="D614" s="165"/>
      <c r="E614" s="165"/>
      <c r="F614" s="165"/>
      <c r="G614" s="165"/>
      <c r="H614" s="154"/>
      <c r="I614" s="154"/>
      <c r="J614" s="155"/>
      <c r="K614" s="154"/>
      <c r="L614" s="154"/>
    </row>
    <row r="615" spans="1:12" ht="27.95" customHeight="1">
      <c r="B615" s="169"/>
      <c r="C615" s="165"/>
      <c r="D615" s="165"/>
      <c r="E615" s="165"/>
      <c r="F615" s="165"/>
      <c r="G615" s="165"/>
      <c r="H615" s="154"/>
      <c r="I615" s="154"/>
      <c r="J615" s="154"/>
      <c r="K615" s="154"/>
      <c r="L615" s="154"/>
    </row>
    <row r="616" spans="1:12" ht="27.95" customHeight="1">
      <c r="B616" s="169"/>
      <c r="C616" s="165"/>
      <c r="D616" s="165"/>
      <c r="E616" s="165"/>
      <c r="F616" s="165"/>
      <c r="G616" s="165"/>
      <c r="H616" s="154"/>
      <c r="I616" s="154"/>
      <c r="J616" s="155"/>
      <c r="K616" s="154"/>
      <c r="L616" s="154"/>
    </row>
    <row r="617" spans="1:12" ht="27.95" customHeight="1">
      <c r="B617" s="169"/>
      <c r="C617" s="165"/>
      <c r="D617" s="154"/>
      <c r="E617" s="155"/>
      <c r="F617" s="154"/>
      <c r="G617" s="155"/>
      <c r="H617" s="154"/>
      <c r="I617" s="155"/>
      <c r="J617" s="154"/>
      <c r="K617" s="155"/>
      <c r="L617" s="155"/>
    </row>
    <row r="618" spans="1:12" ht="27.95" customHeight="1">
      <c r="B618" s="169"/>
      <c r="C618" s="165"/>
      <c r="D618" s="165"/>
      <c r="E618" s="165"/>
      <c r="F618" s="165"/>
      <c r="G618" s="165"/>
      <c r="H618" s="154"/>
      <c r="I618" s="154"/>
      <c r="J618" s="239"/>
      <c r="K618" s="154"/>
      <c r="L618" s="154"/>
    </row>
    <row r="619" spans="1:12" ht="27.95" customHeight="1">
      <c r="B619" s="169"/>
      <c r="C619" s="2"/>
      <c r="D619" s="2"/>
      <c r="E619" s="2"/>
      <c r="F619" s="2"/>
      <c r="G619" s="2"/>
    </row>
    <row r="620" spans="1:12" ht="27.95" customHeight="1">
      <c r="B620" s="169"/>
      <c r="C620" s="2"/>
      <c r="D620" s="2"/>
      <c r="E620" s="2"/>
      <c r="F620" s="2"/>
      <c r="G620" s="2"/>
    </row>
    <row r="623" spans="1:12" ht="32.25">
      <c r="B623" s="905"/>
      <c r="C623" s="795"/>
      <c r="D623" s="795"/>
      <c r="E623" s="795"/>
      <c r="F623" s="795"/>
      <c r="G623" s="795"/>
      <c r="H623" s="795"/>
      <c r="I623" s="795"/>
      <c r="J623" s="795"/>
      <c r="K623" s="795"/>
      <c r="L623" s="795"/>
    </row>
    <row r="624" spans="1:12" ht="23.25">
      <c r="B624" s="759"/>
      <c r="C624" s="759"/>
      <c r="D624" s="759"/>
      <c r="E624" s="759"/>
      <c r="F624" s="759"/>
      <c r="G624" s="759"/>
      <c r="H624" s="759"/>
      <c r="I624" s="759"/>
      <c r="J624" s="759"/>
      <c r="K624" s="759"/>
      <c r="L624" s="759"/>
    </row>
    <row r="625" spans="2:12" ht="15.75">
      <c r="B625" s="904"/>
      <c r="C625" s="904"/>
      <c r="D625" s="904"/>
      <c r="E625" s="904"/>
      <c r="F625" s="904"/>
      <c r="G625" s="904"/>
      <c r="H625" s="904"/>
      <c r="I625" s="904"/>
      <c r="J625" s="904"/>
      <c r="K625" s="904"/>
      <c r="L625" s="904"/>
    </row>
    <row r="626" spans="2:12" ht="15" customHeight="1">
      <c r="B626" s="763"/>
      <c r="C626" s="763"/>
      <c r="D626" s="763"/>
      <c r="E626" s="763"/>
      <c r="F626" s="763"/>
      <c r="H626" s="764"/>
      <c r="I626" s="764"/>
      <c r="J626" s="764"/>
      <c r="K626" s="764"/>
      <c r="L626" s="764"/>
    </row>
    <row r="627" spans="2:12">
      <c r="B627" s="763"/>
      <c r="C627" s="763"/>
      <c r="D627" s="763"/>
      <c r="E627" s="763"/>
      <c r="F627" s="763"/>
      <c r="H627" s="764"/>
      <c r="I627" s="764"/>
      <c r="J627" s="764"/>
      <c r="K627" s="764"/>
      <c r="L627" s="764"/>
    </row>
    <row r="629" spans="2:12">
      <c r="B629" s="2"/>
      <c r="H629" s="2"/>
    </row>
    <row r="631" spans="2:12">
      <c r="B631" s="2"/>
      <c r="H631" s="2"/>
    </row>
    <row r="634" spans="2:12">
      <c r="B634" s="753"/>
      <c r="C634" s="753"/>
      <c r="D634" s="753"/>
      <c r="E634" s="753"/>
      <c r="F634" s="753"/>
      <c r="H634" s="753"/>
      <c r="I634" s="753"/>
      <c r="J634" s="753"/>
      <c r="K634" s="753"/>
      <c r="L634" s="753"/>
    </row>
    <row r="636" spans="2:12">
      <c r="H636" s="2"/>
      <c r="I636" s="2"/>
      <c r="J636" s="2"/>
      <c r="K636" s="2"/>
      <c r="L636" s="2"/>
    </row>
    <row r="637" spans="2:12">
      <c r="H637" s="2"/>
      <c r="I637" s="2"/>
      <c r="J637" s="2"/>
      <c r="K637" s="2"/>
      <c r="L637" s="2"/>
    </row>
    <row r="638" spans="2:12">
      <c r="B638" s="2"/>
      <c r="H638" s="2"/>
      <c r="I638" s="2"/>
      <c r="J638" s="2"/>
      <c r="K638" s="2"/>
      <c r="L638" s="2"/>
    </row>
    <row r="639" spans="2:12">
      <c r="H639" s="2"/>
      <c r="I639" s="2"/>
      <c r="J639" s="2"/>
      <c r="K639" s="2"/>
      <c r="L639" s="2"/>
    </row>
    <row r="640" spans="2:12">
      <c r="H640" s="2"/>
      <c r="I640" s="2"/>
      <c r="J640" s="2"/>
      <c r="K640" s="2"/>
      <c r="L640" s="2"/>
    </row>
    <row r="641" spans="1:12" ht="27.95" customHeight="1">
      <c r="A641" s="10"/>
      <c r="B641" s="901"/>
      <c r="C641" s="901"/>
      <c r="D641" s="901"/>
      <c r="E641" s="901"/>
      <c r="F641" s="901"/>
      <c r="G641" s="901"/>
      <c r="H641" s="899"/>
      <c r="I641" s="900"/>
      <c r="J641" s="900"/>
      <c r="K641" s="900"/>
      <c r="L641" s="900"/>
    </row>
    <row r="642" spans="1:12" ht="27.95" customHeight="1">
      <c r="A642" s="10"/>
      <c r="B642" s="764"/>
      <c r="C642" s="764"/>
      <c r="D642" s="764"/>
      <c r="E642" s="764"/>
      <c r="F642" s="764"/>
      <c r="G642" s="764"/>
      <c r="H642" s="899"/>
      <c r="I642" s="900"/>
      <c r="J642" s="900"/>
      <c r="K642" s="900"/>
      <c r="L642" s="900"/>
    </row>
    <row r="643" spans="1:12" ht="27.95" customHeight="1">
      <c r="A643" s="10"/>
      <c r="B643" s="901"/>
      <c r="C643" s="901"/>
      <c r="D643" s="901"/>
      <c r="E643" s="901"/>
      <c r="F643" s="901"/>
      <c r="G643" s="901"/>
      <c r="H643" s="899"/>
      <c r="I643" s="900"/>
      <c r="J643" s="900"/>
      <c r="K643" s="900"/>
      <c r="L643" s="900"/>
    </row>
    <row r="644" spans="1:12" ht="27.95" customHeight="1">
      <c r="A644" s="10"/>
      <c r="B644" s="901"/>
      <c r="C644" s="901"/>
      <c r="D644" s="901"/>
      <c r="E644" s="901"/>
      <c r="F644" s="901"/>
      <c r="G644" s="901"/>
      <c r="H644" s="903"/>
      <c r="I644" s="900"/>
      <c r="J644" s="900"/>
      <c r="K644" s="900"/>
      <c r="L644" s="900"/>
    </row>
    <row r="645" spans="1:12" ht="27.95" customHeight="1">
      <c r="A645" s="10"/>
      <c r="B645" s="169"/>
      <c r="C645" s="165"/>
      <c r="D645" s="165"/>
      <c r="E645" s="165"/>
      <c r="F645" s="165"/>
      <c r="G645" s="165"/>
      <c r="H645" s="154"/>
      <c r="I645" s="10"/>
      <c r="J645" s="238"/>
      <c r="K645" s="154"/>
      <c r="L645" s="154"/>
    </row>
    <row r="646" spans="1:12" ht="27.95" customHeight="1">
      <c r="A646" s="10"/>
      <c r="B646" s="169"/>
      <c r="C646" s="165"/>
      <c r="D646" s="165"/>
      <c r="E646" s="165"/>
      <c r="F646" s="165"/>
      <c r="G646" s="165"/>
      <c r="H646" s="154"/>
      <c r="I646" s="154"/>
      <c r="J646" s="238"/>
      <c r="K646" s="154"/>
      <c r="L646" s="154"/>
    </row>
    <row r="647" spans="1:12" ht="27.95" customHeight="1">
      <c r="A647" s="10"/>
      <c r="B647" s="764"/>
      <c r="C647" s="764"/>
      <c r="D647" s="764"/>
      <c r="E647" s="764"/>
      <c r="F647" s="764"/>
      <c r="G647" s="764"/>
      <c r="H647" s="899"/>
      <c r="I647" s="900"/>
      <c r="J647" s="900"/>
      <c r="K647" s="900"/>
      <c r="L647" s="900"/>
    </row>
    <row r="648" spans="1:12" ht="27.95" customHeight="1">
      <c r="A648" s="10"/>
      <c r="B648" s="901"/>
      <c r="C648" s="901"/>
      <c r="D648" s="901"/>
      <c r="E648" s="901"/>
      <c r="F648" s="901"/>
      <c r="G648" s="901"/>
      <c r="H648" s="902"/>
      <c r="I648" s="900"/>
      <c r="J648" s="900"/>
      <c r="K648" s="900"/>
      <c r="L648" s="900"/>
    </row>
    <row r="649" spans="1:12" ht="27.95" customHeight="1">
      <c r="B649" s="901"/>
      <c r="C649" s="901"/>
      <c r="D649" s="901"/>
      <c r="E649" s="901"/>
      <c r="F649" s="901"/>
      <c r="G649" s="901"/>
      <c r="H649" s="900"/>
      <c r="I649" s="900"/>
      <c r="J649" s="900"/>
      <c r="K649" s="900"/>
      <c r="L649" s="900"/>
    </row>
    <row r="650" spans="1:12" ht="27.95" customHeight="1">
      <c r="B650" s="169"/>
      <c r="C650" s="165"/>
      <c r="D650" s="165"/>
      <c r="E650" s="165"/>
      <c r="F650" s="165"/>
      <c r="G650" s="165"/>
      <c r="H650" s="154"/>
      <c r="I650" s="154"/>
      <c r="J650" s="154"/>
      <c r="K650" s="154"/>
      <c r="L650" s="154"/>
    </row>
    <row r="651" spans="1:12" ht="27.95" customHeight="1">
      <c r="B651" s="169"/>
      <c r="C651" s="165"/>
      <c r="D651" s="165"/>
      <c r="E651" s="165"/>
      <c r="F651" s="165"/>
      <c r="G651" s="165"/>
      <c r="H651" s="154"/>
      <c r="I651" s="154"/>
      <c r="J651" s="154"/>
      <c r="K651" s="154"/>
      <c r="L651" s="154"/>
    </row>
    <row r="652" spans="1:12" ht="27.95" customHeight="1">
      <c r="B652" s="169"/>
      <c r="C652" s="165"/>
      <c r="D652" s="165"/>
      <c r="E652" s="165"/>
      <c r="F652" s="165"/>
      <c r="G652" s="165"/>
      <c r="H652" s="154"/>
      <c r="I652" s="154"/>
      <c r="J652" s="155"/>
      <c r="K652" s="154"/>
      <c r="L652" s="154"/>
    </row>
    <row r="653" spans="1:12" ht="27.95" customHeight="1">
      <c r="B653" s="169"/>
      <c r="C653" s="165"/>
      <c r="D653" s="165"/>
      <c r="E653" s="165"/>
      <c r="F653" s="165"/>
      <c r="G653" s="165"/>
      <c r="H653" s="154"/>
      <c r="I653" s="154"/>
      <c r="J653" s="154"/>
      <c r="K653" s="154"/>
      <c r="L653" s="154"/>
    </row>
    <row r="654" spans="1:12" ht="27.95" customHeight="1">
      <c r="B654" s="169"/>
      <c r="C654" s="165"/>
      <c r="D654" s="165"/>
      <c r="E654" s="165"/>
      <c r="F654" s="165"/>
      <c r="G654" s="165"/>
      <c r="H654" s="154"/>
      <c r="I654" s="154"/>
      <c r="J654" s="155"/>
      <c r="K654" s="154"/>
      <c r="L654" s="154"/>
    </row>
    <row r="655" spans="1:12" ht="27.95" customHeight="1">
      <c r="B655" s="169"/>
      <c r="C655" s="165"/>
      <c r="D655" s="154"/>
      <c r="E655" s="155"/>
      <c r="F655" s="154"/>
      <c r="G655" s="155"/>
      <c r="H655" s="154"/>
      <c r="I655" s="155"/>
      <c r="J655" s="154"/>
      <c r="K655" s="155"/>
      <c r="L655" s="155"/>
    </row>
    <row r="656" spans="1:12" ht="27.95" customHeight="1">
      <c r="B656" s="169"/>
      <c r="C656" s="165"/>
      <c r="D656" s="165"/>
      <c r="E656" s="165"/>
      <c r="F656" s="165"/>
      <c r="G656" s="165"/>
      <c r="H656" s="154"/>
      <c r="I656" s="154"/>
      <c r="J656" s="239"/>
      <c r="K656" s="154"/>
      <c r="L656" s="154"/>
    </row>
    <row r="657" spans="2:12" ht="27.95" customHeight="1">
      <c r="B657" s="169"/>
      <c r="C657" s="2"/>
      <c r="D657" s="2"/>
      <c r="E657" s="2"/>
      <c r="F657" s="2"/>
      <c r="G657" s="2"/>
    </row>
    <row r="658" spans="2:12" ht="27.95" customHeight="1">
      <c r="B658" s="169"/>
      <c r="C658" s="2"/>
      <c r="D658" s="2"/>
      <c r="E658" s="2"/>
      <c r="F658" s="2"/>
      <c r="G658" s="2"/>
    </row>
    <row r="662" spans="2:12" ht="32.25">
      <c r="B662" s="905"/>
      <c r="C662" s="795"/>
      <c r="D662" s="795"/>
      <c r="E662" s="795"/>
      <c r="F662" s="795"/>
      <c r="G662" s="795"/>
      <c r="H662" s="795"/>
      <c r="I662" s="795"/>
      <c r="J662" s="795"/>
      <c r="K662" s="795"/>
      <c r="L662" s="795"/>
    </row>
    <row r="663" spans="2:12" ht="23.25">
      <c r="B663" s="759"/>
      <c r="C663" s="759"/>
      <c r="D663" s="759"/>
      <c r="E663" s="759"/>
      <c r="F663" s="759"/>
      <c r="G663" s="759"/>
      <c r="H663" s="759"/>
      <c r="I663" s="759"/>
      <c r="J663" s="759"/>
      <c r="K663" s="759"/>
      <c r="L663" s="759"/>
    </row>
    <row r="664" spans="2:12" ht="15.75">
      <c r="B664" s="904"/>
      <c r="C664" s="904"/>
      <c r="D664" s="904"/>
      <c r="E664" s="904"/>
      <c r="F664" s="904"/>
      <c r="G664" s="904"/>
      <c r="H664" s="904"/>
      <c r="I664" s="904"/>
      <c r="J664" s="904"/>
      <c r="K664" s="904"/>
      <c r="L664" s="904"/>
    </row>
    <row r="665" spans="2:12" ht="15" customHeight="1">
      <c r="B665" s="763"/>
      <c r="C665" s="763"/>
      <c r="D665" s="763"/>
      <c r="E665" s="763"/>
      <c r="F665" s="763"/>
      <c r="H665" s="764"/>
      <c r="I665" s="764"/>
      <c r="J665" s="764"/>
      <c r="K665" s="764"/>
      <c r="L665" s="764"/>
    </row>
    <row r="666" spans="2:12">
      <c r="B666" s="763"/>
      <c r="C666" s="763"/>
      <c r="D666" s="763"/>
      <c r="E666" s="763"/>
      <c r="F666" s="763"/>
      <c r="H666" s="764"/>
      <c r="I666" s="764"/>
      <c r="J666" s="764"/>
      <c r="K666" s="764"/>
      <c r="L666" s="764"/>
    </row>
    <row r="668" spans="2:12">
      <c r="B668" s="2"/>
      <c r="H668" s="2"/>
    </row>
    <row r="670" spans="2:12">
      <c r="B670" s="2"/>
      <c r="H670" s="2"/>
    </row>
    <row r="673" spans="1:12">
      <c r="B673" s="753"/>
      <c r="C673" s="753"/>
      <c r="D673" s="753"/>
      <c r="E673" s="753"/>
      <c r="F673" s="753"/>
      <c r="H673" s="753"/>
      <c r="I673" s="753"/>
      <c r="J673" s="753"/>
      <c r="K673" s="753"/>
      <c r="L673" s="753"/>
    </row>
    <row r="675" spans="1:12">
      <c r="H675" s="2"/>
      <c r="I675" s="2"/>
      <c r="J675" s="2"/>
      <c r="K675" s="2"/>
      <c r="L675" s="2"/>
    </row>
    <row r="676" spans="1:12">
      <c r="H676" s="2"/>
      <c r="I676" s="2"/>
      <c r="J676" s="2"/>
      <c r="K676" s="2"/>
      <c r="L676" s="2"/>
    </row>
    <row r="677" spans="1:12">
      <c r="B677" s="2"/>
      <c r="H677" s="2"/>
      <c r="I677" s="2"/>
      <c r="J677" s="2"/>
      <c r="K677" s="2"/>
      <c r="L677" s="2"/>
    </row>
    <row r="678" spans="1:12">
      <c r="H678" s="2"/>
      <c r="I678" s="2"/>
      <c r="J678" s="2"/>
      <c r="K678" s="2"/>
      <c r="L678" s="2"/>
    </row>
    <row r="679" spans="1:12">
      <c r="H679" s="2"/>
      <c r="I679" s="2"/>
      <c r="J679" s="2"/>
      <c r="K679" s="2"/>
      <c r="L679" s="2"/>
    </row>
    <row r="680" spans="1:12" ht="27.95" customHeight="1">
      <c r="A680" s="10"/>
      <c r="B680" s="901"/>
      <c r="C680" s="901"/>
      <c r="D680" s="901"/>
      <c r="E680" s="901"/>
      <c r="F680" s="901"/>
      <c r="G680" s="901"/>
      <c r="H680" s="899"/>
      <c r="I680" s="900"/>
      <c r="J680" s="900"/>
      <c r="K680" s="900"/>
      <c r="L680" s="900"/>
    </row>
    <row r="681" spans="1:12" ht="27.95" customHeight="1">
      <c r="A681" s="10"/>
      <c r="B681" s="764"/>
      <c r="C681" s="764"/>
      <c r="D681" s="764"/>
      <c r="E681" s="764"/>
      <c r="F681" s="764"/>
      <c r="G681" s="764"/>
      <c r="H681" s="899"/>
      <c r="I681" s="900"/>
      <c r="J681" s="900"/>
      <c r="K681" s="900"/>
      <c r="L681" s="900"/>
    </row>
    <row r="682" spans="1:12" ht="27.95" customHeight="1">
      <c r="A682" s="10"/>
      <c r="B682" s="901"/>
      <c r="C682" s="901"/>
      <c r="D682" s="901"/>
      <c r="E682" s="901"/>
      <c r="F682" s="901"/>
      <c r="G682" s="901"/>
      <c r="H682" s="899"/>
      <c r="I682" s="900"/>
      <c r="J682" s="900"/>
      <c r="K682" s="900"/>
      <c r="L682" s="900"/>
    </row>
    <row r="683" spans="1:12" ht="27.95" customHeight="1">
      <c r="A683" s="10"/>
      <c r="B683" s="901"/>
      <c r="C683" s="901"/>
      <c r="D683" s="901"/>
      <c r="E683" s="901"/>
      <c r="F683" s="901"/>
      <c r="G683" s="901"/>
      <c r="H683" s="903"/>
      <c r="I683" s="900"/>
      <c r="J683" s="900"/>
      <c r="K683" s="900"/>
      <c r="L683" s="900"/>
    </row>
    <row r="684" spans="1:12" ht="27.95" customHeight="1">
      <c r="A684" s="10"/>
      <c r="B684" s="169"/>
      <c r="C684" s="165"/>
      <c r="D684" s="165"/>
      <c r="E684" s="165"/>
      <c r="F684" s="165"/>
      <c r="G684" s="165"/>
      <c r="H684" s="154"/>
      <c r="I684" s="10"/>
      <c r="J684" s="238"/>
      <c r="K684" s="154"/>
      <c r="L684" s="154"/>
    </row>
    <row r="685" spans="1:12" ht="27.95" customHeight="1">
      <c r="A685" s="10"/>
      <c r="B685" s="169"/>
      <c r="C685" s="165"/>
      <c r="D685" s="165"/>
      <c r="E685" s="165"/>
      <c r="F685" s="165"/>
      <c r="G685" s="165"/>
      <c r="H685" s="154"/>
      <c r="I685" s="154"/>
      <c r="J685" s="238"/>
      <c r="K685" s="154"/>
      <c r="L685" s="154"/>
    </row>
    <row r="686" spans="1:12" ht="27.95" customHeight="1">
      <c r="A686" s="10"/>
      <c r="B686" s="764"/>
      <c r="C686" s="764"/>
      <c r="D686" s="764"/>
      <c r="E686" s="764"/>
      <c r="F686" s="764"/>
      <c r="G686" s="764"/>
      <c r="H686" s="899"/>
      <c r="I686" s="900"/>
      <c r="J686" s="900"/>
      <c r="K686" s="900"/>
      <c r="L686" s="900"/>
    </row>
    <row r="687" spans="1:12" ht="27.95" customHeight="1">
      <c r="A687" s="10"/>
      <c r="B687" s="901"/>
      <c r="C687" s="901"/>
      <c r="D687" s="901"/>
      <c r="E687" s="901"/>
      <c r="F687" s="901"/>
      <c r="G687" s="901"/>
      <c r="H687" s="902"/>
      <c r="I687" s="900"/>
      <c r="J687" s="900"/>
      <c r="K687" s="900"/>
      <c r="L687" s="900"/>
    </row>
    <row r="688" spans="1:12" ht="27.95" customHeight="1">
      <c r="B688" s="901"/>
      <c r="C688" s="901"/>
      <c r="D688" s="901"/>
      <c r="E688" s="901"/>
      <c r="F688" s="901"/>
      <c r="G688" s="901"/>
      <c r="H688" s="900"/>
      <c r="I688" s="900"/>
      <c r="J688" s="900"/>
      <c r="K688" s="900"/>
      <c r="L688" s="900"/>
    </row>
    <row r="689" spans="2:12" ht="27.95" customHeight="1">
      <c r="B689" s="169"/>
      <c r="C689" s="165"/>
      <c r="D689" s="165"/>
      <c r="E689" s="165"/>
      <c r="F689" s="165"/>
      <c r="G689" s="165"/>
      <c r="H689" s="154"/>
      <c r="I689" s="154"/>
      <c r="J689" s="154"/>
      <c r="K689" s="154"/>
      <c r="L689" s="154"/>
    </row>
    <row r="690" spans="2:12" ht="27.95" customHeight="1">
      <c r="B690" s="169"/>
      <c r="C690" s="165"/>
      <c r="D690" s="165"/>
      <c r="E690" s="165"/>
      <c r="F690" s="165"/>
      <c r="G690" s="165"/>
      <c r="H690" s="154"/>
      <c r="I690" s="154"/>
      <c r="J690" s="154"/>
      <c r="K690" s="154"/>
      <c r="L690" s="154"/>
    </row>
    <row r="691" spans="2:12" ht="27.95" customHeight="1">
      <c r="B691" s="169"/>
      <c r="C691" s="165"/>
      <c r="D691" s="165"/>
      <c r="E691" s="165"/>
      <c r="F691" s="165"/>
      <c r="G691" s="165"/>
      <c r="H691" s="154"/>
      <c r="I691" s="154"/>
      <c r="J691" s="155"/>
      <c r="K691" s="154"/>
      <c r="L691" s="154"/>
    </row>
    <row r="692" spans="2:12" ht="27.95" customHeight="1">
      <c r="B692" s="169"/>
      <c r="C692" s="165"/>
      <c r="D692" s="165"/>
      <c r="E692" s="165"/>
      <c r="F692" s="165"/>
      <c r="G692" s="165"/>
      <c r="H692" s="154"/>
      <c r="I692" s="154"/>
      <c r="J692" s="154"/>
      <c r="K692" s="154"/>
      <c r="L692" s="154"/>
    </row>
    <row r="693" spans="2:12" ht="27.95" customHeight="1">
      <c r="B693" s="169"/>
      <c r="C693" s="165"/>
      <c r="D693" s="165"/>
      <c r="E693" s="165"/>
      <c r="F693" s="165"/>
      <c r="G693" s="165"/>
      <c r="H693" s="154"/>
      <c r="I693" s="154"/>
      <c r="J693" s="155"/>
      <c r="K693" s="154"/>
      <c r="L693" s="154"/>
    </row>
    <row r="694" spans="2:12" ht="27.95" customHeight="1">
      <c r="B694" s="169"/>
      <c r="C694" s="165"/>
      <c r="D694" s="154"/>
      <c r="E694" s="155"/>
      <c r="F694" s="154"/>
      <c r="G694" s="155"/>
      <c r="H694" s="154"/>
      <c r="I694" s="155"/>
      <c r="J694" s="154"/>
      <c r="K694" s="155"/>
      <c r="L694" s="155"/>
    </row>
    <row r="695" spans="2:12" ht="27.95" customHeight="1">
      <c r="B695" s="169"/>
      <c r="C695" s="165"/>
      <c r="D695" s="165"/>
      <c r="E695" s="165"/>
      <c r="F695" s="165"/>
      <c r="G695" s="165"/>
      <c r="H695" s="154"/>
      <c r="I695" s="154"/>
      <c r="J695" s="239"/>
      <c r="K695" s="154"/>
      <c r="L695" s="154"/>
    </row>
    <row r="696" spans="2:12" ht="27.95" customHeight="1">
      <c r="B696" s="169"/>
      <c r="C696" s="2"/>
      <c r="D696" s="2"/>
      <c r="E696" s="2"/>
      <c r="F696" s="2"/>
      <c r="G696" s="2"/>
    </row>
    <row r="697" spans="2:12" ht="27.95" customHeight="1">
      <c r="B697" s="169"/>
      <c r="C697" s="2"/>
      <c r="D697" s="2"/>
      <c r="E697" s="2"/>
      <c r="F697" s="2"/>
      <c r="G697" s="2"/>
    </row>
    <row r="701" spans="2:12" ht="32.25">
      <c r="B701" s="905"/>
      <c r="C701" s="795"/>
      <c r="D701" s="795"/>
      <c r="E701" s="795"/>
      <c r="F701" s="795"/>
      <c r="G701" s="795"/>
      <c r="H701" s="795"/>
      <c r="I701" s="795"/>
      <c r="J701" s="795"/>
      <c r="K701" s="795"/>
      <c r="L701" s="795"/>
    </row>
    <row r="702" spans="2:12" ht="23.25">
      <c r="B702" s="759"/>
      <c r="C702" s="759"/>
      <c r="D702" s="759"/>
      <c r="E702" s="759"/>
      <c r="F702" s="759"/>
      <c r="G702" s="759"/>
      <c r="H702" s="759"/>
      <c r="I702" s="759"/>
      <c r="J702" s="759"/>
      <c r="K702" s="759"/>
      <c r="L702" s="759"/>
    </row>
    <row r="703" spans="2:12" ht="15.75">
      <c r="B703" s="904"/>
      <c r="C703" s="904"/>
      <c r="D703" s="904"/>
      <c r="E703" s="904"/>
      <c r="F703" s="904"/>
      <c r="G703" s="904"/>
      <c r="H703" s="904"/>
      <c r="I703" s="904"/>
      <c r="J703" s="904"/>
      <c r="K703" s="904"/>
      <c r="L703" s="904"/>
    </row>
    <row r="704" spans="2:12" ht="15" customHeight="1">
      <c r="B704" s="763"/>
      <c r="C704" s="763"/>
      <c r="D704" s="763"/>
      <c r="E704" s="763"/>
      <c r="F704" s="763"/>
      <c r="H704" s="764"/>
      <c r="I704" s="764"/>
      <c r="J704" s="764"/>
      <c r="K704" s="764"/>
      <c r="L704" s="764"/>
    </row>
    <row r="705" spans="1:12">
      <c r="B705" s="763"/>
      <c r="C705" s="763"/>
      <c r="D705" s="763"/>
      <c r="E705" s="763"/>
      <c r="F705" s="763"/>
      <c r="H705" s="764"/>
      <c r="I705" s="764"/>
      <c r="J705" s="764"/>
      <c r="K705" s="764"/>
      <c r="L705" s="764"/>
    </row>
    <row r="707" spans="1:12">
      <c r="B707" s="2"/>
      <c r="H707" s="2"/>
    </row>
    <row r="709" spans="1:12">
      <c r="B709" s="2"/>
      <c r="H709" s="2"/>
    </row>
    <row r="712" spans="1:12">
      <c r="B712" s="753"/>
      <c r="C712" s="753"/>
      <c r="D712" s="753"/>
      <c r="E712" s="753"/>
      <c r="F712" s="753"/>
      <c r="H712" s="753"/>
      <c r="I712" s="753"/>
      <c r="J712" s="753"/>
      <c r="K712" s="753"/>
      <c r="L712" s="753"/>
    </row>
    <row r="714" spans="1:12">
      <c r="H714" s="2"/>
      <c r="I714" s="2"/>
      <c r="J714" s="2"/>
      <c r="K714" s="2"/>
      <c r="L714" s="2"/>
    </row>
    <row r="715" spans="1:12">
      <c r="H715" s="2"/>
      <c r="I715" s="2"/>
      <c r="J715" s="2"/>
      <c r="K715" s="2"/>
      <c r="L715" s="2"/>
    </row>
    <row r="716" spans="1:12">
      <c r="B716" s="2"/>
      <c r="H716" s="2"/>
      <c r="I716" s="2"/>
      <c r="J716" s="2"/>
      <c r="K716" s="2"/>
      <c r="L716" s="2"/>
    </row>
    <row r="717" spans="1:12">
      <c r="H717" s="2"/>
      <c r="I717" s="2"/>
      <c r="J717" s="2"/>
      <c r="K717" s="2"/>
      <c r="L717" s="2"/>
    </row>
    <row r="718" spans="1:12">
      <c r="H718" s="2"/>
      <c r="I718" s="2"/>
      <c r="J718" s="2"/>
      <c r="K718" s="2"/>
      <c r="L718" s="2"/>
    </row>
    <row r="719" spans="1:12" ht="27.95" customHeight="1">
      <c r="A719" s="10"/>
      <c r="B719" s="901"/>
      <c r="C719" s="901"/>
      <c r="D719" s="901"/>
      <c r="E719" s="901"/>
      <c r="F719" s="901"/>
      <c r="G719" s="901"/>
      <c r="H719" s="899"/>
      <c r="I719" s="900"/>
      <c r="J719" s="900"/>
      <c r="K719" s="900"/>
      <c r="L719" s="900"/>
    </row>
    <row r="720" spans="1:12" ht="27.95" customHeight="1">
      <c r="A720" s="10"/>
      <c r="B720" s="764"/>
      <c r="C720" s="764"/>
      <c r="D720" s="764"/>
      <c r="E720" s="764"/>
      <c r="F720" s="764"/>
      <c r="G720" s="764"/>
      <c r="H720" s="899"/>
      <c r="I720" s="900"/>
      <c r="J720" s="900"/>
      <c r="K720" s="900"/>
      <c r="L720" s="900"/>
    </row>
    <row r="721" spans="1:12" ht="27.95" customHeight="1">
      <c r="A721" s="10"/>
      <c r="B721" s="901"/>
      <c r="C721" s="901"/>
      <c r="D721" s="901"/>
      <c r="E721" s="901"/>
      <c r="F721" s="901"/>
      <c r="G721" s="901"/>
      <c r="H721" s="899"/>
      <c r="I721" s="900"/>
      <c r="J721" s="900"/>
      <c r="K721" s="900"/>
      <c r="L721" s="900"/>
    </row>
    <row r="722" spans="1:12" ht="27.95" customHeight="1">
      <c r="A722" s="10"/>
      <c r="B722" s="901"/>
      <c r="C722" s="901"/>
      <c r="D722" s="901"/>
      <c r="E722" s="901"/>
      <c r="F722" s="901"/>
      <c r="G722" s="901"/>
      <c r="H722" s="903"/>
      <c r="I722" s="900"/>
      <c r="J722" s="900"/>
      <c r="K722" s="900"/>
      <c r="L722" s="900"/>
    </row>
    <row r="723" spans="1:12" ht="27.95" customHeight="1">
      <c r="A723" s="10"/>
      <c r="B723" s="169"/>
      <c r="C723" s="165"/>
      <c r="D723" s="165"/>
      <c r="E723" s="165"/>
      <c r="F723" s="165"/>
      <c r="G723" s="165"/>
      <c r="H723" s="154"/>
      <c r="I723" s="10"/>
      <c r="J723" s="238"/>
      <c r="K723" s="154"/>
      <c r="L723" s="154"/>
    </row>
    <row r="724" spans="1:12" ht="27.95" customHeight="1">
      <c r="A724" s="10"/>
      <c r="B724" s="169"/>
      <c r="C724" s="165"/>
      <c r="D724" s="165"/>
      <c r="E724" s="165"/>
      <c r="F724" s="165"/>
      <c r="G724" s="165"/>
      <c r="H724" s="154"/>
      <c r="I724" s="154"/>
      <c r="J724" s="238"/>
      <c r="K724" s="154"/>
      <c r="L724" s="154"/>
    </row>
    <row r="725" spans="1:12" ht="27.95" customHeight="1">
      <c r="A725" s="10"/>
      <c r="B725" s="764"/>
      <c r="C725" s="764"/>
      <c r="D725" s="764"/>
      <c r="E725" s="764"/>
      <c r="F725" s="764"/>
      <c r="G725" s="764"/>
      <c r="H725" s="899"/>
      <c r="I725" s="900"/>
      <c r="J725" s="900"/>
      <c r="K725" s="900"/>
      <c r="L725" s="900"/>
    </row>
    <row r="726" spans="1:12" ht="27.95" customHeight="1">
      <c r="A726" s="10"/>
      <c r="B726" s="901"/>
      <c r="C726" s="901"/>
      <c r="D726" s="901"/>
      <c r="E726" s="901"/>
      <c r="F726" s="901"/>
      <c r="G726" s="901"/>
      <c r="H726" s="902"/>
      <c r="I726" s="900"/>
      <c r="J726" s="900"/>
      <c r="K726" s="900"/>
      <c r="L726" s="900"/>
    </row>
    <row r="727" spans="1:12" ht="27.95" customHeight="1">
      <c r="B727" s="901"/>
      <c r="C727" s="901"/>
      <c r="D727" s="901"/>
      <c r="E727" s="901"/>
      <c r="F727" s="901"/>
      <c r="G727" s="901"/>
      <c r="H727" s="900"/>
      <c r="I727" s="900"/>
      <c r="J727" s="900"/>
      <c r="K727" s="900"/>
      <c r="L727" s="900"/>
    </row>
    <row r="728" spans="1:12" ht="27.95" customHeight="1">
      <c r="B728" s="169"/>
      <c r="C728" s="165"/>
      <c r="D728" s="165"/>
      <c r="E728" s="165"/>
      <c r="F728" s="165"/>
      <c r="G728" s="165"/>
      <c r="H728" s="154"/>
      <c r="I728" s="154"/>
      <c r="J728" s="154"/>
      <c r="K728" s="154"/>
      <c r="L728" s="154"/>
    </row>
    <row r="729" spans="1:12" ht="27.95" customHeight="1">
      <c r="B729" s="169"/>
      <c r="C729" s="165"/>
      <c r="D729" s="165"/>
      <c r="E729" s="165"/>
      <c r="F729" s="165"/>
      <c r="G729" s="165"/>
      <c r="H729" s="154"/>
      <c r="I729" s="154"/>
      <c r="J729" s="154"/>
      <c r="K729" s="154"/>
      <c r="L729" s="154"/>
    </row>
    <row r="730" spans="1:12" ht="27.95" customHeight="1">
      <c r="B730" s="169"/>
      <c r="C730" s="165"/>
      <c r="D730" s="165"/>
      <c r="E730" s="165"/>
      <c r="F730" s="165"/>
      <c r="G730" s="165"/>
      <c r="H730" s="154"/>
      <c r="I730" s="154"/>
      <c r="J730" s="155"/>
      <c r="K730" s="154"/>
      <c r="L730" s="154"/>
    </row>
    <row r="731" spans="1:12" ht="27.95" customHeight="1">
      <c r="B731" s="169"/>
      <c r="C731" s="165"/>
      <c r="D731" s="165"/>
      <c r="E731" s="165"/>
      <c r="F731" s="165"/>
      <c r="G731" s="165"/>
      <c r="H731" s="154"/>
      <c r="I731" s="154"/>
      <c r="J731" s="154"/>
      <c r="K731" s="154"/>
      <c r="L731" s="154"/>
    </row>
    <row r="732" spans="1:12" ht="27.95" customHeight="1">
      <c r="B732" s="169"/>
      <c r="C732" s="165"/>
      <c r="D732" s="165"/>
      <c r="E732" s="165"/>
      <c r="F732" s="165"/>
      <c r="G732" s="165"/>
      <c r="H732" s="154"/>
      <c r="I732" s="154"/>
      <c r="J732" s="155"/>
      <c r="K732" s="154"/>
      <c r="L732" s="154"/>
    </row>
    <row r="733" spans="1:12" ht="27.95" customHeight="1">
      <c r="B733" s="169"/>
      <c r="C733" s="165"/>
      <c r="D733" s="154"/>
      <c r="E733" s="155"/>
      <c r="F733" s="154"/>
      <c r="G733" s="155"/>
      <c r="H733" s="154"/>
      <c r="I733" s="155"/>
      <c r="J733" s="154"/>
      <c r="K733" s="155"/>
      <c r="L733" s="155"/>
    </row>
    <row r="734" spans="1:12" ht="27.95" customHeight="1">
      <c r="B734" s="169"/>
      <c r="C734" s="165"/>
      <c r="D734" s="165"/>
      <c r="E734" s="165"/>
      <c r="F734" s="165"/>
      <c r="G734" s="165"/>
      <c r="H734" s="154"/>
      <c r="I734" s="154"/>
      <c r="J734" s="239"/>
      <c r="K734" s="154"/>
      <c r="L734" s="154"/>
    </row>
    <row r="735" spans="1:12" ht="27.95" customHeight="1">
      <c r="B735" s="169"/>
      <c r="C735" s="2"/>
      <c r="D735" s="2"/>
      <c r="E735" s="2"/>
      <c r="F735" s="2"/>
      <c r="G735" s="2"/>
    </row>
    <row r="736" spans="1:12" ht="27.95" customHeight="1">
      <c r="B736" s="169"/>
      <c r="C736" s="2"/>
      <c r="D736" s="2"/>
      <c r="E736" s="2"/>
      <c r="F736" s="2"/>
      <c r="G736" s="2"/>
    </row>
    <row r="740" spans="2:12" ht="32.25">
      <c r="B740" s="905"/>
      <c r="C740" s="795"/>
      <c r="D740" s="795"/>
      <c r="E740" s="795"/>
      <c r="F740" s="795"/>
      <c r="G740" s="795"/>
      <c r="H740" s="795"/>
      <c r="I740" s="795"/>
      <c r="J740" s="795"/>
      <c r="K740" s="795"/>
      <c r="L740" s="795"/>
    </row>
    <row r="741" spans="2:12" ht="23.25">
      <c r="B741" s="759"/>
      <c r="C741" s="759"/>
      <c r="D741" s="759"/>
      <c r="E741" s="759"/>
      <c r="F741" s="759"/>
      <c r="G741" s="759"/>
      <c r="H741" s="759"/>
      <c r="I741" s="759"/>
      <c r="J741" s="759"/>
      <c r="K741" s="759"/>
      <c r="L741" s="759"/>
    </row>
    <row r="742" spans="2:12" ht="15.75">
      <c r="B742" s="904"/>
      <c r="C742" s="904"/>
      <c r="D742" s="904"/>
      <c r="E742" s="904"/>
      <c r="F742" s="904"/>
      <c r="G742" s="904"/>
      <c r="H742" s="904"/>
      <c r="I742" s="904"/>
      <c r="J742" s="904"/>
      <c r="K742" s="904"/>
      <c r="L742" s="904"/>
    </row>
    <row r="743" spans="2:12" ht="15" customHeight="1">
      <c r="B743" s="763"/>
      <c r="C743" s="763"/>
      <c r="D743" s="763"/>
      <c r="E743" s="763"/>
      <c r="F743" s="763"/>
      <c r="H743" s="764"/>
      <c r="I743" s="764"/>
      <c r="J743" s="764"/>
      <c r="K743" s="764"/>
      <c r="L743" s="764"/>
    </row>
    <row r="744" spans="2:12">
      <c r="B744" s="763"/>
      <c r="C744" s="763"/>
      <c r="D744" s="763"/>
      <c r="E744" s="763"/>
      <c r="F744" s="763"/>
      <c r="H744" s="764"/>
      <c r="I744" s="764"/>
      <c r="J744" s="764"/>
      <c r="K744" s="764"/>
      <c r="L744" s="764"/>
    </row>
    <row r="746" spans="2:12">
      <c r="B746" s="2"/>
      <c r="H746" s="2"/>
    </row>
    <row r="748" spans="2:12">
      <c r="B748" s="2"/>
      <c r="H748" s="2"/>
    </row>
    <row r="749" spans="2:12" ht="15" customHeight="1"/>
    <row r="751" spans="2:12">
      <c r="B751" s="753"/>
      <c r="C751" s="753"/>
      <c r="D751" s="753"/>
      <c r="E751" s="753"/>
      <c r="F751" s="753"/>
      <c r="H751" s="753"/>
      <c r="I751" s="753"/>
      <c r="J751" s="753"/>
      <c r="K751" s="753"/>
      <c r="L751" s="753"/>
    </row>
    <row r="753" spans="1:12">
      <c r="H753" s="2"/>
      <c r="I753" s="2"/>
      <c r="J753" s="2"/>
      <c r="K753" s="2"/>
      <c r="L753" s="2"/>
    </row>
    <row r="754" spans="1:12">
      <c r="H754" s="2"/>
      <c r="I754" s="2"/>
      <c r="J754" s="2"/>
      <c r="K754" s="2"/>
      <c r="L754" s="2"/>
    </row>
    <row r="755" spans="1:12">
      <c r="B755" s="2"/>
      <c r="H755" s="2"/>
      <c r="I755" s="2"/>
      <c r="J755" s="2"/>
      <c r="K755" s="2"/>
      <c r="L755" s="2"/>
    </row>
    <row r="756" spans="1:12">
      <c r="H756" s="2"/>
      <c r="I756" s="2"/>
      <c r="J756" s="2"/>
      <c r="K756" s="2"/>
      <c r="L756" s="2"/>
    </row>
    <row r="757" spans="1:12">
      <c r="H757" s="2"/>
      <c r="I757" s="2"/>
      <c r="J757" s="2"/>
      <c r="K757" s="2"/>
      <c r="L757" s="2"/>
    </row>
    <row r="758" spans="1:12" ht="27.95" customHeight="1">
      <c r="A758" s="10"/>
      <c r="B758" s="901"/>
      <c r="C758" s="901"/>
      <c r="D758" s="901"/>
      <c r="E758" s="901"/>
      <c r="F758" s="901"/>
      <c r="G758" s="901"/>
      <c r="H758" s="899"/>
      <c r="I758" s="900"/>
      <c r="J758" s="900"/>
      <c r="K758" s="900"/>
      <c r="L758" s="900"/>
    </row>
    <row r="759" spans="1:12" ht="27.95" customHeight="1">
      <c r="A759" s="10"/>
      <c r="B759" s="764"/>
      <c r="C759" s="764"/>
      <c r="D759" s="764"/>
      <c r="E759" s="764"/>
      <c r="F759" s="764"/>
      <c r="G759" s="764"/>
      <c r="H759" s="899"/>
      <c r="I759" s="900"/>
      <c r="J759" s="900"/>
      <c r="K759" s="900"/>
      <c r="L759" s="900"/>
    </row>
    <row r="760" spans="1:12" ht="27.95" customHeight="1">
      <c r="A760" s="10"/>
      <c r="B760" s="901"/>
      <c r="C760" s="901"/>
      <c r="D760" s="901"/>
      <c r="E760" s="901"/>
      <c r="F760" s="901"/>
      <c r="G760" s="901"/>
      <c r="H760" s="899"/>
      <c r="I760" s="900"/>
      <c r="J760" s="900"/>
      <c r="K760" s="900"/>
      <c r="L760" s="900"/>
    </row>
    <row r="761" spans="1:12" ht="27.95" customHeight="1">
      <c r="A761" s="10"/>
      <c r="B761" s="901"/>
      <c r="C761" s="901"/>
      <c r="D761" s="901"/>
      <c r="E761" s="901"/>
      <c r="F761" s="901"/>
      <c r="G761" s="901"/>
      <c r="H761" s="903"/>
      <c r="I761" s="900"/>
      <c r="J761" s="900"/>
      <c r="K761" s="900"/>
      <c r="L761" s="900"/>
    </row>
    <row r="762" spans="1:12" ht="27.95" customHeight="1">
      <c r="A762" s="10"/>
      <c r="B762" s="169"/>
      <c r="C762" s="165"/>
      <c r="D762" s="165"/>
      <c r="E762" s="165"/>
      <c r="F762" s="165"/>
      <c r="G762" s="165"/>
      <c r="H762" s="154"/>
      <c r="I762" s="10"/>
      <c r="J762" s="238"/>
      <c r="K762" s="154"/>
      <c r="L762" s="154"/>
    </row>
    <row r="763" spans="1:12" ht="27.95" customHeight="1">
      <c r="A763" s="10"/>
      <c r="B763" s="169"/>
      <c r="C763" s="165"/>
      <c r="D763" s="165"/>
      <c r="E763" s="165"/>
      <c r="F763" s="165"/>
      <c r="G763" s="165"/>
      <c r="H763" s="154"/>
      <c r="I763" s="154"/>
      <c r="J763" s="238"/>
      <c r="K763" s="154"/>
      <c r="L763" s="154"/>
    </row>
    <row r="764" spans="1:12" ht="27.95" customHeight="1">
      <c r="A764" s="10"/>
      <c r="B764" s="764"/>
      <c r="C764" s="764"/>
      <c r="D764" s="764"/>
      <c r="E764" s="764"/>
      <c r="F764" s="764"/>
      <c r="G764" s="764"/>
      <c r="H764" s="899"/>
      <c r="I764" s="900"/>
      <c r="J764" s="900"/>
      <c r="K764" s="900"/>
      <c r="L764" s="900"/>
    </row>
    <row r="765" spans="1:12" ht="27.95" customHeight="1">
      <c r="A765" s="10"/>
      <c r="B765" s="901"/>
      <c r="C765" s="901"/>
      <c r="D765" s="901"/>
      <c r="E765" s="901"/>
      <c r="F765" s="901"/>
      <c r="G765" s="901"/>
      <c r="H765" s="902"/>
      <c r="I765" s="900"/>
      <c r="J765" s="900"/>
      <c r="K765" s="900"/>
      <c r="L765" s="900"/>
    </row>
    <row r="766" spans="1:12" ht="27.95" customHeight="1">
      <c r="B766" s="901"/>
      <c r="C766" s="901"/>
      <c r="D766" s="901"/>
      <c r="E766" s="901"/>
      <c r="F766" s="901"/>
      <c r="G766" s="901"/>
      <c r="H766" s="900"/>
      <c r="I766" s="900"/>
      <c r="J766" s="900"/>
      <c r="K766" s="900"/>
      <c r="L766" s="900"/>
    </row>
    <row r="767" spans="1:12" ht="27.95" customHeight="1">
      <c r="B767" s="169"/>
      <c r="C767" s="165"/>
      <c r="D767" s="165"/>
      <c r="E767" s="165"/>
      <c r="F767" s="165"/>
      <c r="G767" s="165"/>
      <c r="H767" s="154"/>
      <c r="I767" s="154"/>
      <c r="J767" s="154"/>
      <c r="K767" s="154"/>
      <c r="L767" s="154"/>
    </row>
    <row r="768" spans="1:12" ht="27.95" customHeight="1">
      <c r="B768" s="169"/>
      <c r="C768" s="165"/>
      <c r="D768" s="165"/>
      <c r="E768" s="165"/>
      <c r="F768" s="165"/>
      <c r="G768" s="165"/>
      <c r="H768" s="154"/>
      <c r="I768" s="154"/>
      <c r="J768" s="154"/>
      <c r="K768" s="154"/>
      <c r="L768" s="154"/>
    </row>
    <row r="769" spans="2:12" ht="27.95" customHeight="1">
      <c r="B769" s="169"/>
      <c r="C769" s="165"/>
      <c r="D769" s="165"/>
      <c r="E769" s="165"/>
      <c r="F769" s="165"/>
      <c r="G769" s="165"/>
      <c r="H769" s="154"/>
      <c r="I769" s="154"/>
      <c r="J769" s="155"/>
      <c r="K769" s="154"/>
      <c r="L769" s="154"/>
    </row>
    <row r="770" spans="2:12" ht="27.95" customHeight="1">
      <c r="B770" s="169"/>
      <c r="C770" s="165"/>
      <c r="D770" s="165"/>
      <c r="E770" s="165"/>
      <c r="F770" s="165"/>
      <c r="G770" s="165"/>
      <c r="H770" s="154"/>
      <c r="I770" s="154"/>
      <c r="J770" s="154"/>
      <c r="K770" s="154"/>
      <c r="L770" s="154"/>
    </row>
    <row r="771" spans="2:12" ht="27.95" customHeight="1">
      <c r="B771" s="169"/>
      <c r="C771" s="165"/>
      <c r="D771" s="165"/>
      <c r="E771" s="165"/>
      <c r="F771" s="165"/>
      <c r="G771" s="165"/>
      <c r="H771" s="154"/>
      <c r="I771" s="154"/>
      <c r="J771" s="155"/>
      <c r="K771" s="154"/>
      <c r="L771" s="154"/>
    </row>
    <row r="772" spans="2:12" ht="27.95" customHeight="1">
      <c r="B772" s="169"/>
      <c r="C772" s="165"/>
      <c r="D772" s="154"/>
      <c r="E772" s="155"/>
      <c r="F772" s="154"/>
      <c r="G772" s="155"/>
      <c r="H772" s="154"/>
      <c r="I772" s="155"/>
      <c r="J772" s="154"/>
      <c r="K772" s="155"/>
      <c r="L772" s="155"/>
    </row>
    <row r="773" spans="2:12" ht="27.95" customHeight="1">
      <c r="B773" s="169"/>
      <c r="C773" s="165"/>
      <c r="D773" s="165"/>
      <c r="E773" s="165"/>
      <c r="F773" s="165"/>
      <c r="G773" s="165"/>
      <c r="H773" s="154"/>
      <c r="I773" s="154"/>
      <c r="J773" s="239"/>
      <c r="K773" s="154"/>
      <c r="L773" s="154"/>
    </row>
    <row r="774" spans="2:12" ht="27.95" customHeight="1">
      <c r="B774" s="169"/>
      <c r="C774" s="2"/>
      <c r="D774" s="2"/>
      <c r="E774" s="2"/>
      <c r="F774" s="2"/>
      <c r="G774" s="2"/>
    </row>
    <row r="775" spans="2:12" ht="27.95" customHeight="1">
      <c r="B775" s="169"/>
      <c r="C775" s="2"/>
      <c r="D775" s="2"/>
      <c r="E775" s="2"/>
      <c r="F775" s="2"/>
      <c r="G775" s="2"/>
    </row>
  </sheetData>
  <mergeCells count="274">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B127:F127"/>
    <mergeCell ref="H127:L127"/>
    <mergeCell ref="B130:G130"/>
    <mergeCell ref="B131:G131"/>
    <mergeCell ref="G148:H148"/>
    <mergeCell ref="K148:L148"/>
    <mergeCell ref="C149:L149"/>
    <mergeCell ref="H155:I155"/>
    <mergeCell ref="B156:C156"/>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H58:L58"/>
    <mergeCell ref="B13:F13"/>
    <mergeCell ref="H13:L13"/>
    <mergeCell ref="B55:L55"/>
    <mergeCell ref="B57:L57"/>
    <mergeCell ref="B42:C42"/>
    <mergeCell ref="H65:L65"/>
    <mergeCell ref="C92:L92"/>
    <mergeCell ref="H98:I98"/>
    <mergeCell ref="B99:C99"/>
    <mergeCell ref="B115:G115"/>
    <mergeCell ref="H115:L115"/>
    <mergeCell ref="B112:L112"/>
    <mergeCell ref="B114:L114"/>
    <mergeCell ref="B117:L117"/>
    <mergeCell ref="H122:L122"/>
    <mergeCell ref="B123:E123"/>
    <mergeCell ref="H123:L124"/>
    <mergeCell ref="B169:L169"/>
    <mergeCell ref="B171:L171"/>
    <mergeCell ref="B173:L173"/>
    <mergeCell ref="H178:L178"/>
    <mergeCell ref="B179:E179"/>
    <mergeCell ref="H179:L180"/>
    <mergeCell ref="B183:F183"/>
    <mergeCell ref="H183:L183"/>
    <mergeCell ref="B186:G186"/>
    <mergeCell ref="B354:G354"/>
    <mergeCell ref="B355:G355"/>
    <mergeCell ref="B394:L394"/>
    <mergeCell ref="B298:G298"/>
    <mergeCell ref="B299:G299"/>
    <mergeCell ref="G316:H316"/>
    <mergeCell ref="K316:L316"/>
    <mergeCell ref="C317:L317"/>
    <mergeCell ref="H323:I323"/>
    <mergeCell ref="B324:C324"/>
    <mergeCell ref="B337:L337"/>
    <mergeCell ref="B339:L339"/>
    <mergeCell ref="B435:C435"/>
    <mergeCell ref="B448:L448"/>
    <mergeCell ref="B450:L450"/>
    <mergeCell ref="B452:L452"/>
    <mergeCell ref="H456:L456"/>
    <mergeCell ref="B457:E457"/>
    <mergeCell ref="H457:L458"/>
    <mergeCell ref="B461:F461"/>
    <mergeCell ref="H461:L461"/>
    <mergeCell ref="H460:L460"/>
    <mergeCell ref="B464:G464"/>
    <mergeCell ref="B465:G465"/>
    <mergeCell ref="H511:L512"/>
    <mergeCell ref="H510:L510"/>
    <mergeCell ref="B511:E511"/>
    <mergeCell ref="B515:F515"/>
    <mergeCell ref="H515:L515"/>
    <mergeCell ref="B518:G518"/>
    <mergeCell ref="B519:G519"/>
    <mergeCell ref="H513:L513"/>
    <mergeCell ref="H514:L514"/>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65:G765"/>
    <mergeCell ref="H765:L765"/>
    <mergeCell ref="B766:G766"/>
    <mergeCell ref="H766:L766"/>
    <mergeCell ref="B760:G760"/>
    <mergeCell ref="H760:L760"/>
    <mergeCell ref="B761:G761"/>
    <mergeCell ref="H761:L761"/>
    <mergeCell ref="B764:G764"/>
    <mergeCell ref="H764:L76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744"/>
  <sheetViews>
    <sheetView workbookViewId="0">
      <selection activeCell="F34" sqref="F34"/>
    </sheetView>
  </sheetViews>
  <sheetFormatPr defaultRowHeight="15"/>
  <cols>
    <col min="1" max="1" width="20.140625" customWidth="1"/>
    <col min="2" max="2" width="30.42578125" customWidth="1"/>
    <col min="3" max="3" width="19.7109375" customWidth="1"/>
    <col min="4" max="4" width="63.28515625" customWidth="1"/>
  </cols>
  <sheetData>
    <row r="1" spans="1:4" ht="20.25">
      <c r="A1" s="978" t="s">
        <v>310</v>
      </c>
      <c r="B1" s="979"/>
      <c r="C1" s="979"/>
      <c r="D1" s="980"/>
    </row>
    <row r="2" spans="1:4">
      <c r="A2" s="981" t="s">
        <v>311</v>
      </c>
      <c r="B2" s="982"/>
      <c r="C2" s="982"/>
      <c r="D2" s="983"/>
    </row>
    <row r="3" spans="1:4" ht="18">
      <c r="A3" s="984" t="s">
        <v>312</v>
      </c>
      <c r="B3" s="985"/>
      <c r="C3" s="985"/>
      <c r="D3" s="986"/>
    </row>
    <row r="4" spans="1:4">
      <c r="A4" s="13" t="s">
        <v>137</v>
      </c>
      <c r="D4" s="14"/>
    </row>
    <row r="5" spans="1:4" ht="18">
      <c r="A5" s="263" t="str">
        <f>'BOM 04 22Master'!F5</f>
        <v>Burgeon IT Services Pvt.Ltd.</v>
      </c>
      <c r="B5" s="240"/>
      <c r="D5" s="14"/>
    </row>
    <row r="6" spans="1:4" ht="18">
      <c r="A6" s="263" t="str">
        <f>'BOM 04 22Master'!F6</f>
        <v>Siri Mansion LIGB 436 Dr.A S Rao Nagar,Hyderabad</v>
      </c>
      <c r="B6" s="240"/>
      <c r="D6" s="14"/>
    </row>
    <row r="7" spans="1:4" ht="18">
      <c r="A7" s="242"/>
      <c r="B7" s="4"/>
      <c r="D7" s="14"/>
    </row>
    <row r="8" spans="1:4" ht="15.75">
      <c r="A8" s="241" t="s">
        <v>313</v>
      </c>
      <c r="B8" s="264"/>
      <c r="C8" s="265" t="e">
        <f>'BOM 04 22Master'!#REF!</f>
        <v>#REF!</v>
      </c>
      <c r="D8" s="57"/>
    </row>
    <row r="9" spans="1:4">
      <c r="A9" s="987" t="s">
        <v>314</v>
      </c>
      <c r="B9" s="988"/>
      <c r="C9" s="988"/>
      <c r="D9" s="989"/>
    </row>
    <row r="10" spans="1:4">
      <c r="A10" s="13"/>
      <c r="D10" s="14"/>
    </row>
    <row r="11" spans="1:4">
      <c r="A11" s="987" t="s">
        <v>315</v>
      </c>
      <c r="B11" s="988"/>
      <c r="C11" s="988"/>
      <c r="D11" s="989"/>
    </row>
    <row r="12" spans="1:4">
      <c r="A12" s="243"/>
      <c r="B12" s="244"/>
      <c r="C12" s="244"/>
      <c r="D12" s="245"/>
    </row>
    <row r="13" spans="1:4">
      <c r="A13" s="971" t="s">
        <v>316</v>
      </c>
      <c r="B13" s="972"/>
      <c r="C13" s="972"/>
      <c r="D13" s="973"/>
    </row>
    <row r="14" spans="1:4">
      <c r="A14" s="13"/>
      <c r="D14" s="14"/>
    </row>
    <row r="15" spans="1:4">
      <c r="A15" s="971" t="s">
        <v>317</v>
      </c>
      <c r="B15" s="972"/>
      <c r="C15" s="972"/>
      <c r="D15" s="973"/>
    </row>
    <row r="16" spans="1:4">
      <c r="A16" s="971" t="s">
        <v>318</v>
      </c>
      <c r="B16" s="972"/>
      <c r="C16" s="972"/>
      <c r="D16" s="973"/>
    </row>
    <row r="17" spans="1:4">
      <c r="A17" s="241"/>
      <c r="B17" s="246"/>
      <c r="C17" s="246"/>
      <c r="D17" s="247"/>
    </row>
    <row r="18" spans="1:4">
      <c r="A18" s="987" t="s">
        <v>319</v>
      </c>
      <c r="B18" s="988"/>
      <c r="C18" s="988"/>
      <c r="D18" s="989"/>
    </row>
    <row r="19" spans="1:4">
      <c r="A19" s="241"/>
      <c r="B19" s="246"/>
      <c r="C19" s="246"/>
      <c r="D19" s="247"/>
    </row>
    <row r="20" spans="1:4">
      <c r="A20" s="971" t="s">
        <v>320</v>
      </c>
      <c r="B20" s="972"/>
      <c r="C20" s="972"/>
      <c r="D20" s="973"/>
    </row>
    <row r="21" spans="1:4">
      <c r="A21" s="13"/>
      <c r="D21" s="14"/>
    </row>
    <row r="22" spans="1:4">
      <c r="A22" s="968" t="s">
        <v>321</v>
      </c>
      <c r="B22" s="969"/>
      <c r="C22" s="969"/>
      <c r="D22" s="970"/>
    </row>
    <row r="23" spans="1:4" ht="42.75">
      <c r="A23" s="248" t="s">
        <v>322</v>
      </c>
      <c r="B23" s="249" t="s">
        <v>323</v>
      </c>
      <c r="C23" s="249" t="s">
        <v>324</v>
      </c>
      <c r="D23" s="250" t="s">
        <v>325</v>
      </c>
    </row>
    <row r="24" spans="1:4">
      <c r="A24" s="251">
        <v>1</v>
      </c>
      <c r="B24" s="252">
        <v>2</v>
      </c>
      <c r="C24" s="252">
        <v>3</v>
      </c>
      <c r="D24" s="253">
        <v>4</v>
      </c>
    </row>
    <row r="25" spans="1:4">
      <c r="A25" s="13" t="e">
        <f>'BOM 04 22Master'!#REF!</f>
        <v>#REF!</v>
      </c>
      <c r="B25" s="11" t="s">
        <v>367</v>
      </c>
      <c r="C25" s="11" t="s">
        <v>374</v>
      </c>
      <c r="D25" s="285">
        <v>1</v>
      </c>
    </row>
    <row r="26" spans="1:4">
      <c r="A26" s="269"/>
      <c r="B26" s="11"/>
      <c r="C26" s="11"/>
      <c r="D26" s="254"/>
    </row>
    <row r="27" spans="1:4">
      <c r="A27" s="266"/>
      <c r="B27" s="11"/>
      <c r="C27" s="11"/>
      <c r="D27" s="254"/>
    </row>
    <row r="28" spans="1:4">
      <c r="A28" s="13"/>
      <c r="D28" s="14"/>
    </row>
    <row r="29" spans="1:4">
      <c r="A29" s="968" t="s">
        <v>326</v>
      </c>
      <c r="B29" s="969"/>
      <c r="C29" s="969"/>
      <c r="D29" s="970"/>
    </row>
    <row r="30" spans="1:4">
      <c r="A30" s="157"/>
      <c r="B30" s="5"/>
      <c r="C30" s="5"/>
      <c r="D30" s="158"/>
    </row>
    <row r="31" spans="1:4">
      <c r="A31" s="957" t="s">
        <v>327</v>
      </c>
      <c r="B31" s="958"/>
      <c r="C31" s="959" t="e">
        <f>'BOM 04 22Master'!#REF!</f>
        <v>#REF!</v>
      </c>
      <c r="D31" s="960"/>
    </row>
    <row r="32" spans="1:4">
      <c r="A32" s="957" t="s">
        <v>328</v>
      </c>
      <c r="B32" s="958"/>
      <c r="C32" s="816" t="e">
        <f>'BOM 04 22Master'!#REF!</f>
        <v>#REF!</v>
      </c>
      <c r="D32" s="960"/>
    </row>
    <row r="33" spans="1:4">
      <c r="A33" s="957" t="s">
        <v>329</v>
      </c>
      <c r="B33" s="958"/>
      <c r="C33" s="816" t="s">
        <v>376</v>
      </c>
      <c r="D33" s="960"/>
    </row>
    <row r="34" spans="1:4">
      <c r="A34" s="957" t="s">
        <v>330</v>
      </c>
      <c r="B34" s="958"/>
      <c r="C34" s="816" t="s">
        <v>373</v>
      </c>
      <c r="D34" s="960"/>
    </row>
    <row r="35" spans="1:4">
      <c r="A35" s="957" t="s">
        <v>331</v>
      </c>
      <c r="B35" s="958"/>
      <c r="C35" s="959" t="e">
        <f>'BOM 04 22Master'!#REF!</f>
        <v>#REF!</v>
      </c>
      <c r="D35" s="960"/>
    </row>
    <row r="36" spans="1:4">
      <c r="A36" s="957" t="s">
        <v>332</v>
      </c>
      <c r="B36" s="958"/>
      <c r="C36" s="959" t="e">
        <f>'BOM 04 22Master'!#REF!</f>
        <v>#REF!</v>
      </c>
      <c r="D36" s="960"/>
    </row>
    <row r="37" spans="1:4">
      <c r="A37" s="957" t="s">
        <v>333</v>
      </c>
      <c r="B37" s="958"/>
      <c r="C37" s="977" t="e">
        <f>'BOM 04 22Master'!#REF!</f>
        <v>#REF!</v>
      </c>
      <c r="D37" s="960"/>
    </row>
    <row r="38" spans="1:4">
      <c r="A38" s="957" t="s">
        <v>334</v>
      </c>
      <c r="B38" s="958"/>
      <c r="C38" s="816"/>
      <c r="D38" s="960"/>
    </row>
    <row r="39" spans="1:4">
      <c r="A39" s="957"/>
      <c r="B39" s="958"/>
      <c r="C39" s="959" t="e">
        <f>'BOM 04 22Master'!#REF!</f>
        <v>#REF!</v>
      </c>
      <c r="D39" s="960"/>
    </row>
    <row r="40" spans="1:4">
      <c r="A40" s="957"/>
      <c r="B40" s="958"/>
      <c r="C40" s="959" t="e">
        <f>'BOM 04 22Master'!#REF!</f>
        <v>#REF!</v>
      </c>
      <c r="D40" s="960"/>
    </row>
    <row r="41" spans="1:4">
      <c r="A41" s="957"/>
      <c r="B41" s="958"/>
      <c r="C41" s="959" t="e">
        <f>'BOM 04 22Master'!#REF!</f>
        <v>#REF!</v>
      </c>
      <c r="D41" s="960"/>
    </row>
    <row r="42" spans="1:4">
      <c r="A42" s="241" t="s">
        <v>276</v>
      </c>
      <c r="B42" s="246" t="s">
        <v>365</v>
      </c>
      <c r="C42" s="246"/>
      <c r="D42" s="247"/>
    </row>
    <row r="43" spans="1:4">
      <c r="A43" s="241" t="s">
        <v>335</v>
      </c>
      <c r="B43" s="286" t="e">
        <f>'BOM 04 22Master'!#REF!</f>
        <v>#REF!</v>
      </c>
      <c r="C43" s="255" t="s">
        <v>336</v>
      </c>
      <c r="D43" s="247"/>
    </row>
    <row r="44" spans="1:4">
      <c r="A44" s="241"/>
      <c r="B44" s="246"/>
      <c r="C44" s="246"/>
      <c r="D44" s="247"/>
    </row>
    <row r="45" spans="1:4">
      <c r="A45" s="968" t="s">
        <v>337</v>
      </c>
      <c r="B45" s="969"/>
      <c r="C45" s="969"/>
      <c r="D45" s="970"/>
    </row>
    <row r="46" spans="1:4">
      <c r="A46" s="241" t="s">
        <v>338</v>
      </c>
      <c r="B46" s="246"/>
      <c r="C46" s="246"/>
      <c r="D46" s="247"/>
    </row>
    <row r="47" spans="1:4">
      <c r="A47" s="241"/>
      <c r="B47" s="246"/>
      <c r="C47" s="246"/>
      <c r="D47" s="247"/>
    </row>
    <row r="48" spans="1:4">
      <c r="A48" s="971" t="s">
        <v>339</v>
      </c>
      <c r="B48" s="972"/>
      <c r="C48" s="972" t="s">
        <v>340</v>
      </c>
      <c r="D48" s="973"/>
    </row>
    <row r="49" spans="1:4">
      <c r="A49" s="974">
        <v>1</v>
      </c>
      <c r="B49" s="975"/>
      <c r="C49" s="975">
        <v>1</v>
      </c>
      <c r="D49" s="976"/>
    </row>
    <row r="50" spans="1:4">
      <c r="A50" s="974">
        <v>2</v>
      </c>
      <c r="B50" s="975"/>
      <c r="C50" s="975">
        <v>2</v>
      </c>
      <c r="D50" s="976"/>
    </row>
    <row r="51" spans="1:4">
      <c r="A51" s="256"/>
      <c r="C51" s="964" t="s">
        <v>345</v>
      </c>
      <c r="D51" s="965"/>
    </row>
    <row r="52" spans="1:4">
      <c r="A52" s="961" t="s">
        <v>341</v>
      </c>
      <c r="B52" s="962"/>
      <c r="C52" s="962"/>
      <c r="D52" s="963"/>
    </row>
    <row r="53" spans="1:4">
      <c r="A53" s="259" t="s">
        <v>342</v>
      </c>
      <c r="B53" s="260"/>
      <c r="C53" s="260"/>
      <c r="D53" s="261"/>
    </row>
    <row r="54" spans="1:4">
      <c r="A54" s="259"/>
      <c r="B54" s="260"/>
      <c r="C54" s="260"/>
      <c r="D54" s="261"/>
    </row>
    <row r="55" spans="1:4">
      <c r="A55" s="259"/>
      <c r="B55" s="260"/>
      <c r="C55" s="260" t="s">
        <v>343</v>
      </c>
      <c r="D55" s="261"/>
    </row>
    <row r="56" spans="1:4">
      <c r="A56" s="256"/>
      <c r="B56" s="257"/>
      <c r="C56" s="156" t="s">
        <v>147</v>
      </c>
      <c r="D56" s="258"/>
    </row>
    <row r="57" spans="1:4">
      <c r="A57" s="256"/>
      <c r="C57" t="s">
        <v>344</v>
      </c>
      <c r="D57" s="262"/>
    </row>
    <row r="58" spans="1:4" ht="25.5" customHeight="1">
      <c r="A58" s="256"/>
      <c r="C58" s="966" t="str">
        <f>'BOM 04 22Master'!F5</f>
        <v>Burgeon IT Services Pvt.Ltd.</v>
      </c>
      <c r="D58" s="967"/>
    </row>
    <row r="59" spans="1:4">
      <c r="A59" s="241" t="s">
        <v>276</v>
      </c>
      <c r="B59" t="str">
        <f>B42</f>
        <v>Hyderabad</v>
      </c>
      <c r="C59" s="2" t="str">
        <f>'BOM 04 22Master'!F6</f>
        <v>Siri Mansion LIGB 436 Dr.A S Rao Nagar,Hyderabad</v>
      </c>
      <c r="D59" s="14"/>
    </row>
    <row r="60" spans="1:4" ht="15.75" thickBot="1">
      <c r="A60" s="241" t="s">
        <v>335</v>
      </c>
      <c r="B60" s="278" t="e">
        <f>B43</f>
        <v>#REF!</v>
      </c>
      <c r="C60" s="2"/>
      <c r="D60" s="14"/>
    </row>
    <row r="61" spans="1:4" ht="15.75" thickBot="1">
      <c r="A61" s="267"/>
      <c r="B61" s="268" t="s">
        <v>348</v>
      </c>
      <c r="C61" s="268"/>
      <c r="D61" s="29"/>
    </row>
    <row r="62" spans="1:4">
      <c r="A62" s="241" t="s">
        <v>346</v>
      </c>
      <c r="C62" s="2"/>
      <c r="D62" s="14"/>
    </row>
    <row r="63" spans="1:4">
      <c r="A63" s="241" t="s">
        <v>335</v>
      </c>
      <c r="B63" s="278" t="e">
        <f>B60</f>
        <v>#REF!</v>
      </c>
      <c r="C63" s="2"/>
      <c r="D63" s="14"/>
    </row>
    <row r="64" spans="1:4" ht="15.75" thickBot="1">
      <c r="A64" s="270" t="s">
        <v>347</v>
      </c>
      <c r="B64" s="23"/>
      <c r="C64" s="23"/>
      <c r="D64" s="24" t="s">
        <v>138</v>
      </c>
    </row>
    <row r="68" spans="1:4" ht="15.75" thickBot="1"/>
    <row r="69" spans="1:4" ht="20.25">
      <c r="A69" s="978" t="s">
        <v>310</v>
      </c>
      <c r="B69" s="979"/>
      <c r="C69" s="979"/>
      <c r="D69" s="980"/>
    </row>
    <row r="70" spans="1:4">
      <c r="A70" s="981" t="s">
        <v>311</v>
      </c>
      <c r="B70" s="982"/>
      <c r="C70" s="982"/>
      <c r="D70" s="983"/>
    </row>
    <row r="71" spans="1:4" ht="18">
      <c r="A71" s="984" t="s">
        <v>312</v>
      </c>
      <c r="B71" s="985"/>
      <c r="C71" s="985"/>
      <c r="D71" s="986"/>
    </row>
    <row r="72" spans="1:4">
      <c r="A72" s="13" t="s">
        <v>137</v>
      </c>
      <c r="D72" s="14"/>
    </row>
    <row r="73" spans="1:4" ht="18">
      <c r="A73" s="263" t="str">
        <f>'BOM 04 22Master'!F5</f>
        <v>Burgeon IT Services Pvt.Ltd.</v>
      </c>
      <c r="B73" s="240"/>
      <c r="D73" s="14"/>
    </row>
    <row r="74" spans="1:4" ht="18">
      <c r="A74" s="263" t="str">
        <f>'BOM 04 22Master'!F6</f>
        <v>Siri Mansion LIGB 436 Dr.A S Rao Nagar,Hyderabad</v>
      </c>
      <c r="B74" s="240"/>
      <c r="D74" s="14"/>
    </row>
    <row r="75" spans="1:4" ht="18">
      <c r="A75" s="242"/>
      <c r="B75" s="4"/>
      <c r="D75" s="14"/>
    </row>
    <row r="76" spans="1:4" ht="15.75">
      <c r="A76" s="241" t="s">
        <v>313</v>
      </c>
      <c r="B76" s="264"/>
      <c r="C76" s="265" t="e">
        <f>'BOM 04 22Master'!#REF!</f>
        <v>#REF!</v>
      </c>
      <c r="D76" s="57"/>
    </row>
    <row r="77" spans="1:4">
      <c r="A77" s="987" t="s">
        <v>314</v>
      </c>
      <c r="B77" s="988"/>
      <c r="C77" s="988"/>
      <c r="D77" s="989"/>
    </row>
    <row r="78" spans="1:4">
      <c r="A78" s="13"/>
      <c r="D78" s="14"/>
    </row>
    <row r="79" spans="1:4">
      <c r="A79" s="987" t="s">
        <v>315</v>
      </c>
      <c r="B79" s="988"/>
      <c r="C79" s="988"/>
      <c r="D79" s="989"/>
    </row>
    <row r="80" spans="1:4">
      <c r="A80" s="243"/>
      <c r="B80" s="244"/>
      <c r="C80" s="244"/>
      <c r="D80" s="245"/>
    </row>
    <row r="81" spans="1:4">
      <c r="A81" s="971" t="s">
        <v>316</v>
      </c>
      <c r="B81" s="972"/>
      <c r="C81" s="972"/>
      <c r="D81" s="973"/>
    </row>
    <row r="82" spans="1:4">
      <c r="A82" s="13"/>
      <c r="D82" s="14"/>
    </row>
    <row r="83" spans="1:4">
      <c r="A83" s="971" t="s">
        <v>317</v>
      </c>
      <c r="B83" s="972"/>
      <c r="C83" s="972"/>
      <c r="D83" s="973"/>
    </row>
    <row r="84" spans="1:4">
      <c r="A84" s="971" t="s">
        <v>318</v>
      </c>
      <c r="B84" s="972"/>
      <c r="C84" s="972"/>
      <c r="D84" s="973"/>
    </row>
    <row r="85" spans="1:4">
      <c r="A85" s="241"/>
      <c r="B85" s="246"/>
      <c r="C85" s="246"/>
      <c r="D85" s="247"/>
    </row>
    <row r="86" spans="1:4">
      <c r="A86" s="987" t="s">
        <v>319</v>
      </c>
      <c r="B86" s="988"/>
      <c r="C86" s="988"/>
      <c r="D86" s="989"/>
    </row>
    <row r="87" spans="1:4">
      <c r="A87" s="241"/>
      <c r="B87" s="246"/>
      <c r="C87" s="246"/>
      <c r="D87" s="247"/>
    </row>
    <row r="88" spans="1:4">
      <c r="A88" s="971" t="s">
        <v>320</v>
      </c>
      <c r="B88" s="972"/>
      <c r="C88" s="972"/>
      <c r="D88" s="973"/>
    </row>
    <row r="89" spans="1:4">
      <c r="A89" s="13"/>
      <c r="D89" s="14"/>
    </row>
    <row r="90" spans="1:4">
      <c r="A90" s="968" t="s">
        <v>321</v>
      </c>
      <c r="B90" s="969"/>
      <c r="C90" s="969"/>
      <c r="D90" s="970"/>
    </row>
    <row r="91" spans="1:4" ht="42.75">
      <c r="A91" s="248" t="s">
        <v>322</v>
      </c>
      <c r="B91" s="249" t="s">
        <v>323</v>
      </c>
      <c r="C91" s="249" t="s">
        <v>324</v>
      </c>
      <c r="D91" s="250" t="s">
        <v>325</v>
      </c>
    </row>
    <row r="92" spans="1:4">
      <c r="A92" s="251">
        <v>1</v>
      </c>
      <c r="B92" s="252">
        <v>2</v>
      </c>
      <c r="C92" s="252">
        <v>3</v>
      </c>
      <c r="D92" s="253">
        <v>4</v>
      </c>
    </row>
    <row r="93" spans="1:4">
      <c r="A93" s="13" t="e">
        <f>'BOM 04 22Master'!#REF!</f>
        <v>#REF!</v>
      </c>
      <c r="B93" s="11" t="s">
        <v>367</v>
      </c>
      <c r="C93" s="11" t="s">
        <v>374</v>
      </c>
      <c r="D93" s="285">
        <v>1</v>
      </c>
    </row>
    <row r="94" spans="1:4">
      <c r="A94" s="269"/>
      <c r="B94" s="11"/>
      <c r="C94" s="11"/>
      <c r="D94" s="254"/>
    </row>
    <row r="95" spans="1:4">
      <c r="A95" s="266"/>
      <c r="B95" s="11"/>
      <c r="C95" s="11"/>
      <c r="D95" s="254"/>
    </row>
    <row r="96" spans="1:4">
      <c r="A96" s="13"/>
      <c r="D96" s="14"/>
    </row>
    <row r="97" spans="1:4">
      <c r="A97" s="968" t="s">
        <v>326</v>
      </c>
      <c r="B97" s="969"/>
      <c r="C97" s="969"/>
      <c r="D97" s="970"/>
    </row>
    <row r="98" spans="1:4">
      <c r="A98" s="157"/>
      <c r="B98" s="5"/>
      <c r="C98" s="5"/>
      <c r="D98" s="158"/>
    </row>
    <row r="99" spans="1:4">
      <c r="A99" s="957" t="s">
        <v>327</v>
      </c>
      <c r="B99" s="958"/>
      <c r="C99" s="959" t="e">
        <f>'BOM 04 22Master'!#REF!</f>
        <v>#REF!</v>
      </c>
      <c r="D99" s="960"/>
    </row>
    <row r="100" spans="1:4">
      <c r="A100" s="957" t="s">
        <v>328</v>
      </c>
      <c r="B100" s="958"/>
      <c r="C100" s="816" t="e">
        <f>'BOM 04 22Master'!#REF!</f>
        <v>#REF!</v>
      </c>
      <c r="D100" s="960"/>
    </row>
    <row r="101" spans="1:4">
      <c r="A101" s="957" t="s">
        <v>329</v>
      </c>
      <c r="B101" s="958"/>
      <c r="C101" s="816" t="s">
        <v>375</v>
      </c>
      <c r="D101" s="960"/>
    </row>
    <row r="102" spans="1:4">
      <c r="A102" s="957" t="s">
        <v>330</v>
      </c>
      <c r="B102" s="958"/>
      <c r="C102" s="816" t="s">
        <v>373</v>
      </c>
      <c r="D102" s="960"/>
    </row>
    <row r="103" spans="1:4">
      <c r="A103" s="957" t="s">
        <v>331</v>
      </c>
      <c r="B103" s="958"/>
      <c r="C103" s="959" t="e">
        <f>'BOM 04 22Master'!#REF!</f>
        <v>#REF!</v>
      </c>
      <c r="D103" s="960"/>
    </row>
    <row r="104" spans="1:4">
      <c r="A104" s="957" t="s">
        <v>332</v>
      </c>
      <c r="B104" s="958"/>
      <c r="C104" s="959" t="e">
        <f>'BOM 04 22Master'!#REF!</f>
        <v>#REF!</v>
      </c>
      <c r="D104" s="960"/>
    </row>
    <row r="105" spans="1:4">
      <c r="A105" s="957" t="s">
        <v>333</v>
      </c>
      <c r="B105" s="958"/>
      <c r="C105" s="977" t="e">
        <f>'BOM 04 22Master'!#REF!</f>
        <v>#REF!</v>
      </c>
      <c r="D105" s="960"/>
    </row>
    <row r="106" spans="1:4">
      <c r="A106" s="957" t="s">
        <v>334</v>
      </c>
      <c r="B106" s="958"/>
      <c r="C106" s="816"/>
      <c r="D106" s="960"/>
    </row>
    <row r="107" spans="1:4">
      <c r="A107" s="957"/>
      <c r="B107" s="958"/>
      <c r="C107" s="959" t="e">
        <f>'BOM 04 22Master'!#REF!</f>
        <v>#REF!</v>
      </c>
      <c r="D107" s="960"/>
    </row>
    <row r="108" spans="1:4">
      <c r="A108" s="957"/>
      <c r="B108" s="958"/>
      <c r="C108" s="959" t="e">
        <f>'BOM 04 22Master'!#REF!</f>
        <v>#REF!</v>
      </c>
      <c r="D108" s="960"/>
    </row>
    <row r="109" spans="1:4">
      <c r="A109" s="957"/>
      <c r="B109" s="958"/>
      <c r="C109" s="959" t="e">
        <f>'BOM 04 22Master'!#REF!</f>
        <v>#REF!</v>
      </c>
      <c r="D109" s="960"/>
    </row>
    <row r="110" spans="1:4">
      <c r="A110" s="241" t="s">
        <v>276</v>
      </c>
      <c r="B110" s="246" t="s">
        <v>365</v>
      </c>
      <c r="C110" s="246"/>
      <c r="D110" s="247"/>
    </row>
    <row r="111" spans="1:4">
      <c r="A111" s="241" t="s">
        <v>335</v>
      </c>
      <c r="B111" s="286" t="e">
        <f>'BOM 04 22Master'!#REF!</f>
        <v>#REF!</v>
      </c>
      <c r="C111" s="255" t="s">
        <v>336</v>
      </c>
      <c r="D111" s="247"/>
    </row>
    <row r="112" spans="1:4">
      <c r="A112" s="241"/>
      <c r="B112" s="246"/>
      <c r="C112" s="246"/>
      <c r="D112" s="247"/>
    </row>
    <row r="113" spans="1:4">
      <c r="A113" s="968" t="s">
        <v>337</v>
      </c>
      <c r="B113" s="969"/>
      <c r="C113" s="969"/>
      <c r="D113" s="970"/>
    </row>
    <row r="114" spans="1:4">
      <c r="A114" s="241" t="s">
        <v>338</v>
      </c>
      <c r="B114" s="246"/>
      <c r="C114" s="246"/>
      <c r="D114" s="247"/>
    </row>
    <row r="115" spans="1:4">
      <c r="A115" s="241"/>
      <c r="B115" s="246"/>
      <c r="C115" s="246"/>
      <c r="D115" s="247"/>
    </row>
    <row r="116" spans="1:4">
      <c r="A116" s="971" t="s">
        <v>339</v>
      </c>
      <c r="B116" s="972"/>
      <c r="C116" s="972" t="s">
        <v>340</v>
      </c>
      <c r="D116" s="973"/>
    </row>
    <row r="117" spans="1:4">
      <c r="A117" s="974">
        <v>1</v>
      </c>
      <c r="B117" s="975"/>
      <c r="C117" s="975">
        <v>1</v>
      </c>
      <c r="D117" s="976"/>
    </row>
    <row r="118" spans="1:4">
      <c r="A118" s="974">
        <v>2</v>
      </c>
      <c r="B118" s="975"/>
      <c r="C118" s="975">
        <v>2</v>
      </c>
      <c r="D118" s="976"/>
    </row>
    <row r="119" spans="1:4">
      <c r="A119" s="256"/>
      <c r="C119" s="964" t="s">
        <v>345</v>
      </c>
      <c r="D119" s="965"/>
    </row>
    <row r="120" spans="1:4">
      <c r="A120" s="961" t="s">
        <v>341</v>
      </c>
      <c r="B120" s="962"/>
      <c r="C120" s="962"/>
      <c r="D120" s="963"/>
    </row>
    <row r="121" spans="1:4">
      <c r="A121" s="259" t="s">
        <v>342</v>
      </c>
      <c r="B121" s="260"/>
      <c r="C121" s="260"/>
      <c r="D121" s="261"/>
    </row>
    <row r="122" spans="1:4">
      <c r="A122" s="259"/>
      <c r="B122" s="260"/>
      <c r="C122" s="260"/>
      <c r="D122" s="261"/>
    </row>
    <row r="123" spans="1:4">
      <c r="A123" s="259"/>
      <c r="B123" s="260"/>
      <c r="C123" s="260" t="s">
        <v>343</v>
      </c>
      <c r="D123" s="261"/>
    </row>
    <row r="124" spans="1:4">
      <c r="A124" s="256"/>
      <c r="B124" s="257"/>
      <c r="C124" s="156" t="s">
        <v>147</v>
      </c>
      <c r="D124" s="258"/>
    </row>
    <row r="125" spans="1:4">
      <c r="A125" s="256"/>
      <c r="C125" t="s">
        <v>344</v>
      </c>
      <c r="D125" s="262"/>
    </row>
    <row r="126" spans="1:4">
      <c r="A126" s="256"/>
      <c r="C126" s="966" t="str">
        <f>'BOM 04 22Master'!F5</f>
        <v>Burgeon IT Services Pvt.Ltd.</v>
      </c>
      <c r="D126" s="967"/>
    </row>
    <row r="127" spans="1:4">
      <c r="A127" s="241" t="s">
        <v>276</v>
      </c>
      <c r="B127" t="str">
        <f>B110</f>
        <v>Hyderabad</v>
      </c>
      <c r="C127" s="2" t="str">
        <f>'BOM 04 22Master'!F6</f>
        <v>Siri Mansion LIGB 436 Dr.A S Rao Nagar,Hyderabad</v>
      </c>
      <c r="D127" s="14"/>
    </row>
    <row r="128" spans="1:4" ht="15.75" thickBot="1">
      <c r="A128" s="241" t="s">
        <v>335</v>
      </c>
      <c r="B128" s="278" t="e">
        <f>B111</f>
        <v>#REF!</v>
      </c>
      <c r="C128" s="2"/>
      <c r="D128" s="14"/>
    </row>
    <row r="129" spans="1:4" ht="15.75" thickBot="1">
      <c r="A129" s="267"/>
      <c r="B129" s="268" t="s">
        <v>348</v>
      </c>
      <c r="C129" s="268"/>
      <c r="D129" s="29"/>
    </row>
    <row r="130" spans="1:4">
      <c r="A130" s="241" t="s">
        <v>346</v>
      </c>
      <c r="C130" s="2"/>
      <c r="D130" s="14"/>
    </row>
    <row r="131" spans="1:4">
      <c r="A131" s="241" t="s">
        <v>335</v>
      </c>
      <c r="B131" s="278" t="e">
        <f>B128</f>
        <v>#REF!</v>
      </c>
      <c r="C131" s="2"/>
      <c r="D131" s="14"/>
    </row>
    <row r="132" spans="1:4" ht="15.75" thickBot="1">
      <c r="A132" s="270" t="s">
        <v>347</v>
      </c>
      <c r="B132" s="23"/>
      <c r="C132" s="23"/>
      <c r="D132" s="24" t="s">
        <v>138</v>
      </c>
    </row>
    <row r="136" spans="1:4" ht="15.75" thickBot="1"/>
    <row r="137" spans="1:4" ht="20.25">
      <c r="A137" s="978" t="s">
        <v>310</v>
      </c>
      <c r="B137" s="979"/>
      <c r="C137" s="979"/>
      <c r="D137" s="980"/>
    </row>
    <row r="138" spans="1:4">
      <c r="A138" s="981" t="s">
        <v>311</v>
      </c>
      <c r="B138" s="982"/>
      <c r="C138" s="982"/>
      <c r="D138" s="983"/>
    </row>
    <row r="139" spans="1:4" ht="18">
      <c r="A139" s="984" t="s">
        <v>312</v>
      </c>
      <c r="B139" s="985"/>
      <c r="C139" s="985"/>
      <c r="D139" s="986"/>
    </row>
    <row r="140" spans="1:4">
      <c r="A140" s="13" t="s">
        <v>137</v>
      </c>
      <c r="D140" s="14"/>
    </row>
    <row r="141" spans="1:4" ht="18">
      <c r="A141" s="263" t="str">
        <f>'BOM 04 22Master'!F5</f>
        <v>Burgeon IT Services Pvt.Ltd.</v>
      </c>
      <c r="B141" s="240"/>
      <c r="D141" s="14"/>
    </row>
    <row r="142" spans="1:4" ht="18">
      <c r="A142" s="263" t="str">
        <f>'BOM 04 22Master'!F6</f>
        <v>Siri Mansion LIGB 436 Dr.A S Rao Nagar,Hyderabad</v>
      </c>
      <c r="B142" s="240"/>
      <c r="D142" s="14"/>
    </row>
    <row r="143" spans="1:4" ht="18">
      <c r="A143" s="242"/>
      <c r="B143" s="4"/>
      <c r="D143" s="14"/>
    </row>
    <row r="144" spans="1:4" ht="15.75">
      <c r="A144" s="241" t="s">
        <v>313</v>
      </c>
      <c r="B144" s="264"/>
      <c r="C144" s="265" t="e">
        <f>'BOM 04 22Master'!#REF!</f>
        <v>#REF!</v>
      </c>
      <c r="D144" s="57"/>
    </row>
    <row r="145" spans="1:4">
      <c r="A145" s="987" t="s">
        <v>314</v>
      </c>
      <c r="B145" s="988"/>
      <c r="C145" s="988"/>
      <c r="D145" s="989"/>
    </row>
    <row r="146" spans="1:4">
      <c r="A146" s="13"/>
      <c r="D146" s="14"/>
    </row>
    <row r="147" spans="1:4">
      <c r="A147" s="987" t="s">
        <v>315</v>
      </c>
      <c r="B147" s="988"/>
      <c r="C147" s="988"/>
      <c r="D147" s="989"/>
    </row>
    <row r="148" spans="1:4">
      <c r="A148" s="243"/>
      <c r="B148" s="244"/>
      <c r="C148" s="244"/>
      <c r="D148" s="245"/>
    </row>
    <row r="149" spans="1:4">
      <c r="A149" s="971" t="s">
        <v>316</v>
      </c>
      <c r="B149" s="972"/>
      <c r="C149" s="972"/>
      <c r="D149" s="973"/>
    </row>
    <row r="150" spans="1:4">
      <c r="A150" s="13"/>
      <c r="D150" s="14"/>
    </row>
    <row r="151" spans="1:4">
      <c r="A151" s="971" t="s">
        <v>317</v>
      </c>
      <c r="B151" s="972"/>
      <c r="C151" s="972"/>
      <c r="D151" s="973"/>
    </row>
    <row r="152" spans="1:4">
      <c r="A152" s="971" t="s">
        <v>318</v>
      </c>
      <c r="B152" s="972"/>
      <c r="C152" s="972"/>
      <c r="D152" s="973"/>
    </row>
    <row r="153" spans="1:4">
      <c r="A153" s="241"/>
      <c r="B153" s="246"/>
      <c r="C153" s="246"/>
      <c r="D153" s="247"/>
    </row>
    <row r="154" spans="1:4">
      <c r="A154" s="987" t="s">
        <v>319</v>
      </c>
      <c r="B154" s="988"/>
      <c r="C154" s="988"/>
      <c r="D154" s="989"/>
    </row>
    <row r="155" spans="1:4">
      <c r="A155" s="241"/>
      <c r="B155" s="246"/>
      <c r="C155" s="246"/>
      <c r="D155" s="247"/>
    </row>
    <row r="156" spans="1:4">
      <c r="A156" s="971" t="s">
        <v>320</v>
      </c>
      <c r="B156" s="972"/>
      <c r="C156" s="972"/>
      <c r="D156" s="973"/>
    </row>
    <row r="157" spans="1:4">
      <c r="A157" s="13"/>
      <c r="D157" s="14"/>
    </row>
    <row r="158" spans="1:4">
      <c r="A158" s="968" t="s">
        <v>321</v>
      </c>
      <c r="B158" s="969"/>
      <c r="C158" s="969"/>
      <c r="D158" s="970"/>
    </row>
    <row r="159" spans="1:4" ht="42.75">
      <c r="A159" s="248" t="s">
        <v>322</v>
      </c>
      <c r="B159" s="249" t="s">
        <v>323</v>
      </c>
      <c r="C159" s="249" t="s">
        <v>324</v>
      </c>
      <c r="D159" s="250" t="s">
        <v>325</v>
      </c>
    </row>
    <row r="160" spans="1:4">
      <c r="A160" s="251">
        <v>1</v>
      </c>
      <c r="B160" s="252">
        <v>2</v>
      </c>
      <c r="C160" s="252">
        <v>3</v>
      </c>
      <c r="D160" s="253">
        <v>4</v>
      </c>
    </row>
    <row r="161" spans="1:4">
      <c r="A161" s="287" t="e">
        <f>'BOM 04 22Master'!#REF!</f>
        <v>#REF!</v>
      </c>
      <c r="B161" s="11" t="s">
        <v>367</v>
      </c>
      <c r="C161" s="11" t="s">
        <v>374</v>
      </c>
      <c r="D161" s="285">
        <v>1</v>
      </c>
    </row>
    <row r="162" spans="1:4">
      <c r="A162" s="269"/>
      <c r="B162" s="11"/>
      <c r="C162" s="11"/>
      <c r="D162" s="254"/>
    </row>
    <row r="163" spans="1:4">
      <c r="A163" s="266"/>
      <c r="B163" s="11"/>
      <c r="C163" s="11"/>
      <c r="D163" s="254"/>
    </row>
    <row r="164" spans="1:4">
      <c r="A164" s="13"/>
      <c r="D164" s="14"/>
    </row>
    <row r="165" spans="1:4">
      <c r="A165" s="968" t="s">
        <v>326</v>
      </c>
      <c r="B165" s="969"/>
      <c r="C165" s="969"/>
      <c r="D165" s="970"/>
    </row>
    <row r="166" spans="1:4">
      <c r="A166" s="157"/>
      <c r="B166" s="5"/>
      <c r="C166" s="5"/>
      <c r="D166" s="158"/>
    </row>
    <row r="167" spans="1:4">
      <c r="A167" s="957" t="s">
        <v>327</v>
      </c>
      <c r="B167" s="958"/>
      <c r="C167" s="959" t="e">
        <f>'BOM 04 22Master'!#REF!</f>
        <v>#REF!</v>
      </c>
      <c r="D167" s="960"/>
    </row>
    <row r="168" spans="1:4">
      <c r="A168" s="957" t="s">
        <v>328</v>
      </c>
      <c r="B168" s="958"/>
      <c r="C168" s="816" t="e">
        <f>'BOM 04 22Master'!#REF!</f>
        <v>#REF!</v>
      </c>
      <c r="D168" s="960"/>
    </row>
    <row r="169" spans="1:4">
      <c r="A169" s="957" t="s">
        <v>329</v>
      </c>
      <c r="B169" s="958"/>
      <c r="C169" s="816" t="s">
        <v>376</v>
      </c>
      <c r="D169" s="960"/>
    </row>
    <row r="170" spans="1:4">
      <c r="A170" s="957" t="s">
        <v>330</v>
      </c>
      <c r="B170" s="958"/>
      <c r="C170" s="816" t="s">
        <v>373</v>
      </c>
      <c r="D170" s="960"/>
    </row>
    <row r="171" spans="1:4">
      <c r="A171" s="957" t="s">
        <v>331</v>
      </c>
      <c r="B171" s="958"/>
      <c r="C171" s="959" t="e">
        <f>'BOM 04 22Master'!#REF!</f>
        <v>#REF!</v>
      </c>
      <c r="D171" s="960"/>
    </row>
    <row r="172" spans="1:4">
      <c r="A172" s="957" t="s">
        <v>332</v>
      </c>
      <c r="B172" s="958"/>
      <c r="C172" s="959" t="e">
        <f>'BOM 04 22Master'!#REF!</f>
        <v>#REF!</v>
      </c>
      <c r="D172" s="960"/>
    </row>
    <row r="173" spans="1:4">
      <c r="A173" s="957" t="s">
        <v>333</v>
      </c>
      <c r="B173" s="958"/>
      <c r="C173" s="977" t="e">
        <f>'BOM 04 22Master'!#REF!</f>
        <v>#REF!</v>
      </c>
      <c r="D173" s="960"/>
    </row>
    <row r="174" spans="1:4">
      <c r="A174" s="957" t="s">
        <v>334</v>
      </c>
      <c r="B174" s="958"/>
      <c r="C174" s="816"/>
      <c r="D174" s="960"/>
    </row>
    <row r="175" spans="1:4">
      <c r="A175" s="957"/>
      <c r="B175" s="958"/>
      <c r="C175" s="959" t="e">
        <f>'BOM 04 22Master'!#REF!</f>
        <v>#REF!</v>
      </c>
      <c r="D175" s="960"/>
    </row>
    <row r="176" spans="1:4">
      <c r="A176" s="957"/>
      <c r="B176" s="958"/>
      <c r="C176" s="959" t="e">
        <f>'BOM 04 22Master'!#REF!</f>
        <v>#REF!</v>
      </c>
      <c r="D176" s="960"/>
    </row>
    <row r="177" spans="1:4">
      <c r="A177" s="957"/>
      <c r="B177" s="958"/>
      <c r="C177" s="959" t="e">
        <f>'BOM 04 22Master'!#REF!</f>
        <v>#REF!</v>
      </c>
      <c r="D177" s="960"/>
    </row>
    <row r="178" spans="1:4">
      <c r="A178" s="241" t="s">
        <v>276</v>
      </c>
      <c r="B178" s="246" t="s">
        <v>365</v>
      </c>
      <c r="C178" s="246"/>
      <c r="D178" s="247"/>
    </row>
    <row r="179" spans="1:4">
      <c r="A179" s="241" t="s">
        <v>335</v>
      </c>
      <c r="B179" s="286" t="e">
        <f>'BOM 04 22Master'!#REF!</f>
        <v>#REF!</v>
      </c>
      <c r="C179" s="255" t="s">
        <v>336</v>
      </c>
      <c r="D179" s="247"/>
    </row>
    <row r="180" spans="1:4">
      <c r="A180" s="241"/>
      <c r="B180" s="246"/>
      <c r="C180" s="246"/>
      <c r="D180" s="247"/>
    </row>
    <row r="181" spans="1:4">
      <c r="A181" s="968" t="s">
        <v>337</v>
      </c>
      <c r="B181" s="969"/>
      <c r="C181" s="969"/>
      <c r="D181" s="970"/>
    </row>
    <row r="182" spans="1:4">
      <c r="A182" s="241" t="s">
        <v>338</v>
      </c>
      <c r="B182" s="246"/>
      <c r="C182" s="246"/>
      <c r="D182" s="247"/>
    </row>
    <row r="183" spans="1:4">
      <c r="A183" s="241"/>
      <c r="B183" s="246"/>
      <c r="C183" s="246"/>
      <c r="D183" s="247"/>
    </row>
    <row r="184" spans="1:4">
      <c r="A184" s="971" t="s">
        <v>339</v>
      </c>
      <c r="B184" s="972"/>
      <c r="C184" s="972" t="s">
        <v>340</v>
      </c>
      <c r="D184" s="973"/>
    </row>
    <row r="185" spans="1:4">
      <c r="A185" s="974">
        <v>1</v>
      </c>
      <c r="B185" s="975"/>
      <c r="C185" s="975">
        <v>1</v>
      </c>
      <c r="D185" s="976"/>
    </row>
    <row r="186" spans="1:4">
      <c r="A186" s="974">
        <v>2</v>
      </c>
      <c r="B186" s="975"/>
      <c r="C186" s="975">
        <v>2</v>
      </c>
      <c r="D186" s="976"/>
    </row>
    <row r="187" spans="1:4">
      <c r="A187" s="256"/>
      <c r="C187" s="964" t="s">
        <v>345</v>
      </c>
      <c r="D187" s="965"/>
    </row>
    <row r="188" spans="1:4">
      <c r="A188" s="961" t="s">
        <v>341</v>
      </c>
      <c r="B188" s="962"/>
      <c r="C188" s="962"/>
      <c r="D188" s="963"/>
    </row>
    <row r="189" spans="1:4">
      <c r="A189" s="259" t="s">
        <v>342</v>
      </c>
      <c r="B189" s="260"/>
      <c r="C189" s="260"/>
      <c r="D189" s="261"/>
    </row>
    <row r="190" spans="1:4">
      <c r="A190" s="259"/>
      <c r="B190" s="260"/>
      <c r="C190" s="260"/>
      <c r="D190" s="261"/>
    </row>
    <row r="191" spans="1:4">
      <c r="A191" s="259"/>
      <c r="B191" s="260"/>
      <c r="C191" s="260" t="s">
        <v>343</v>
      </c>
      <c r="D191" s="261"/>
    </row>
    <row r="192" spans="1:4">
      <c r="A192" s="256"/>
      <c r="B192" s="257"/>
      <c r="C192" s="156" t="s">
        <v>147</v>
      </c>
      <c r="D192" s="258"/>
    </row>
    <row r="193" spans="1:4">
      <c r="A193" s="256"/>
      <c r="C193" t="s">
        <v>344</v>
      </c>
      <c r="D193" s="262"/>
    </row>
    <row r="194" spans="1:4">
      <c r="A194" s="256"/>
      <c r="C194" s="966" t="str">
        <f>'BOM 04 22Master'!F5</f>
        <v>Burgeon IT Services Pvt.Ltd.</v>
      </c>
      <c r="D194" s="967"/>
    </row>
    <row r="195" spans="1:4">
      <c r="A195" s="241" t="s">
        <v>276</v>
      </c>
      <c r="B195" t="str">
        <f>B178</f>
        <v>Hyderabad</v>
      </c>
      <c r="C195" s="2" t="str">
        <f>'BOM 04 22Master'!F6</f>
        <v>Siri Mansion LIGB 436 Dr.A S Rao Nagar,Hyderabad</v>
      </c>
      <c r="D195" s="14"/>
    </row>
    <row r="196" spans="1:4" ht="15.75" thickBot="1">
      <c r="A196" s="241" t="s">
        <v>335</v>
      </c>
      <c r="B196" s="278" t="e">
        <f>B179</f>
        <v>#REF!</v>
      </c>
      <c r="C196" s="2"/>
      <c r="D196" s="14"/>
    </row>
    <row r="197" spans="1:4" ht="15.75" thickBot="1">
      <c r="A197" s="267"/>
      <c r="B197" s="268" t="s">
        <v>348</v>
      </c>
      <c r="C197" s="268"/>
      <c r="D197" s="29"/>
    </row>
    <row r="198" spans="1:4">
      <c r="A198" s="241" t="s">
        <v>346</v>
      </c>
      <c r="C198" s="2"/>
      <c r="D198" s="14"/>
    </row>
    <row r="199" spans="1:4">
      <c r="A199" s="241" t="s">
        <v>335</v>
      </c>
      <c r="B199" s="278" t="e">
        <f>B196</f>
        <v>#REF!</v>
      </c>
      <c r="C199" s="2"/>
      <c r="D199" s="14"/>
    </row>
    <row r="200" spans="1:4" ht="15.75" thickBot="1">
      <c r="A200" s="270" t="s">
        <v>347</v>
      </c>
      <c r="B200" s="23"/>
      <c r="C200" s="23"/>
      <c r="D200" s="24" t="s">
        <v>138</v>
      </c>
    </row>
    <row r="204" spans="1:4" ht="15.75" thickBot="1"/>
    <row r="205" spans="1:4" ht="20.25">
      <c r="A205" s="978" t="s">
        <v>310</v>
      </c>
      <c r="B205" s="979"/>
      <c r="C205" s="979"/>
      <c r="D205" s="980"/>
    </row>
    <row r="206" spans="1:4">
      <c r="A206" s="981" t="s">
        <v>311</v>
      </c>
      <c r="B206" s="982"/>
      <c r="C206" s="982"/>
      <c r="D206" s="983"/>
    </row>
    <row r="207" spans="1:4" ht="18">
      <c r="A207" s="984" t="s">
        <v>312</v>
      </c>
      <c r="B207" s="985"/>
      <c r="C207" s="985"/>
      <c r="D207" s="986"/>
    </row>
    <row r="208" spans="1:4">
      <c r="A208" s="13" t="s">
        <v>137</v>
      </c>
      <c r="D208" s="14"/>
    </row>
    <row r="209" spans="1:4" ht="18">
      <c r="A209" s="263" t="str">
        <f>'BOM 04 22Master'!F5</f>
        <v>Burgeon IT Services Pvt.Ltd.</v>
      </c>
      <c r="B209" s="240"/>
      <c r="D209" s="14"/>
    </row>
    <row r="210" spans="1:4" ht="18">
      <c r="A210" s="263" t="str">
        <f>'BOM 04 22Master'!F6</f>
        <v>Siri Mansion LIGB 436 Dr.A S Rao Nagar,Hyderabad</v>
      </c>
      <c r="B210" s="240"/>
      <c r="D210" s="14"/>
    </row>
    <row r="211" spans="1:4" ht="18">
      <c r="A211" s="242"/>
      <c r="B211" s="4"/>
      <c r="D211" s="14"/>
    </row>
    <row r="212" spans="1:4" ht="15.75">
      <c r="A212" s="241" t="s">
        <v>313</v>
      </c>
      <c r="B212" s="264"/>
      <c r="C212" s="265" t="e">
        <f>'BOM 04 22Master'!#REF!</f>
        <v>#REF!</v>
      </c>
      <c r="D212" s="57"/>
    </row>
    <row r="213" spans="1:4">
      <c r="A213" s="987" t="s">
        <v>314</v>
      </c>
      <c r="B213" s="988"/>
      <c r="C213" s="988"/>
      <c r="D213" s="989"/>
    </row>
    <row r="214" spans="1:4">
      <c r="A214" s="13"/>
      <c r="D214" s="14"/>
    </row>
    <row r="215" spans="1:4">
      <c r="A215" s="987" t="s">
        <v>315</v>
      </c>
      <c r="B215" s="988"/>
      <c r="C215" s="988"/>
      <c r="D215" s="989"/>
    </row>
    <row r="216" spans="1:4">
      <c r="A216" s="243"/>
      <c r="B216" s="244"/>
      <c r="C216" s="244"/>
      <c r="D216" s="245"/>
    </row>
    <row r="217" spans="1:4">
      <c r="A217" s="971" t="s">
        <v>316</v>
      </c>
      <c r="B217" s="972"/>
      <c r="C217" s="972"/>
      <c r="D217" s="973"/>
    </row>
    <row r="218" spans="1:4">
      <c r="A218" s="13"/>
      <c r="D218" s="14"/>
    </row>
    <row r="219" spans="1:4">
      <c r="A219" s="971" t="s">
        <v>317</v>
      </c>
      <c r="B219" s="972"/>
      <c r="C219" s="972"/>
      <c r="D219" s="973"/>
    </row>
    <row r="220" spans="1:4">
      <c r="A220" s="971" t="s">
        <v>318</v>
      </c>
      <c r="B220" s="972"/>
      <c r="C220" s="972"/>
      <c r="D220" s="973"/>
    </row>
    <row r="221" spans="1:4">
      <c r="A221" s="241"/>
      <c r="B221" s="246"/>
      <c r="C221" s="246"/>
      <c r="D221" s="247"/>
    </row>
    <row r="222" spans="1:4">
      <c r="A222" s="987" t="s">
        <v>319</v>
      </c>
      <c r="B222" s="988"/>
      <c r="C222" s="988"/>
      <c r="D222" s="989"/>
    </row>
    <row r="223" spans="1:4">
      <c r="A223" s="241"/>
      <c r="B223" s="246"/>
      <c r="C223" s="246"/>
      <c r="D223" s="247"/>
    </row>
    <row r="224" spans="1:4">
      <c r="A224" s="971" t="s">
        <v>320</v>
      </c>
      <c r="B224" s="972"/>
      <c r="C224" s="972"/>
      <c r="D224" s="973"/>
    </row>
    <row r="225" spans="1:4">
      <c r="A225" s="13"/>
      <c r="D225" s="14"/>
    </row>
    <row r="226" spans="1:4">
      <c r="A226" s="968" t="s">
        <v>321</v>
      </c>
      <c r="B226" s="969"/>
      <c r="C226" s="969"/>
      <c r="D226" s="970"/>
    </row>
    <row r="227" spans="1:4" ht="42.75">
      <c r="A227" s="248" t="s">
        <v>322</v>
      </c>
      <c r="B227" s="249" t="s">
        <v>323</v>
      </c>
      <c r="C227" s="249" t="s">
        <v>324</v>
      </c>
      <c r="D227" s="250" t="s">
        <v>325</v>
      </c>
    </row>
    <row r="228" spans="1:4">
      <c r="A228" s="251">
        <v>1</v>
      </c>
      <c r="B228" s="252">
        <v>2</v>
      </c>
      <c r="C228" s="252">
        <v>3</v>
      </c>
      <c r="D228" s="253">
        <v>4</v>
      </c>
    </row>
    <row r="229" spans="1:4">
      <c r="A229" s="13" t="e">
        <f>'BOM 04 22Master'!#REF!</f>
        <v>#REF!</v>
      </c>
      <c r="B229" s="11" t="s">
        <v>367</v>
      </c>
      <c r="C229" s="11" t="s">
        <v>374</v>
      </c>
      <c r="D229" s="285">
        <v>1</v>
      </c>
    </row>
    <row r="230" spans="1:4">
      <c r="A230" s="269"/>
      <c r="B230" s="11"/>
      <c r="C230" s="11"/>
      <c r="D230" s="254"/>
    </row>
    <row r="231" spans="1:4">
      <c r="A231" s="266"/>
      <c r="B231" s="11"/>
      <c r="C231" s="11"/>
      <c r="D231" s="254"/>
    </row>
    <row r="232" spans="1:4">
      <c r="A232" s="13"/>
      <c r="D232" s="14"/>
    </row>
    <row r="233" spans="1:4">
      <c r="A233" s="968" t="s">
        <v>326</v>
      </c>
      <c r="B233" s="969"/>
      <c r="C233" s="969"/>
      <c r="D233" s="970"/>
    </row>
    <row r="234" spans="1:4">
      <c r="A234" s="157"/>
      <c r="B234" s="5"/>
      <c r="C234" s="5"/>
      <c r="D234" s="158"/>
    </row>
    <row r="235" spans="1:4">
      <c r="A235" s="957" t="s">
        <v>327</v>
      </c>
      <c r="B235" s="958"/>
      <c r="C235" s="959" t="e">
        <f>'BOM 04 22Master'!#REF!</f>
        <v>#REF!</v>
      </c>
      <c r="D235" s="960"/>
    </row>
    <row r="236" spans="1:4">
      <c r="A236" s="957" t="s">
        <v>328</v>
      </c>
      <c r="B236" s="958"/>
      <c r="C236" s="816" t="e">
        <f>'BOM 04 22Master'!#REF!</f>
        <v>#REF!</v>
      </c>
      <c r="D236" s="960"/>
    </row>
    <row r="237" spans="1:4">
      <c r="A237" s="957" t="s">
        <v>329</v>
      </c>
      <c r="B237" s="958"/>
      <c r="C237" s="816" t="s">
        <v>375</v>
      </c>
      <c r="D237" s="960"/>
    </row>
    <row r="238" spans="1:4">
      <c r="A238" s="957" t="s">
        <v>330</v>
      </c>
      <c r="B238" s="958"/>
      <c r="C238" s="816" t="s">
        <v>373</v>
      </c>
      <c r="D238" s="960"/>
    </row>
    <row r="239" spans="1:4">
      <c r="A239" s="957" t="s">
        <v>331</v>
      </c>
      <c r="B239" s="958"/>
      <c r="C239" s="959" t="e">
        <f>'BOM 04 22Master'!#REF!</f>
        <v>#REF!</v>
      </c>
      <c r="D239" s="960"/>
    </row>
    <row r="240" spans="1:4">
      <c r="A240" s="957" t="s">
        <v>332</v>
      </c>
      <c r="B240" s="958"/>
      <c r="C240" s="959" t="e">
        <f>'BOM 04 22Master'!#REF!</f>
        <v>#REF!</v>
      </c>
      <c r="D240" s="960"/>
    </row>
    <row r="241" spans="1:4">
      <c r="A241" s="957" t="s">
        <v>333</v>
      </c>
      <c r="B241" s="958"/>
      <c r="C241" s="977" t="e">
        <f>'BOM 04 22Master'!#REF!</f>
        <v>#REF!</v>
      </c>
      <c r="D241" s="960"/>
    </row>
    <row r="242" spans="1:4">
      <c r="A242" s="957" t="s">
        <v>334</v>
      </c>
      <c r="B242" s="958"/>
      <c r="C242" s="816"/>
      <c r="D242" s="960"/>
    </row>
    <row r="243" spans="1:4">
      <c r="A243" s="957"/>
      <c r="B243" s="958"/>
      <c r="C243" s="959" t="e">
        <f>'BOM 04 22Master'!#REF!</f>
        <v>#REF!</v>
      </c>
      <c r="D243" s="960"/>
    </row>
    <row r="244" spans="1:4">
      <c r="A244" s="957"/>
      <c r="B244" s="958"/>
      <c r="C244" s="959" t="e">
        <f>'BOM 04 22Master'!#REF!</f>
        <v>#REF!</v>
      </c>
      <c r="D244" s="960"/>
    </row>
    <row r="245" spans="1:4">
      <c r="A245" s="957"/>
      <c r="B245" s="958"/>
      <c r="C245" s="959" t="e">
        <f>'BOM 04 22Master'!#REF!</f>
        <v>#REF!</v>
      </c>
      <c r="D245" s="960"/>
    </row>
    <row r="246" spans="1:4">
      <c r="A246" s="241" t="s">
        <v>276</v>
      </c>
      <c r="B246" s="246" t="s">
        <v>365</v>
      </c>
      <c r="C246" s="246"/>
      <c r="D246" s="247"/>
    </row>
    <row r="247" spans="1:4">
      <c r="A247" s="241" t="s">
        <v>335</v>
      </c>
      <c r="B247" s="286" t="e">
        <f>'BOM 04 22Master'!#REF!</f>
        <v>#REF!</v>
      </c>
      <c r="C247" s="255" t="s">
        <v>336</v>
      </c>
      <c r="D247" s="247"/>
    </row>
    <row r="248" spans="1:4">
      <c r="A248" s="241"/>
      <c r="B248" s="246"/>
      <c r="C248" s="246"/>
      <c r="D248" s="247"/>
    </row>
    <row r="249" spans="1:4">
      <c r="A249" s="968" t="s">
        <v>337</v>
      </c>
      <c r="B249" s="969"/>
      <c r="C249" s="969"/>
      <c r="D249" s="970"/>
    </row>
    <row r="250" spans="1:4">
      <c r="A250" s="241" t="s">
        <v>338</v>
      </c>
      <c r="B250" s="246"/>
      <c r="C250" s="246"/>
      <c r="D250" s="247"/>
    </row>
    <row r="251" spans="1:4">
      <c r="A251" s="241"/>
      <c r="B251" s="246"/>
      <c r="C251" s="246"/>
      <c r="D251" s="247"/>
    </row>
    <row r="252" spans="1:4">
      <c r="A252" s="971" t="s">
        <v>339</v>
      </c>
      <c r="B252" s="972"/>
      <c r="C252" s="972" t="s">
        <v>340</v>
      </c>
      <c r="D252" s="973"/>
    </row>
    <row r="253" spans="1:4">
      <c r="A253" s="974">
        <v>1</v>
      </c>
      <c r="B253" s="975"/>
      <c r="C253" s="975">
        <v>1</v>
      </c>
      <c r="D253" s="976"/>
    </row>
    <row r="254" spans="1:4">
      <c r="A254" s="974">
        <v>2</v>
      </c>
      <c r="B254" s="975"/>
      <c r="C254" s="975">
        <v>2</v>
      </c>
      <c r="D254" s="976"/>
    </row>
    <row r="255" spans="1:4">
      <c r="A255" s="256"/>
      <c r="C255" s="964" t="s">
        <v>345</v>
      </c>
      <c r="D255" s="965"/>
    </row>
    <row r="256" spans="1:4">
      <c r="A256" s="961" t="s">
        <v>341</v>
      </c>
      <c r="B256" s="962"/>
      <c r="C256" s="962"/>
      <c r="D256" s="963"/>
    </row>
    <row r="257" spans="1:4">
      <c r="A257" s="259" t="s">
        <v>342</v>
      </c>
      <c r="B257" s="260"/>
      <c r="C257" s="260"/>
      <c r="D257" s="261"/>
    </row>
    <row r="258" spans="1:4">
      <c r="A258" s="259"/>
      <c r="B258" s="260"/>
      <c r="C258" s="260"/>
      <c r="D258" s="261"/>
    </row>
    <row r="259" spans="1:4">
      <c r="A259" s="259"/>
      <c r="B259" s="260"/>
      <c r="C259" s="260" t="s">
        <v>343</v>
      </c>
      <c r="D259" s="261"/>
    </row>
    <row r="260" spans="1:4">
      <c r="A260" s="256"/>
      <c r="B260" s="257"/>
      <c r="C260" s="156" t="s">
        <v>147</v>
      </c>
      <c r="D260" s="258"/>
    </row>
    <row r="261" spans="1:4">
      <c r="A261" s="256"/>
      <c r="C261" t="s">
        <v>344</v>
      </c>
      <c r="D261" s="262"/>
    </row>
    <row r="262" spans="1:4">
      <c r="A262" s="256"/>
      <c r="C262" s="966" t="str">
        <f>'BOM 04 22Master'!F5</f>
        <v>Burgeon IT Services Pvt.Ltd.</v>
      </c>
      <c r="D262" s="967"/>
    </row>
    <row r="263" spans="1:4">
      <c r="A263" s="241" t="s">
        <v>276</v>
      </c>
      <c r="B263" t="str">
        <f>B246</f>
        <v>Hyderabad</v>
      </c>
      <c r="C263" s="2" t="str">
        <f>'BOM 04 22Master'!F6</f>
        <v>Siri Mansion LIGB 436 Dr.A S Rao Nagar,Hyderabad</v>
      </c>
      <c r="D263" s="14"/>
    </row>
    <row r="264" spans="1:4" ht="15.75" thickBot="1">
      <c r="A264" s="241" t="s">
        <v>335</v>
      </c>
      <c r="B264" s="278" t="e">
        <f>B247</f>
        <v>#REF!</v>
      </c>
      <c r="C264" s="2"/>
      <c r="D264" s="14"/>
    </row>
    <row r="265" spans="1:4" ht="15.75" thickBot="1">
      <c r="A265" s="267"/>
      <c r="B265" s="268" t="s">
        <v>348</v>
      </c>
      <c r="C265" s="268"/>
      <c r="D265" s="29"/>
    </row>
    <row r="266" spans="1:4">
      <c r="A266" s="241" t="s">
        <v>346</v>
      </c>
      <c r="C266" s="2"/>
      <c r="D266" s="14"/>
    </row>
    <row r="267" spans="1:4">
      <c r="A267" s="241" t="s">
        <v>335</v>
      </c>
      <c r="B267" s="278" t="e">
        <f>B264</f>
        <v>#REF!</v>
      </c>
      <c r="C267" s="2"/>
      <c r="D267" s="14"/>
    </row>
    <row r="268" spans="1:4" ht="15.75" thickBot="1">
      <c r="A268" s="270" t="s">
        <v>347</v>
      </c>
      <c r="B268" s="23"/>
      <c r="C268" s="23"/>
      <c r="D268" s="24" t="s">
        <v>138</v>
      </c>
    </row>
    <row r="272" spans="1:4" ht="15.75" thickBot="1"/>
    <row r="273" spans="1:4" ht="20.25">
      <c r="A273" s="978" t="s">
        <v>310</v>
      </c>
      <c r="B273" s="979"/>
      <c r="C273" s="979"/>
      <c r="D273" s="980"/>
    </row>
    <row r="274" spans="1:4">
      <c r="A274" s="981" t="s">
        <v>311</v>
      </c>
      <c r="B274" s="982"/>
      <c r="C274" s="982"/>
      <c r="D274" s="983"/>
    </row>
    <row r="275" spans="1:4" ht="18">
      <c r="A275" s="984" t="s">
        <v>312</v>
      </c>
      <c r="B275" s="985"/>
      <c r="C275" s="985"/>
      <c r="D275" s="986"/>
    </row>
    <row r="276" spans="1:4">
      <c r="A276" s="13" t="s">
        <v>137</v>
      </c>
      <c r="D276" s="14"/>
    </row>
    <row r="277" spans="1:4" ht="18">
      <c r="A277" s="263" t="str">
        <f>'BOM 04 22Master'!F5</f>
        <v>Burgeon IT Services Pvt.Ltd.</v>
      </c>
      <c r="B277" s="240"/>
      <c r="D277" s="14"/>
    </row>
    <row r="278" spans="1:4" ht="18">
      <c r="A278" s="263" t="str">
        <f>'BOM 04 22Master'!F6</f>
        <v>Siri Mansion LIGB 436 Dr.A S Rao Nagar,Hyderabad</v>
      </c>
      <c r="B278" s="240"/>
      <c r="D278" s="14"/>
    </row>
    <row r="279" spans="1:4" ht="18">
      <c r="A279" s="242"/>
      <c r="B279" s="4"/>
      <c r="D279" s="14"/>
    </row>
    <row r="280" spans="1:4" ht="15.75">
      <c r="A280" s="241" t="s">
        <v>313</v>
      </c>
      <c r="B280" s="264"/>
      <c r="C280" s="265" t="e">
        <f>'BOM 04 22Master'!#REF!</f>
        <v>#REF!</v>
      </c>
      <c r="D280" s="57"/>
    </row>
    <row r="281" spans="1:4">
      <c r="A281" s="987" t="s">
        <v>314</v>
      </c>
      <c r="B281" s="988"/>
      <c r="C281" s="988"/>
      <c r="D281" s="989"/>
    </row>
    <row r="282" spans="1:4">
      <c r="A282" s="13"/>
      <c r="D282" s="14"/>
    </row>
    <row r="283" spans="1:4">
      <c r="A283" s="987" t="s">
        <v>315</v>
      </c>
      <c r="B283" s="988"/>
      <c r="C283" s="988"/>
      <c r="D283" s="989"/>
    </row>
    <row r="284" spans="1:4">
      <c r="A284" s="243"/>
      <c r="B284" s="244"/>
      <c r="C284" s="244"/>
      <c r="D284" s="245"/>
    </row>
    <row r="285" spans="1:4">
      <c r="A285" s="971" t="s">
        <v>316</v>
      </c>
      <c r="B285" s="972"/>
      <c r="C285" s="972"/>
      <c r="D285" s="973"/>
    </row>
    <row r="286" spans="1:4">
      <c r="A286" s="13"/>
      <c r="D286" s="14"/>
    </row>
    <row r="287" spans="1:4">
      <c r="A287" s="971" t="s">
        <v>317</v>
      </c>
      <c r="B287" s="972"/>
      <c r="C287" s="972"/>
      <c r="D287" s="973"/>
    </row>
    <row r="288" spans="1:4">
      <c r="A288" s="971" t="s">
        <v>318</v>
      </c>
      <c r="B288" s="972"/>
      <c r="C288" s="972"/>
      <c r="D288" s="973"/>
    </row>
    <row r="289" spans="1:4">
      <c r="A289" s="241"/>
      <c r="B289" s="246"/>
      <c r="C289" s="246"/>
      <c r="D289" s="247"/>
    </row>
    <row r="290" spans="1:4">
      <c r="A290" s="987" t="s">
        <v>319</v>
      </c>
      <c r="B290" s="988"/>
      <c r="C290" s="988"/>
      <c r="D290" s="989"/>
    </row>
    <row r="291" spans="1:4">
      <c r="A291" s="241"/>
      <c r="B291" s="246"/>
      <c r="C291" s="246"/>
      <c r="D291" s="247"/>
    </row>
    <row r="292" spans="1:4">
      <c r="A292" s="971" t="s">
        <v>320</v>
      </c>
      <c r="B292" s="972"/>
      <c r="C292" s="972"/>
      <c r="D292" s="973"/>
    </row>
    <row r="293" spans="1:4">
      <c r="A293" s="13"/>
      <c r="D293" s="14"/>
    </row>
    <row r="294" spans="1:4">
      <c r="A294" s="968" t="s">
        <v>321</v>
      </c>
      <c r="B294" s="969"/>
      <c r="C294" s="969"/>
      <c r="D294" s="970"/>
    </row>
    <row r="295" spans="1:4" ht="42.75">
      <c r="A295" s="248" t="s">
        <v>322</v>
      </c>
      <c r="B295" s="249" t="s">
        <v>323</v>
      </c>
      <c r="C295" s="249" t="s">
        <v>324</v>
      </c>
      <c r="D295" s="250" t="s">
        <v>325</v>
      </c>
    </row>
    <row r="296" spans="1:4">
      <c r="A296" s="251">
        <v>1</v>
      </c>
      <c r="B296" s="252">
        <v>2</v>
      </c>
      <c r="C296" s="252">
        <v>3</v>
      </c>
      <c r="D296" s="253">
        <v>4</v>
      </c>
    </row>
    <row r="297" spans="1:4">
      <c r="A297" s="13" t="e">
        <f>'BOM 04 22Master'!#REF!</f>
        <v>#REF!</v>
      </c>
      <c r="B297" s="11" t="s">
        <v>367</v>
      </c>
      <c r="C297" s="11" t="s">
        <v>374</v>
      </c>
      <c r="D297" s="285">
        <v>1</v>
      </c>
    </row>
    <row r="298" spans="1:4">
      <c r="A298" s="269"/>
      <c r="B298" s="11"/>
      <c r="C298" s="11"/>
      <c r="D298" s="254"/>
    </row>
    <row r="299" spans="1:4">
      <c r="A299" s="266"/>
      <c r="B299" s="11"/>
      <c r="C299" s="11"/>
      <c r="D299" s="254"/>
    </row>
    <row r="300" spans="1:4">
      <c r="A300" s="13"/>
      <c r="D300" s="14"/>
    </row>
    <row r="301" spans="1:4">
      <c r="A301" s="968" t="s">
        <v>326</v>
      </c>
      <c r="B301" s="969"/>
      <c r="C301" s="969"/>
      <c r="D301" s="970"/>
    </row>
    <row r="302" spans="1:4">
      <c r="A302" s="157"/>
      <c r="B302" s="5"/>
      <c r="C302" s="5"/>
      <c r="D302" s="158"/>
    </row>
    <row r="303" spans="1:4">
      <c r="A303" s="957" t="s">
        <v>327</v>
      </c>
      <c r="B303" s="958"/>
      <c r="C303" s="959" t="e">
        <f>'BOM 04 22Master'!#REF!</f>
        <v>#REF!</v>
      </c>
      <c r="D303" s="960"/>
    </row>
    <row r="304" spans="1:4">
      <c r="A304" s="957" t="s">
        <v>328</v>
      </c>
      <c r="B304" s="958"/>
      <c r="C304" s="816" t="e">
        <f>'BOM 04 22Master'!#REF!</f>
        <v>#REF!</v>
      </c>
      <c r="D304" s="960"/>
    </row>
    <row r="305" spans="1:4">
      <c r="A305" s="957" t="s">
        <v>329</v>
      </c>
      <c r="B305" s="958"/>
      <c r="C305" s="816" t="s">
        <v>375</v>
      </c>
      <c r="D305" s="960"/>
    </row>
    <row r="306" spans="1:4">
      <c r="A306" s="957" t="s">
        <v>330</v>
      </c>
      <c r="B306" s="958"/>
      <c r="C306" s="816" t="s">
        <v>373</v>
      </c>
      <c r="D306" s="960"/>
    </row>
    <row r="307" spans="1:4">
      <c r="A307" s="957" t="s">
        <v>331</v>
      </c>
      <c r="B307" s="958"/>
      <c r="C307" s="959" t="e">
        <f>'BOM 04 22Master'!#REF!</f>
        <v>#REF!</v>
      </c>
      <c r="D307" s="960"/>
    </row>
    <row r="308" spans="1:4">
      <c r="A308" s="957" t="s">
        <v>332</v>
      </c>
      <c r="B308" s="958"/>
      <c r="C308" s="959" t="e">
        <f>'BOM 04 22Master'!#REF!</f>
        <v>#REF!</v>
      </c>
      <c r="D308" s="960"/>
    </row>
    <row r="309" spans="1:4">
      <c r="A309" s="957" t="s">
        <v>333</v>
      </c>
      <c r="B309" s="958"/>
      <c r="C309" s="977" t="e">
        <f>'BOM 04 22Master'!#REF!</f>
        <v>#REF!</v>
      </c>
      <c r="D309" s="960"/>
    </row>
    <row r="310" spans="1:4">
      <c r="A310" s="957" t="s">
        <v>334</v>
      </c>
      <c r="B310" s="958"/>
      <c r="C310" s="816"/>
      <c r="D310" s="960"/>
    </row>
    <row r="311" spans="1:4">
      <c r="A311" s="957"/>
      <c r="B311" s="958"/>
      <c r="C311" s="959" t="e">
        <f>'BOM 04 22Master'!#REF!</f>
        <v>#REF!</v>
      </c>
      <c r="D311" s="960"/>
    </row>
    <row r="312" spans="1:4">
      <c r="A312" s="957"/>
      <c r="B312" s="958"/>
      <c r="C312" s="959" t="e">
        <f>'BOM 04 22Master'!#REF!</f>
        <v>#REF!</v>
      </c>
      <c r="D312" s="960"/>
    </row>
    <row r="313" spans="1:4">
      <c r="A313" s="957"/>
      <c r="B313" s="958"/>
      <c r="C313" s="959" t="e">
        <f>'BOM 04 22Master'!#REF!</f>
        <v>#REF!</v>
      </c>
      <c r="D313" s="960"/>
    </row>
    <row r="314" spans="1:4">
      <c r="A314" s="241" t="s">
        <v>276</v>
      </c>
      <c r="B314" s="246" t="s">
        <v>365</v>
      </c>
      <c r="C314" s="246"/>
      <c r="D314" s="247"/>
    </row>
    <row r="315" spans="1:4">
      <c r="A315" s="241" t="s">
        <v>335</v>
      </c>
      <c r="B315" s="286" t="e">
        <f>'BOM 04 22Master'!#REF!</f>
        <v>#REF!</v>
      </c>
      <c r="C315" s="255" t="s">
        <v>336</v>
      </c>
      <c r="D315" s="247"/>
    </row>
    <row r="316" spans="1:4">
      <c r="A316" s="241"/>
      <c r="B316" s="246"/>
      <c r="C316" s="246"/>
      <c r="D316" s="247"/>
    </row>
    <row r="317" spans="1:4">
      <c r="A317" s="968" t="s">
        <v>337</v>
      </c>
      <c r="B317" s="969"/>
      <c r="C317" s="969"/>
      <c r="D317" s="970"/>
    </row>
    <row r="318" spans="1:4">
      <c r="A318" s="241" t="s">
        <v>338</v>
      </c>
      <c r="B318" s="246"/>
      <c r="C318" s="246"/>
      <c r="D318" s="247"/>
    </row>
    <row r="319" spans="1:4">
      <c r="A319" s="241"/>
      <c r="B319" s="246"/>
      <c r="C319" s="246"/>
      <c r="D319" s="247"/>
    </row>
    <row r="320" spans="1:4">
      <c r="A320" s="971" t="s">
        <v>339</v>
      </c>
      <c r="B320" s="972"/>
      <c r="C320" s="972" t="s">
        <v>340</v>
      </c>
      <c r="D320" s="973"/>
    </row>
    <row r="321" spans="1:4">
      <c r="A321" s="974">
        <v>1</v>
      </c>
      <c r="B321" s="975"/>
      <c r="C321" s="975">
        <v>1</v>
      </c>
      <c r="D321" s="976"/>
    </row>
    <row r="322" spans="1:4">
      <c r="A322" s="974">
        <v>2</v>
      </c>
      <c r="B322" s="975"/>
      <c r="C322" s="975">
        <v>2</v>
      </c>
      <c r="D322" s="976"/>
    </row>
    <row r="323" spans="1:4">
      <c r="A323" s="256"/>
      <c r="C323" s="964" t="s">
        <v>345</v>
      </c>
      <c r="D323" s="965"/>
    </row>
    <row r="324" spans="1:4">
      <c r="A324" s="961" t="s">
        <v>341</v>
      </c>
      <c r="B324" s="962"/>
      <c r="C324" s="962"/>
      <c r="D324" s="963"/>
    </row>
    <row r="325" spans="1:4">
      <c r="A325" s="259" t="s">
        <v>342</v>
      </c>
      <c r="B325" s="260"/>
      <c r="C325" s="260"/>
      <c r="D325" s="261"/>
    </row>
    <row r="326" spans="1:4">
      <c r="A326" s="259"/>
      <c r="B326" s="260"/>
      <c r="C326" s="260"/>
      <c r="D326" s="261"/>
    </row>
    <row r="327" spans="1:4">
      <c r="A327" s="259"/>
      <c r="B327" s="260"/>
      <c r="C327" s="260" t="s">
        <v>343</v>
      </c>
      <c r="D327" s="261"/>
    </row>
    <row r="328" spans="1:4">
      <c r="A328" s="256"/>
      <c r="B328" s="257"/>
      <c r="C328" s="156" t="s">
        <v>147</v>
      </c>
      <c r="D328" s="258"/>
    </row>
    <row r="329" spans="1:4">
      <c r="A329" s="256"/>
      <c r="C329" t="s">
        <v>344</v>
      </c>
      <c r="D329" s="262"/>
    </row>
    <row r="330" spans="1:4">
      <c r="A330" s="256"/>
      <c r="C330" s="966" t="str">
        <f>'BOM 04 22Master'!F5</f>
        <v>Burgeon IT Services Pvt.Ltd.</v>
      </c>
      <c r="D330" s="967"/>
    </row>
    <row r="331" spans="1:4">
      <c r="A331" s="241" t="s">
        <v>276</v>
      </c>
      <c r="B331" t="str">
        <f>B314</f>
        <v>Hyderabad</v>
      </c>
      <c r="C331" s="2" t="str">
        <f>'BOM 04 22Master'!F6</f>
        <v>Siri Mansion LIGB 436 Dr.A S Rao Nagar,Hyderabad</v>
      </c>
      <c r="D331" s="14"/>
    </row>
    <row r="332" spans="1:4" ht="15.75" thickBot="1">
      <c r="A332" s="241" t="s">
        <v>335</v>
      </c>
      <c r="B332" s="278" t="e">
        <f>B315</f>
        <v>#REF!</v>
      </c>
      <c r="C332" s="2"/>
      <c r="D332" s="14"/>
    </row>
    <row r="333" spans="1:4" ht="15.75" thickBot="1">
      <c r="A333" s="267"/>
      <c r="B333" s="268" t="s">
        <v>348</v>
      </c>
      <c r="C333" s="268"/>
      <c r="D333" s="29"/>
    </row>
    <row r="334" spans="1:4">
      <c r="A334" s="241" t="s">
        <v>346</v>
      </c>
      <c r="C334" s="2"/>
      <c r="D334" s="14"/>
    </row>
    <row r="335" spans="1:4">
      <c r="A335" s="241" t="s">
        <v>335</v>
      </c>
      <c r="B335" s="278" t="e">
        <f>B332</f>
        <v>#REF!</v>
      </c>
      <c r="C335" s="2"/>
      <c r="D335" s="14"/>
    </row>
    <row r="336" spans="1:4" ht="15.75" thickBot="1">
      <c r="A336" s="270" t="s">
        <v>347</v>
      </c>
      <c r="B336" s="23"/>
      <c r="C336" s="23"/>
      <c r="D336" s="24" t="s">
        <v>138</v>
      </c>
    </row>
    <row r="340" spans="1:4" ht="15.75" thickBot="1"/>
    <row r="341" spans="1:4" ht="20.25">
      <c r="A341" s="978" t="s">
        <v>310</v>
      </c>
      <c r="B341" s="979"/>
      <c r="C341" s="979"/>
      <c r="D341" s="980"/>
    </row>
    <row r="342" spans="1:4">
      <c r="A342" s="981" t="s">
        <v>311</v>
      </c>
      <c r="B342" s="982"/>
      <c r="C342" s="982"/>
      <c r="D342" s="983"/>
    </row>
    <row r="343" spans="1:4" ht="18">
      <c r="A343" s="984" t="s">
        <v>312</v>
      </c>
      <c r="B343" s="985"/>
      <c r="C343" s="985"/>
      <c r="D343" s="986"/>
    </row>
    <row r="344" spans="1:4">
      <c r="A344" s="13" t="s">
        <v>137</v>
      </c>
      <c r="D344" s="14"/>
    </row>
    <row r="345" spans="1:4" ht="18">
      <c r="A345" s="263" t="str">
        <f>'BOM 04 22Master'!F5</f>
        <v>Burgeon IT Services Pvt.Ltd.</v>
      </c>
      <c r="B345" s="240"/>
      <c r="D345" s="14"/>
    </row>
    <row r="346" spans="1:4" ht="18">
      <c r="A346" s="263" t="str">
        <f>'BOM 04 22Master'!F6</f>
        <v>Siri Mansion LIGB 436 Dr.A S Rao Nagar,Hyderabad</v>
      </c>
      <c r="B346" s="240"/>
      <c r="D346" s="14"/>
    </row>
    <row r="347" spans="1:4" ht="18">
      <c r="A347" s="242"/>
      <c r="B347" s="4"/>
      <c r="D347" s="14"/>
    </row>
    <row r="348" spans="1:4" ht="15.75">
      <c r="A348" s="241" t="s">
        <v>313</v>
      </c>
      <c r="B348" s="264"/>
      <c r="C348" s="265" t="e">
        <f>'BOM 04 22Master'!#REF!</f>
        <v>#REF!</v>
      </c>
      <c r="D348" s="57"/>
    </row>
    <row r="349" spans="1:4">
      <c r="A349" s="987" t="s">
        <v>314</v>
      </c>
      <c r="B349" s="988"/>
      <c r="C349" s="988"/>
      <c r="D349" s="989"/>
    </row>
    <row r="350" spans="1:4">
      <c r="A350" s="13"/>
      <c r="D350" s="14"/>
    </row>
    <row r="351" spans="1:4">
      <c r="A351" s="987" t="s">
        <v>315</v>
      </c>
      <c r="B351" s="988"/>
      <c r="C351" s="988"/>
      <c r="D351" s="989"/>
    </row>
    <row r="352" spans="1:4">
      <c r="A352" s="243"/>
      <c r="B352" s="244"/>
      <c r="C352" s="244"/>
      <c r="D352" s="245"/>
    </row>
    <row r="353" spans="1:4">
      <c r="A353" s="971" t="s">
        <v>316</v>
      </c>
      <c r="B353" s="972"/>
      <c r="C353" s="972"/>
      <c r="D353" s="973"/>
    </row>
    <row r="354" spans="1:4">
      <c r="A354" s="13"/>
      <c r="D354" s="14"/>
    </row>
    <row r="355" spans="1:4">
      <c r="A355" s="971" t="s">
        <v>317</v>
      </c>
      <c r="B355" s="972"/>
      <c r="C355" s="972"/>
      <c r="D355" s="973"/>
    </row>
    <row r="356" spans="1:4">
      <c r="A356" s="971" t="s">
        <v>318</v>
      </c>
      <c r="B356" s="972"/>
      <c r="C356" s="972"/>
      <c r="D356" s="973"/>
    </row>
    <row r="357" spans="1:4">
      <c r="A357" s="241"/>
      <c r="B357" s="246"/>
      <c r="C357" s="246"/>
      <c r="D357" s="247"/>
    </row>
    <row r="358" spans="1:4">
      <c r="A358" s="987" t="s">
        <v>319</v>
      </c>
      <c r="B358" s="988"/>
      <c r="C358" s="988"/>
      <c r="D358" s="989"/>
    </row>
    <row r="359" spans="1:4">
      <c r="A359" s="241"/>
      <c r="B359" s="246"/>
      <c r="C359" s="246"/>
      <c r="D359" s="247"/>
    </row>
    <row r="360" spans="1:4">
      <c r="A360" s="971" t="s">
        <v>320</v>
      </c>
      <c r="B360" s="972"/>
      <c r="C360" s="972"/>
      <c r="D360" s="973"/>
    </row>
    <row r="361" spans="1:4">
      <c r="A361" s="13"/>
      <c r="D361" s="14"/>
    </row>
    <row r="362" spans="1:4">
      <c r="A362" s="968" t="s">
        <v>321</v>
      </c>
      <c r="B362" s="969"/>
      <c r="C362" s="969"/>
      <c r="D362" s="970"/>
    </row>
    <row r="363" spans="1:4" ht="42.75">
      <c r="A363" s="248" t="s">
        <v>322</v>
      </c>
      <c r="B363" s="249" t="s">
        <v>323</v>
      </c>
      <c r="C363" s="249" t="s">
        <v>324</v>
      </c>
      <c r="D363" s="250" t="s">
        <v>325</v>
      </c>
    </row>
    <row r="364" spans="1:4">
      <c r="A364" s="251">
        <v>1</v>
      </c>
      <c r="B364" s="252">
        <v>2</v>
      </c>
      <c r="C364" s="252">
        <v>3</v>
      </c>
      <c r="D364" s="253">
        <v>4</v>
      </c>
    </row>
    <row r="365" spans="1:4">
      <c r="A365" s="13" t="e">
        <f>'BOM 04 22Master'!#REF!</f>
        <v>#REF!</v>
      </c>
      <c r="B365" s="11" t="s">
        <v>367</v>
      </c>
      <c r="C365" s="11" t="s">
        <v>374</v>
      </c>
      <c r="D365" s="285">
        <v>1</v>
      </c>
    </row>
    <row r="366" spans="1:4">
      <c r="A366" s="269"/>
      <c r="B366" s="11"/>
      <c r="C366" s="11"/>
      <c r="D366" s="254"/>
    </row>
    <row r="367" spans="1:4">
      <c r="A367" s="266"/>
      <c r="B367" s="11"/>
      <c r="C367" s="11"/>
      <c r="D367" s="254"/>
    </row>
    <row r="368" spans="1:4">
      <c r="A368" s="13"/>
      <c r="D368" s="14"/>
    </row>
    <row r="369" spans="1:4">
      <c r="A369" s="968" t="s">
        <v>326</v>
      </c>
      <c r="B369" s="969"/>
      <c r="C369" s="969"/>
      <c r="D369" s="970"/>
    </row>
    <row r="370" spans="1:4">
      <c r="A370" s="157"/>
      <c r="B370" s="5"/>
      <c r="C370" s="5"/>
      <c r="D370" s="158"/>
    </row>
    <row r="371" spans="1:4">
      <c r="A371" s="957" t="s">
        <v>327</v>
      </c>
      <c r="B371" s="958"/>
      <c r="C371" s="959" t="e">
        <f>'BOM 04 22Master'!#REF!</f>
        <v>#REF!</v>
      </c>
      <c r="D371" s="960"/>
    </row>
    <row r="372" spans="1:4">
      <c r="A372" s="957" t="s">
        <v>328</v>
      </c>
      <c r="B372" s="958"/>
      <c r="C372" s="816" t="e">
        <f>'BOM 04 22Master'!#REF!</f>
        <v>#REF!</v>
      </c>
      <c r="D372" s="960"/>
    </row>
    <row r="373" spans="1:4">
      <c r="A373" s="957" t="s">
        <v>329</v>
      </c>
      <c r="B373" s="958"/>
      <c r="C373" s="816" t="s">
        <v>375</v>
      </c>
      <c r="D373" s="960"/>
    </row>
    <row r="374" spans="1:4">
      <c r="A374" s="957" t="s">
        <v>330</v>
      </c>
      <c r="B374" s="958"/>
      <c r="C374" s="816" t="s">
        <v>373</v>
      </c>
      <c r="D374" s="960"/>
    </row>
    <row r="375" spans="1:4">
      <c r="A375" s="957" t="s">
        <v>331</v>
      </c>
      <c r="B375" s="958"/>
      <c r="C375" s="959" t="e">
        <f>'BOM 04 22Master'!#REF!</f>
        <v>#REF!</v>
      </c>
      <c r="D375" s="960"/>
    </row>
    <row r="376" spans="1:4">
      <c r="A376" s="957" t="s">
        <v>332</v>
      </c>
      <c r="B376" s="958"/>
      <c r="C376" s="959" t="e">
        <f>'BOM 04 22Master'!#REF!</f>
        <v>#REF!</v>
      </c>
      <c r="D376" s="960"/>
    </row>
    <row r="377" spans="1:4">
      <c r="A377" s="957" t="s">
        <v>333</v>
      </c>
      <c r="B377" s="958"/>
      <c r="C377" s="977" t="e">
        <f>'BOM 04 22Master'!#REF!</f>
        <v>#REF!</v>
      </c>
      <c r="D377" s="960"/>
    </row>
    <row r="378" spans="1:4">
      <c r="A378" s="957" t="s">
        <v>334</v>
      </c>
      <c r="B378" s="958"/>
      <c r="C378" s="816"/>
      <c r="D378" s="960"/>
    </row>
    <row r="379" spans="1:4">
      <c r="A379" s="957"/>
      <c r="B379" s="958"/>
      <c r="C379" s="959" t="e">
        <f>'BOM 04 22Master'!#REF!</f>
        <v>#REF!</v>
      </c>
      <c r="D379" s="960"/>
    </row>
    <row r="380" spans="1:4">
      <c r="A380" s="957"/>
      <c r="B380" s="958"/>
      <c r="C380" s="959" t="e">
        <f>'BOM 04 22Master'!#REF!</f>
        <v>#REF!</v>
      </c>
      <c r="D380" s="960"/>
    </row>
    <row r="381" spans="1:4">
      <c r="A381" s="957"/>
      <c r="B381" s="958"/>
      <c r="C381" s="959" t="e">
        <f>'BOM 04 22Master'!#REF!</f>
        <v>#REF!</v>
      </c>
      <c r="D381" s="960"/>
    </row>
    <row r="382" spans="1:4">
      <c r="A382" s="241" t="s">
        <v>276</v>
      </c>
      <c r="B382" s="246" t="s">
        <v>365</v>
      </c>
      <c r="C382" s="246"/>
      <c r="D382" s="247"/>
    </row>
    <row r="383" spans="1:4">
      <c r="A383" s="241" t="s">
        <v>335</v>
      </c>
      <c r="B383" s="286" t="e">
        <f>'BOM 04 22Master'!#REF!</f>
        <v>#REF!</v>
      </c>
      <c r="C383" s="255" t="s">
        <v>336</v>
      </c>
      <c r="D383" s="247"/>
    </row>
    <row r="384" spans="1:4">
      <c r="A384" s="241"/>
      <c r="B384" s="246"/>
      <c r="C384" s="246"/>
      <c r="D384" s="247"/>
    </row>
    <row r="385" spans="1:4">
      <c r="A385" s="968" t="s">
        <v>337</v>
      </c>
      <c r="B385" s="969"/>
      <c r="C385" s="969"/>
      <c r="D385" s="970"/>
    </row>
    <row r="386" spans="1:4">
      <c r="A386" s="241" t="s">
        <v>338</v>
      </c>
      <c r="B386" s="246"/>
      <c r="C386" s="246"/>
      <c r="D386" s="247"/>
    </row>
    <row r="387" spans="1:4">
      <c r="A387" s="241"/>
      <c r="B387" s="246"/>
      <c r="C387" s="246"/>
      <c r="D387" s="247"/>
    </row>
    <row r="388" spans="1:4">
      <c r="A388" s="971" t="s">
        <v>339</v>
      </c>
      <c r="B388" s="972"/>
      <c r="C388" s="972" t="s">
        <v>340</v>
      </c>
      <c r="D388" s="973"/>
    </row>
    <row r="389" spans="1:4">
      <c r="A389" s="974">
        <v>1</v>
      </c>
      <c r="B389" s="975"/>
      <c r="C389" s="975">
        <v>1</v>
      </c>
      <c r="D389" s="976"/>
    </row>
    <row r="390" spans="1:4">
      <c r="A390" s="974">
        <v>2</v>
      </c>
      <c r="B390" s="975"/>
      <c r="C390" s="975">
        <v>2</v>
      </c>
      <c r="D390" s="976"/>
    </row>
    <row r="391" spans="1:4">
      <c r="A391" s="256"/>
      <c r="C391" s="964" t="s">
        <v>345</v>
      </c>
      <c r="D391" s="965"/>
    </row>
    <row r="392" spans="1:4">
      <c r="A392" s="961" t="s">
        <v>341</v>
      </c>
      <c r="B392" s="962"/>
      <c r="C392" s="962"/>
      <c r="D392" s="963"/>
    </row>
    <row r="393" spans="1:4">
      <c r="A393" s="259" t="s">
        <v>342</v>
      </c>
      <c r="B393" s="260"/>
      <c r="C393" s="260"/>
      <c r="D393" s="261"/>
    </row>
    <row r="394" spans="1:4">
      <c r="A394" s="259"/>
      <c r="B394" s="260"/>
      <c r="C394" s="260"/>
      <c r="D394" s="261"/>
    </row>
    <row r="395" spans="1:4">
      <c r="A395" s="259"/>
      <c r="B395" s="260"/>
      <c r="C395" s="260" t="s">
        <v>343</v>
      </c>
      <c r="D395" s="261"/>
    </row>
    <row r="396" spans="1:4">
      <c r="A396" s="256"/>
      <c r="B396" s="257"/>
      <c r="C396" s="156" t="s">
        <v>147</v>
      </c>
      <c r="D396" s="258"/>
    </row>
    <row r="397" spans="1:4">
      <c r="A397" s="256"/>
      <c r="C397" t="s">
        <v>344</v>
      </c>
      <c r="D397" s="262"/>
    </row>
    <row r="398" spans="1:4">
      <c r="A398" s="256"/>
      <c r="C398" s="966" t="str">
        <f>'BOM 04 22Master'!F5</f>
        <v>Burgeon IT Services Pvt.Ltd.</v>
      </c>
      <c r="D398" s="967"/>
    </row>
    <row r="399" spans="1:4">
      <c r="A399" s="241" t="s">
        <v>276</v>
      </c>
      <c r="B399" t="str">
        <f>B382</f>
        <v>Hyderabad</v>
      </c>
      <c r="C399" s="2" t="str">
        <f>'BOM 04 22Master'!F6</f>
        <v>Siri Mansion LIGB 436 Dr.A S Rao Nagar,Hyderabad</v>
      </c>
      <c r="D399" s="14"/>
    </row>
    <row r="400" spans="1:4" ht="15.75" thickBot="1">
      <c r="A400" s="241" t="s">
        <v>335</v>
      </c>
      <c r="B400" s="278" t="e">
        <f>B383</f>
        <v>#REF!</v>
      </c>
      <c r="C400" s="2"/>
      <c r="D400" s="14"/>
    </row>
    <row r="401" spans="1:4" ht="15.75" thickBot="1">
      <c r="A401" s="267"/>
      <c r="B401" s="268" t="s">
        <v>348</v>
      </c>
      <c r="C401" s="268"/>
      <c r="D401" s="29"/>
    </row>
    <row r="402" spans="1:4">
      <c r="A402" s="241" t="s">
        <v>346</v>
      </c>
      <c r="C402" s="2"/>
      <c r="D402" s="14"/>
    </row>
    <row r="403" spans="1:4">
      <c r="A403" s="241" t="s">
        <v>335</v>
      </c>
      <c r="B403" s="278" t="e">
        <f>B400</f>
        <v>#REF!</v>
      </c>
      <c r="C403" s="2"/>
      <c r="D403" s="14"/>
    </row>
    <row r="404" spans="1:4" ht="15.75" thickBot="1">
      <c r="A404" s="270" t="s">
        <v>347</v>
      </c>
      <c r="B404" s="23"/>
      <c r="C404" s="23"/>
      <c r="D404" s="24" t="s">
        <v>138</v>
      </c>
    </row>
    <row r="408" spans="1:4" ht="15.75" thickBot="1"/>
    <row r="409" spans="1:4" ht="20.25">
      <c r="A409" s="978" t="s">
        <v>310</v>
      </c>
      <c r="B409" s="979"/>
      <c r="C409" s="979"/>
      <c r="D409" s="980"/>
    </row>
    <row r="410" spans="1:4">
      <c r="A410" s="981" t="s">
        <v>311</v>
      </c>
      <c r="B410" s="982"/>
      <c r="C410" s="982"/>
      <c r="D410" s="983"/>
    </row>
    <row r="411" spans="1:4" ht="18">
      <c r="A411" s="984" t="s">
        <v>312</v>
      </c>
      <c r="B411" s="985"/>
      <c r="C411" s="985"/>
      <c r="D411" s="986"/>
    </row>
    <row r="412" spans="1:4">
      <c r="A412" s="13" t="s">
        <v>137</v>
      </c>
      <c r="D412" s="14"/>
    </row>
    <row r="413" spans="1:4" ht="18">
      <c r="A413" s="263" t="str">
        <f>'BOM 04 22Master'!F5</f>
        <v>Burgeon IT Services Pvt.Ltd.</v>
      </c>
      <c r="B413" s="240"/>
      <c r="D413" s="14"/>
    </row>
    <row r="414" spans="1:4" ht="18">
      <c r="A414" s="263" t="str">
        <f>'BOM 04 22Master'!F6</f>
        <v>Siri Mansion LIGB 436 Dr.A S Rao Nagar,Hyderabad</v>
      </c>
      <c r="B414" s="240"/>
      <c r="D414" s="14"/>
    </row>
    <row r="415" spans="1:4" ht="18">
      <c r="A415" s="242"/>
      <c r="B415" s="4"/>
      <c r="D415" s="14"/>
    </row>
    <row r="416" spans="1:4" ht="15.75">
      <c r="A416" s="241" t="s">
        <v>313</v>
      </c>
      <c r="B416" s="264"/>
      <c r="C416" s="265" t="e">
        <f>'BOM 04 22Master'!#REF!</f>
        <v>#REF!</v>
      </c>
      <c r="D416" s="57"/>
    </row>
    <row r="417" spans="1:4">
      <c r="A417" s="987" t="s">
        <v>314</v>
      </c>
      <c r="B417" s="988"/>
      <c r="C417" s="988"/>
      <c r="D417" s="989"/>
    </row>
    <row r="418" spans="1:4">
      <c r="A418" s="13"/>
      <c r="D418" s="14"/>
    </row>
    <row r="419" spans="1:4">
      <c r="A419" s="987" t="s">
        <v>315</v>
      </c>
      <c r="B419" s="988"/>
      <c r="C419" s="988"/>
      <c r="D419" s="989"/>
    </row>
    <row r="420" spans="1:4">
      <c r="A420" s="243"/>
      <c r="B420" s="244"/>
      <c r="C420" s="244"/>
      <c r="D420" s="245"/>
    </row>
    <row r="421" spans="1:4">
      <c r="A421" s="971" t="s">
        <v>316</v>
      </c>
      <c r="B421" s="972"/>
      <c r="C421" s="972"/>
      <c r="D421" s="973"/>
    </row>
    <row r="422" spans="1:4">
      <c r="A422" s="13"/>
      <c r="D422" s="14"/>
    </row>
    <row r="423" spans="1:4">
      <c r="A423" s="971" t="s">
        <v>317</v>
      </c>
      <c r="B423" s="972"/>
      <c r="C423" s="972"/>
      <c r="D423" s="973"/>
    </row>
    <row r="424" spans="1:4">
      <c r="A424" s="971" t="s">
        <v>318</v>
      </c>
      <c r="B424" s="972"/>
      <c r="C424" s="972"/>
      <c r="D424" s="973"/>
    </row>
    <row r="425" spans="1:4">
      <c r="A425" s="241"/>
      <c r="B425" s="246"/>
      <c r="C425" s="246"/>
      <c r="D425" s="247"/>
    </row>
    <row r="426" spans="1:4">
      <c r="A426" s="987" t="s">
        <v>319</v>
      </c>
      <c r="B426" s="988"/>
      <c r="C426" s="988"/>
      <c r="D426" s="989"/>
    </row>
    <row r="427" spans="1:4">
      <c r="A427" s="241"/>
      <c r="B427" s="246"/>
      <c r="C427" s="246"/>
      <c r="D427" s="247"/>
    </row>
    <row r="428" spans="1:4">
      <c r="A428" s="971" t="s">
        <v>320</v>
      </c>
      <c r="B428" s="972"/>
      <c r="C428" s="972"/>
      <c r="D428" s="973"/>
    </row>
    <row r="429" spans="1:4">
      <c r="A429" s="13"/>
      <c r="D429" s="14"/>
    </row>
    <row r="430" spans="1:4">
      <c r="A430" s="968" t="s">
        <v>321</v>
      </c>
      <c r="B430" s="969"/>
      <c r="C430" s="969"/>
      <c r="D430" s="970"/>
    </row>
    <row r="431" spans="1:4" ht="42.75">
      <c r="A431" s="248" t="s">
        <v>322</v>
      </c>
      <c r="B431" s="249" t="s">
        <v>323</v>
      </c>
      <c r="C431" s="249" t="s">
        <v>324</v>
      </c>
      <c r="D431" s="250" t="s">
        <v>325</v>
      </c>
    </row>
    <row r="432" spans="1:4">
      <c r="A432" s="251">
        <v>1</v>
      </c>
      <c r="B432" s="252">
        <v>2</v>
      </c>
      <c r="C432" s="252">
        <v>3</v>
      </c>
      <c r="D432" s="253">
        <v>4</v>
      </c>
    </row>
    <row r="433" spans="1:4">
      <c r="A433" s="13" t="e">
        <f>'BOM 04 22Master'!#REF!</f>
        <v>#REF!</v>
      </c>
      <c r="B433" s="11" t="s">
        <v>367</v>
      </c>
      <c r="C433" s="11" t="s">
        <v>374</v>
      </c>
      <c r="D433" s="285">
        <v>1</v>
      </c>
    </row>
    <row r="434" spans="1:4">
      <c r="A434" s="269"/>
      <c r="B434" s="11"/>
      <c r="C434" s="11"/>
      <c r="D434" s="254"/>
    </row>
    <row r="435" spans="1:4">
      <c r="A435" s="266"/>
      <c r="B435" s="11"/>
      <c r="C435" s="11"/>
      <c r="D435" s="254"/>
    </row>
    <row r="436" spans="1:4">
      <c r="A436" s="13"/>
      <c r="D436" s="14"/>
    </row>
    <row r="437" spans="1:4">
      <c r="A437" s="968" t="s">
        <v>326</v>
      </c>
      <c r="B437" s="969"/>
      <c r="C437" s="969"/>
      <c r="D437" s="970"/>
    </row>
    <row r="438" spans="1:4">
      <c r="A438" s="157"/>
      <c r="B438" s="5"/>
      <c r="C438" s="5"/>
      <c r="D438" s="158"/>
    </row>
    <row r="439" spans="1:4">
      <c r="A439" s="957" t="s">
        <v>327</v>
      </c>
      <c r="B439" s="958"/>
      <c r="C439" s="959" t="e">
        <f>'BOM 04 22Master'!#REF!</f>
        <v>#REF!</v>
      </c>
      <c r="D439" s="960"/>
    </row>
    <row r="440" spans="1:4">
      <c r="A440" s="957" t="s">
        <v>328</v>
      </c>
      <c r="B440" s="958"/>
      <c r="C440" s="816" t="e">
        <f>'BOM 04 22Master'!#REF!</f>
        <v>#REF!</v>
      </c>
      <c r="D440" s="960"/>
    </row>
    <row r="441" spans="1:4">
      <c r="A441" s="957" t="s">
        <v>329</v>
      </c>
      <c r="B441" s="958"/>
      <c r="C441" s="816" t="s">
        <v>375</v>
      </c>
      <c r="D441" s="960"/>
    </row>
    <row r="442" spans="1:4">
      <c r="A442" s="957" t="s">
        <v>330</v>
      </c>
      <c r="B442" s="958"/>
      <c r="C442" s="816" t="s">
        <v>373</v>
      </c>
      <c r="D442" s="960"/>
    </row>
    <row r="443" spans="1:4">
      <c r="A443" s="957" t="s">
        <v>331</v>
      </c>
      <c r="B443" s="958"/>
      <c r="C443" s="959" t="e">
        <f>'BOM 04 22Master'!#REF!</f>
        <v>#REF!</v>
      </c>
      <c r="D443" s="960"/>
    </row>
    <row r="444" spans="1:4">
      <c r="A444" s="957" t="s">
        <v>332</v>
      </c>
      <c r="B444" s="958"/>
      <c r="C444" s="959" t="e">
        <f>'BOM 04 22Master'!#REF!</f>
        <v>#REF!</v>
      </c>
      <c r="D444" s="960"/>
    </row>
    <row r="445" spans="1:4">
      <c r="A445" s="957" t="s">
        <v>333</v>
      </c>
      <c r="B445" s="958"/>
      <c r="C445" s="977" t="e">
        <f>'BOM 04 22Master'!#REF!</f>
        <v>#REF!</v>
      </c>
      <c r="D445" s="960"/>
    </row>
    <row r="446" spans="1:4">
      <c r="A446" s="957" t="s">
        <v>334</v>
      </c>
      <c r="B446" s="958"/>
      <c r="C446" s="816"/>
      <c r="D446" s="960"/>
    </row>
    <row r="447" spans="1:4">
      <c r="A447" s="957"/>
      <c r="B447" s="958"/>
      <c r="C447" s="959" t="e">
        <f>'BOM 04 22Master'!#REF!</f>
        <v>#REF!</v>
      </c>
      <c r="D447" s="960"/>
    </row>
    <row r="448" spans="1:4">
      <c r="A448" s="957"/>
      <c r="B448" s="958"/>
      <c r="C448" s="959" t="e">
        <f>'BOM 04 22Master'!#REF!</f>
        <v>#REF!</v>
      </c>
      <c r="D448" s="960"/>
    </row>
    <row r="449" spans="1:4">
      <c r="A449" s="957"/>
      <c r="B449" s="958"/>
      <c r="C449" s="959" t="e">
        <f>'BOM 04 22Master'!#REF!</f>
        <v>#REF!</v>
      </c>
      <c r="D449" s="960"/>
    </row>
    <row r="450" spans="1:4">
      <c r="A450" s="241" t="s">
        <v>276</v>
      </c>
      <c r="B450" s="246" t="s">
        <v>365</v>
      </c>
      <c r="C450" s="246"/>
      <c r="D450" s="247"/>
    </row>
    <row r="451" spans="1:4">
      <c r="A451" s="241" t="s">
        <v>335</v>
      </c>
      <c r="B451" s="286" t="e">
        <f>'BOM 04 22Master'!#REF!</f>
        <v>#REF!</v>
      </c>
      <c r="C451" s="255" t="s">
        <v>336</v>
      </c>
      <c r="D451" s="247"/>
    </row>
    <row r="452" spans="1:4">
      <c r="A452" s="241"/>
      <c r="B452" s="246"/>
      <c r="C452" s="246"/>
      <c r="D452" s="247"/>
    </row>
    <row r="453" spans="1:4">
      <c r="A453" s="968" t="s">
        <v>337</v>
      </c>
      <c r="B453" s="969"/>
      <c r="C453" s="969"/>
      <c r="D453" s="970"/>
    </row>
    <row r="454" spans="1:4">
      <c r="A454" s="241" t="s">
        <v>338</v>
      </c>
      <c r="B454" s="246"/>
      <c r="C454" s="246"/>
      <c r="D454" s="247"/>
    </row>
    <row r="455" spans="1:4">
      <c r="A455" s="241"/>
      <c r="B455" s="246"/>
      <c r="C455" s="246"/>
      <c r="D455" s="247"/>
    </row>
    <row r="456" spans="1:4">
      <c r="A456" s="971" t="s">
        <v>339</v>
      </c>
      <c r="B456" s="972"/>
      <c r="C456" s="972" t="s">
        <v>340</v>
      </c>
      <c r="D456" s="973"/>
    </row>
    <row r="457" spans="1:4">
      <c r="A457" s="974">
        <v>1</v>
      </c>
      <c r="B457" s="975"/>
      <c r="C457" s="975">
        <v>1</v>
      </c>
      <c r="D457" s="976"/>
    </row>
    <row r="458" spans="1:4">
      <c r="A458" s="974">
        <v>2</v>
      </c>
      <c r="B458" s="975"/>
      <c r="C458" s="975">
        <v>2</v>
      </c>
      <c r="D458" s="976"/>
    </row>
    <row r="459" spans="1:4">
      <c r="A459" s="256"/>
      <c r="C459" s="964" t="s">
        <v>345</v>
      </c>
      <c r="D459" s="965"/>
    </row>
    <row r="460" spans="1:4">
      <c r="A460" s="961" t="s">
        <v>341</v>
      </c>
      <c r="B460" s="962"/>
      <c r="C460" s="962"/>
      <c r="D460" s="963"/>
    </row>
    <row r="461" spans="1:4">
      <c r="A461" s="259" t="s">
        <v>342</v>
      </c>
      <c r="B461" s="260"/>
      <c r="C461" s="260"/>
      <c r="D461" s="261"/>
    </row>
    <row r="462" spans="1:4">
      <c r="A462" s="259"/>
      <c r="B462" s="260"/>
      <c r="C462" s="260"/>
      <c r="D462" s="261"/>
    </row>
    <row r="463" spans="1:4">
      <c r="A463" s="259"/>
      <c r="B463" s="260"/>
      <c r="C463" s="260" t="s">
        <v>343</v>
      </c>
      <c r="D463" s="261"/>
    </row>
    <row r="464" spans="1:4">
      <c r="A464" s="256"/>
      <c r="B464" s="257"/>
      <c r="C464" s="156" t="s">
        <v>147</v>
      </c>
      <c r="D464" s="258"/>
    </row>
    <row r="465" spans="1:4">
      <c r="A465" s="256"/>
      <c r="C465" t="s">
        <v>344</v>
      </c>
      <c r="D465" s="262"/>
    </row>
    <row r="466" spans="1:4">
      <c r="A466" s="256"/>
      <c r="C466" s="966" t="str">
        <f>'BOM 04 22Master'!F5</f>
        <v>Burgeon IT Services Pvt.Ltd.</v>
      </c>
      <c r="D466" s="967"/>
    </row>
    <row r="467" spans="1:4">
      <c r="A467" s="241" t="s">
        <v>276</v>
      </c>
      <c r="B467" t="str">
        <f>B450</f>
        <v>Hyderabad</v>
      </c>
      <c r="C467" s="2" t="str">
        <f>'BOM 04 22Master'!F6</f>
        <v>Siri Mansion LIGB 436 Dr.A S Rao Nagar,Hyderabad</v>
      </c>
      <c r="D467" s="14"/>
    </row>
    <row r="468" spans="1:4" ht="15.75" thickBot="1">
      <c r="A468" s="241" t="s">
        <v>335</v>
      </c>
      <c r="B468" s="278" t="e">
        <f>B451</f>
        <v>#REF!</v>
      </c>
      <c r="C468" s="2"/>
      <c r="D468" s="14"/>
    </row>
    <row r="469" spans="1:4" ht="15.75" thickBot="1">
      <c r="A469" s="267"/>
      <c r="B469" s="268" t="s">
        <v>348</v>
      </c>
      <c r="C469" s="268"/>
      <c r="D469" s="29"/>
    </row>
    <row r="470" spans="1:4">
      <c r="A470" s="241" t="s">
        <v>346</v>
      </c>
      <c r="C470" s="2"/>
      <c r="D470" s="14"/>
    </row>
    <row r="471" spans="1:4">
      <c r="A471" s="241" t="s">
        <v>335</v>
      </c>
      <c r="B471" s="278" t="e">
        <f>B468</f>
        <v>#REF!</v>
      </c>
      <c r="C471" s="2"/>
      <c r="D471" s="14"/>
    </row>
    <row r="472" spans="1:4" ht="15.75" thickBot="1">
      <c r="A472" s="270" t="s">
        <v>347</v>
      </c>
      <c r="B472" s="23"/>
      <c r="C472" s="23"/>
      <c r="D472" s="24" t="s">
        <v>138</v>
      </c>
    </row>
    <row r="476" spans="1:4" ht="15.75" thickBot="1"/>
    <row r="477" spans="1:4" ht="20.25">
      <c r="A477" s="978" t="s">
        <v>310</v>
      </c>
      <c r="B477" s="979"/>
      <c r="C477" s="979"/>
      <c r="D477" s="980"/>
    </row>
    <row r="478" spans="1:4">
      <c r="A478" s="981" t="s">
        <v>311</v>
      </c>
      <c r="B478" s="982"/>
      <c r="C478" s="982"/>
      <c r="D478" s="983"/>
    </row>
    <row r="479" spans="1:4" ht="18">
      <c r="A479" s="984" t="s">
        <v>312</v>
      </c>
      <c r="B479" s="985"/>
      <c r="C479" s="985"/>
      <c r="D479" s="986"/>
    </row>
    <row r="480" spans="1:4">
      <c r="A480" s="13" t="s">
        <v>137</v>
      </c>
      <c r="D480" s="14"/>
    </row>
    <row r="481" spans="1:4" ht="18">
      <c r="A481" s="263" t="str">
        <f>'BOM 04 22Master'!F5</f>
        <v>Burgeon IT Services Pvt.Ltd.</v>
      </c>
      <c r="B481" s="240"/>
      <c r="D481" s="14"/>
    </row>
    <row r="482" spans="1:4" ht="18">
      <c r="A482" s="263" t="str">
        <f>'BOM 04 22Master'!F6</f>
        <v>Siri Mansion LIGB 436 Dr.A S Rao Nagar,Hyderabad</v>
      </c>
      <c r="B482" s="240"/>
      <c r="D482" s="14"/>
    </row>
    <row r="483" spans="1:4" ht="18">
      <c r="A483" s="242"/>
      <c r="B483" s="4"/>
      <c r="D483" s="14"/>
    </row>
    <row r="484" spans="1:4" ht="15.75">
      <c r="A484" s="241" t="s">
        <v>313</v>
      </c>
      <c r="B484" s="264"/>
      <c r="C484" s="265" t="e">
        <f>'BOM 04 22Master'!#REF!</f>
        <v>#REF!</v>
      </c>
      <c r="D484" s="57"/>
    </row>
    <row r="485" spans="1:4">
      <c r="A485" s="987" t="s">
        <v>314</v>
      </c>
      <c r="B485" s="988"/>
      <c r="C485" s="988"/>
      <c r="D485" s="989"/>
    </row>
    <row r="486" spans="1:4">
      <c r="A486" s="13"/>
      <c r="D486" s="14"/>
    </row>
    <row r="487" spans="1:4">
      <c r="A487" s="987" t="s">
        <v>315</v>
      </c>
      <c r="B487" s="988"/>
      <c r="C487" s="988"/>
      <c r="D487" s="989"/>
    </row>
    <row r="488" spans="1:4">
      <c r="A488" s="243"/>
      <c r="B488" s="244"/>
      <c r="C488" s="244"/>
      <c r="D488" s="245"/>
    </row>
    <row r="489" spans="1:4">
      <c r="A489" s="971" t="s">
        <v>316</v>
      </c>
      <c r="B489" s="972"/>
      <c r="C489" s="972"/>
      <c r="D489" s="973"/>
    </row>
    <row r="490" spans="1:4">
      <c r="A490" s="13"/>
      <c r="D490" s="14"/>
    </row>
    <row r="491" spans="1:4">
      <c r="A491" s="971" t="s">
        <v>317</v>
      </c>
      <c r="B491" s="972"/>
      <c r="C491" s="972"/>
      <c r="D491" s="973"/>
    </row>
    <row r="492" spans="1:4">
      <c r="A492" s="971" t="s">
        <v>318</v>
      </c>
      <c r="B492" s="972"/>
      <c r="C492" s="972"/>
      <c r="D492" s="973"/>
    </row>
    <row r="493" spans="1:4">
      <c r="A493" s="241"/>
      <c r="B493" s="246"/>
      <c r="C493" s="246"/>
      <c r="D493" s="247"/>
    </row>
    <row r="494" spans="1:4">
      <c r="A494" s="987" t="s">
        <v>319</v>
      </c>
      <c r="B494" s="988"/>
      <c r="C494" s="988"/>
      <c r="D494" s="989"/>
    </row>
    <row r="495" spans="1:4">
      <c r="A495" s="241"/>
      <c r="B495" s="246"/>
      <c r="C495" s="246"/>
      <c r="D495" s="247"/>
    </row>
    <row r="496" spans="1:4">
      <c r="A496" s="971" t="s">
        <v>320</v>
      </c>
      <c r="B496" s="972"/>
      <c r="C496" s="972"/>
      <c r="D496" s="973"/>
    </row>
    <row r="497" spans="1:4">
      <c r="A497" s="13"/>
      <c r="D497" s="14"/>
    </row>
    <row r="498" spans="1:4">
      <c r="A498" s="968" t="s">
        <v>321</v>
      </c>
      <c r="B498" s="969"/>
      <c r="C498" s="969"/>
      <c r="D498" s="970"/>
    </row>
    <row r="499" spans="1:4" ht="42.75">
      <c r="A499" s="248" t="s">
        <v>322</v>
      </c>
      <c r="B499" s="249" t="s">
        <v>323</v>
      </c>
      <c r="C499" s="249" t="s">
        <v>324</v>
      </c>
      <c r="D499" s="250" t="s">
        <v>325</v>
      </c>
    </row>
    <row r="500" spans="1:4">
      <c r="A500" s="251">
        <v>1</v>
      </c>
      <c r="B500" s="252">
        <v>2</v>
      </c>
      <c r="C500" s="252">
        <v>3</v>
      </c>
      <c r="D500" s="253">
        <v>4</v>
      </c>
    </row>
    <row r="501" spans="1:4">
      <c r="A501" s="13" t="e">
        <f>'BOM 04 22Master'!#REF!</f>
        <v>#REF!</v>
      </c>
      <c r="B501" s="11" t="s">
        <v>367</v>
      </c>
      <c r="C501" s="11" t="s">
        <v>374</v>
      </c>
      <c r="D501" s="285">
        <v>1</v>
      </c>
    </row>
    <row r="502" spans="1:4">
      <c r="A502" s="269"/>
      <c r="B502" s="11"/>
      <c r="C502" s="11"/>
      <c r="D502" s="254"/>
    </row>
    <row r="503" spans="1:4">
      <c r="A503" s="266"/>
      <c r="B503" s="11"/>
      <c r="C503" s="11"/>
      <c r="D503" s="254"/>
    </row>
    <row r="504" spans="1:4">
      <c r="A504" s="13"/>
      <c r="D504" s="14"/>
    </row>
    <row r="505" spans="1:4">
      <c r="A505" s="968" t="s">
        <v>326</v>
      </c>
      <c r="B505" s="969"/>
      <c r="C505" s="969"/>
      <c r="D505" s="970"/>
    </row>
    <row r="506" spans="1:4">
      <c r="A506" s="157"/>
      <c r="B506" s="5"/>
      <c r="C506" s="5"/>
      <c r="D506" s="158"/>
    </row>
    <row r="507" spans="1:4">
      <c r="A507" s="957" t="s">
        <v>327</v>
      </c>
      <c r="B507" s="958"/>
      <c r="C507" s="959" t="e">
        <f>'BOM 04 22Master'!#REF!</f>
        <v>#REF!</v>
      </c>
      <c r="D507" s="960"/>
    </row>
    <row r="508" spans="1:4">
      <c r="A508" s="957" t="s">
        <v>328</v>
      </c>
      <c r="B508" s="958"/>
      <c r="C508" s="816" t="e">
        <f>'BOM 04 22Master'!#REF!</f>
        <v>#REF!</v>
      </c>
      <c r="D508" s="960"/>
    </row>
    <row r="509" spans="1:4">
      <c r="A509" s="957" t="s">
        <v>329</v>
      </c>
      <c r="B509" s="958"/>
      <c r="C509" s="816" t="s">
        <v>375</v>
      </c>
      <c r="D509" s="960"/>
    </row>
    <row r="510" spans="1:4">
      <c r="A510" s="957" t="s">
        <v>330</v>
      </c>
      <c r="B510" s="958"/>
      <c r="C510" s="816" t="s">
        <v>373</v>
      </c>
      <c r="D510" s="960"/>
    </row>
    <row r="511" spans="1:4">
      <c r="A511" s="957" t="s">
        <v>331</v>
      </c>
      <c r="B511" s="958"/>
      <c r="C511" s="959" t="e">
        <f>'BOM 04 22Master'!#REF!</f>
        <v>#REF!</v>
      </c>
      <c r="D511" s="960"/>
    </row>
    <row r="512" spans="1:4">
      <c r="A512" s="957" t="s">
        <v>332</v>
      </c>
      <c r="B512" s="958"/>
      <c r="C512" s="959" t="e">
        <f>'BOM 04 22Master'!#REF!</f>
        <v>#REF!</v>
      </c>
      <c r="D512" s="960"/>
    </row>
    <row r="513" spans="1:4">
      <c r="A513" s="957" t="s">
        <v>333</v>
      </c>
      <c r="B513" s="958"/>
      <c r="C513" s="977" t="e">
        <f>'BOM 04 22Master'!#REF!</f>
        <v>#REF!</v>
      </c>
      <c r="D513" s="960"/>
    </row>
    <row r="514" spans="1:4">
      <c r="A514" s="957" t="s">
        <v>334</v>
      </c>
      <c r="B514" s="958"/>
      <c r="C514" s="816"/>
      <c r="D514" s="960"/>
    </row>
    <row r="515" spans="1:4">
      <c r="A515" s="957"/>
      <c r="B515" s="958"/>
      <c r="C515" s="959" t="e">
        <f>'BOM 04 22Master'!#REF!</f>
        <v>#REF!</v>
      </c>
      <c r="D515" s="960"/>
    </row>
    <row r="516" spans="1:4">
      <c r="A516" s="957"/>
      <c r="B516" s="958"/>
      <c r="C516" s="959" t="e">
        <f>'BOM 04 22Master'!#REF!</f>
        <v>#REF!</v>
      </c>
      <c r="D516" s="960"/>
    </row>
    <row r="517" spans="1:4">
      <c r="A517" s="957"/>
      <c r="B517" s="958"/>
      <c r="C517" s="959" t="e">
        <f>'BOM 04 22Master'!#REF!</f>
        <v>#REF!</v>
      </c>
      <c r="D517" s="960"/>
    </row>
    <row r="518" spans="1:4">
      <c r="A518" s="241" t="s">
        <v>276</v>
      </c>
      <c r="B518" s="246" t="s">
        <v>365</v>
      </c>
      <c r="C518" s="246"/>
      <c r="D518" s="247"/>
    </row>
    <row r="519" spans="1:4">
      <c r="A519" s="241" t="s">
        <v>335</v>
      </c>
      <c r="B519" s="286" t="e">
        <f>'BOM 04 22Master'!#REF!</f>
        <v>#REF!</v>
      </c>
      <c r="C519" s="255" t="s">
        <v>336</v>
      </c>
      <c r="D519" s="247"/>
    </row>
    <row r="520" spans="1:4">
      <c r="A520" s="241"/>
      <c r="B520" s="246"/>
      <c r="C520" s="246"/>
      <c r="D520" s="247"/>
    </row>
    <row r="521" spans="1:4">
      <c r="A521" s="968" t="s">
        <v>337</v>
      </c>
      <c r="B521" s="969"/>
      <c r="C521" s="969"/>
      <c r="D521" s="970"/>
    </row>
    <row r="522" spans="1:4">
      <c r="A522" s="241" t="s">
        <v>338</v>
      </c>
      <c r="B522" s="246"/>
      <c r="C522" s="246"/>
      <c r="D522" s="247"/>
    </row>
    <row r="523" spans="1:4">
      <c r="A523" s="241"/>
      <c r="B523" s="246"/>
      <c r="C523" s="246"/>
      <c r="D523" s="247"/>
    </row>
    <row r="524" spans="1:4">
      <c r="A524" s="971" t="s">
        <v>339</v>
      </c>
      <c r="B524" s="972"/>
      <c r="C524" s="972" t="s">
        <v>340</v>
      </c>
      <c r="D524" s="973"/>
    </row>
    <row r="525" spans="1:4">
      <c r="A525" s="974">
        <v>1</v>
      </c>
      <c r="B525" s="975"/>
      <c r="C525" s="975">
        <v>1</v>
      </c>
      <c r="D525" s="976"/>
    </row>
    <row r="526" spans="1:4">
      <c r="A526" s="974">
        <v>2</v>
      </c>
      <c r="B526" s="975"/>
      <c r="C526" s="975">
        <v>2</v>
      </c>
      <c r="D526" s="976"/>
    </row>
    <row r="527" spans="1:4">
      <c r="A527" s="256"/>
      <c r="C527" s="964" t="s">
        <v>345</v>
      </c>
      <c r="D527" s="965"/>
    </row>
    <row r="528" spans="1:4">
      <c r="A528" s="961" t="s">
        <v>341</v>
      </c>
      <c r="B528" s="962"/>
      <c r="C528" s="962"/>
      <c r="D528" s="963"/>
    </row>
    <row r="529" spans="1:4">
      <c r="A529" s="259" t="s">
        <v>342</v>
      </c>
      <c r="B529" s="260"/>
      <c r="C529" s="260"/>
      <c r="D529" s="261"/>
    </row>
    <row r="530" spans="1:4">
      <c r="A530" s="259"/>
      <c r="B530" s="260"/>
      <c r="C530" s="260"/>
      <c r="D530" s="261"/>
    </row>
    <row r="531" spans="1:4">
      <c r="A531" s="259"/>
      <c r="B531" s="260"/>
      <c r="C531" s="260" t="s">
        <v>343</v>
      </c>
      <c r="D531" s="261"/>
    </row>
    <row r="532" spans="1:4">
      <c r="A532" s="256"/>
      <c r="B532" s="257"/>
      <c r="C532" s="156" t="s">
        <v>147</v>
      </c>
      <c r="D532" s="258"/>
    </row>
    <row r="533" spans="1:4">
      <c r="A533" s="256"/>
      <c r="C533" t="s">
        <v>344</v>
      </c>
      <c r="D533" s="262"/>
    </row>
    <row r="534" spans="1:4">
      <c r="A534" s="256"/>
      <c r="C534" s="966" t="str">
        <f>'BOM 04 22Master'!F5</f>
        <v>Burgeon IT Services Pvt.Ltd.</v>
      </c>
      <c r="D534" s="967"/>
    </row>
    <row r="535" spans="1:4">
      <c r="A535" s="241" t="s">
        <v>276</v>
      </c>
      <c r="B535" t="str">
        <f>B518</f>
        <v>Hyderabad</v>
      </c>
      <c r="C535" s="2" t="str">
        <f>'BOM 04 22Master'!F6</f>
        <v>Siri Mansion LIGB 436 Dr.A S Rao Nagar,Hyderabad</v>
      </c>
      <c r="D535" s="14"/>
    </row>
    <row r="536" spans="1:4" ht="15.75" thickBot="1">
      <c r="A536" s="241" t="s">
        <v>335</v>
      </c>
      <c r="B536" s="278" t="e">
        <f>B519</f>
        <v>#REF!</v>
      </c>
      <c r="C536" s="2"/>
      <c r="D536" s="14"/>
    </row>
    <row r="537" spans="1:4" ht="15.75" thickBot="1">
      <c r="A537" s="267"/>
      <c r="B537" s="268" t="s">
        <v>348</v>
      </c>
      <c r="C537" s="268"/>
      <c r="D537" s="29"/>
    </row>
    <row r="538" spans="1:4">
      <c r="A538" s="241" t="s">
        <v>346</v>
      </c>
      <c r="C538" s="2"/>
      <c r="D538" s="14"/>
    </row>
    <row r="539" spans="1:4">
      <c r="A539" s="241" t="s">
        <v>335</v>
      </c>
      <c r="B539" s="278" t="e">
        <f>B536</f>
        <v>#REF!</v>
      </c>
      <c r="C539" s="2"/>
      <c r="D539" s="14"/>
    </row>
    <row r="540" spans="1:4" ht="15.75" thickBot="1">
      <c r="A540" s="270" t="s">
        <v>347</v>
      </c>
      <c r="B540" s="23"/>
      <c r="C540" s="23"/>
      <c r="D540" s="24" t="s">
        <v>138</v>
      </c>
    </row>
    <row r="544" spans="1:4" ht="15.75" thickBot="1"/>
    <row r="545" spans="1:4" ht="20.25">
      <c r="A545" s="978" t="s">
        <v>310</v>
      </c>
      <c r="B545" s="979"/>
      <c r="C545" s="979"/>
      <c r="D545" s="980"/>
    </row>
    <row r="546" spans="1:4">
      <c r="A546" s="981" t="s">
        <v>311</v>
      </c>
      <c r="B546" s="982"/>
      <c r="C546" s="982"/>
      <c r="D546" s="983"/>
    </row>
    <row r="547" spans="1:4" ht="18">
      <c r="A547" s="984" t="s">
        <v>312</v>
      </c>
      <c r="B547" s="985"/>
      <c r="C547" s="985"/>
      <c r="D547" s="986"/>
    </row>
    <row r="548" spans="1:4">
      <c r="A548" s="13" t="s">
        <v>137</v>
      </c>
      <c r="D548" s="14"/>
    </row>
    <row r="549" spans="1:4" ht="18">
      <c r="A549" s="263" t="str">
        <f>'BOM 04 22Master'!F5</f>
        <v>Burgeon IT Services Pvt.Ltd.</v>
      </c>
      <c r="B549" s="240"/>
      <c r="D549" s="14"/>
    </row>
    <row r="550" spans="1:4" ht="18">
      <c r="A550" s="263" t="str">
        <f>'BOM 04 22Master'!F6</f>
        <v>Siri Mansion LIGB 436 Dr.A S Rao Nagar,Hyderabad</v>
      </c>
      <c r="B550" s="240"/>
      <c r="D550" s="14"/>
    </row>
    <row r="551" spans="1:4" ht="18">
      <c r="A551" s="242"/>
      <c r="B551" s="4"/>
      <c r="D551" s="14"/>
    </row>
    <row r="552" spans="1:4" ht="15.75">
      <c r="A552" s="241" t="s">
        <v>313</v>
      </c>
      <c r="B552" s="264"/>
      <c r="C552" s="265" t="e">
        <f>'BOM 04 22Master'!#REF!</f>
        <v>#REF!</v>
      </c>
      <c r="D552" s="57"/>
    </row>
    <row r="553" spans="1:4">
      <c r="A553" s="987" t="s">
        <v>314</v>
      </c>
      <c r="B553" s="988"/>
      <c r="C553" s="988"/>
      <c r="D553" s="989"/>
    </row>
    <row r="554" spans="1:4">
      <c r="A554" s="13"/>
      <c r="D554" s="14"/>
    </row>
    <row r="555" spans="1:4">
      <c r="A555" s="987" t="s">
        <v>315</v>
      </c>
      <c r="B555" s="988"/>
      <c r="C555" s="988"/>
      <c r="D555" s="989"/>
    </row>
    <row r="556" spans="1:4">
      <c r="A556" s="243"/>
      <c r="B556" s="244"/>
      <c r="C556" s="244"/>
      <c r="D556" s="245"/>
    </row>
    <row r="557" spans="1:4">
      <c r="A557" s="971" t="s">
        <v>316</v>
      </c>
      <c r="B557" s="972"/>
      <c r="C557" s="972"/>
      <c r="D557" s="973"/>
    </row>
    <row r="558" spans="1:4">
      <c r="A558" s="13"/>
      <c r="D558" s="14"/>
    </row>
    <row r="559" spans="1:4">
      <c r="A559" s="971" t="s">
        <v>317</v>
      </c>
      <c r="B559" s="972"/>
      <c r="C559" s="972"/>
      <c r="D559" s="973"/>
    </row>
    <row r="560" spans="1:4">
      <c r="A560" s="971" t="s">
        <v>318</v>
      </c>
      <c r="B560" s="972"/>
      <c r="C560" s="972"/>
      <c r="D560" s="973"/>
    </row>
    <row r="561" spans="1:4">
      <c r="A561" s="241"/>
      <c r="B561" s="246"/>
      <c r="C561" s="246"/>
      <c r="D561" s="247"/>
    </row>
    <row r="562" spans="1:4">
      <c r="A562" s="987" t="s">
        <v>319</v>
      </c>
      <c r="B562" s="988"/>
      <c r="C562" s="988"/>
      <c r="D562" s="989"/>
    </row>
    <row r="563" spans="1:4">
      <c r="A563" s="241"/>
      <c r="B563" s="246"/>
      <c r="C563" s="246"/>
      <c r="D563" s="247"/>
    </row>
    <row r="564" spans="1:4">
      <c r="A564" s="971" t="s">
        <v>320</v>
      </c>
      <c r="B564" s="972"/>
      <c r="C564" s="972"/>
      <c r="D564" s="973"/>
    </row>
    <row r="565" spans="1:4">
      <c r="A565" s="13"/>
      <c r="D565" s="14"/>
    </row>
    <row r="566" spans="1:4">
      <c r="A566" s="968" t="s">
        <v>321</v>
      </c>
      <c r="B566" s="969"/>
      <c r="C566" s="969"/>
      <c r="D566" s="970"/>
    </row>
    <row r="567" spans="1:4" ht="42.75">
      <c r="A567" s="248" t="s">
        <v>322</v>
      </c>
      <c r="B567" s="249" t="s">
        <v>323</v>
      </c>
      <c r="C567" s="249" t="s">
        <v>324</v>
      </c>
      <c r="D567" s="250" t="s">
        <v>325</v>
      </c>
    </row>
    <row r="568" spans="1:4">
      <c r="A568" s="251">
        <v>1</v>
      </c>
      <c r="B568" s="252">
        <v>2</v>
      </c>
      <c r="C568" s="252">
        <v>3</v>
      </c>
      <c r="D568" s="253">
        <v>4</v>
      </c>
    </row>
    <row r="569" spans="1:4">
      <c r="A569" s="13" t="e">
        <f>'BOM 04 22Master'!#REF!</f>
        <v>#REF!</v>
      </c>
      <c r="B569" s="11" t="s">
        <v>367</v>
      </c>
      <c r="C569" s="11" t="s">
        <v>374</v>
      </c>
      <c r="D569" s="285">
        <v>1</v>
      </c>
    </row>
    <row r="570" spans="1:4">
      <c r="A570" s="269"/>
      <c r="B570" s="11"/>
      <c r="C570" s="11"/>
      <c r="D570" s="254"/>
    </row>
    <row r="571" spans="1:4">
      <c r="A571" s="266"/>
      <c r="B571" s="11"/>
      <c r="C571" s="11"/>
      <c r="D571" s="254"/>
    </row>
    <row r="572" spans="1:4">
      <c r="A572" s="13"/>
      <c r="D572" s="14"/>
    </row>
    <row r="573" spans="1:4">
      <c r="A573" s="968" t="s">
        <v>326</v>
      </c>
      <c r="B573" s="969"/>
      <c r="C573" s="969"/>
      <c r="D573" s="970"/>
    </row>
    <row r="574" spans="1:4">
      <c r="A574" s="157"/>
      <c r="B574" s="5"/>
      <c r="C574" s="5"/>
      <c r="D574" s="158"/>
    </row>
    <row r="575" spans="1:4">
      <c r="A575" s="957" t="s">
        <v>327</v>
      </c>
      <c r="B575" s="958"/>
      <c r="C575" s="959" t="e">
        <f>'BOM 04 22Master'!#REF!</f>
        <v>#REF!</v>
      </c>
      <c r="D575" s="960"/>
    </row>
    <row r="576" spans="1:4">
      <c r="A576" s="957" t="s">
        <v>328</v>
      </c>
      <c r="B576" s="958"/>
      <c r="C576" s="816" t="e">
        <f>'BOM 04 22Master'!#REF!</f>
        <v>#REF!</v>
      </c>
      <c r="D576" s="960"/>
    </row>
    <row r="577" spans="1:4">
      <c r="A577" s="957" t="s">
        <v>329</v>
      </c>
      <c r="B577" s="958"/>
      <c r="C577" s="816" t="s">
        <v>375</v>
      </c>
      <c r="D577" s="960"/>
    </row>
    <row r="578" spans="1:4">
      <c r="A578" s="957" t="s">
        <v>330</v>
      </c>
      <c r="B578" s="958"/>
      <c r="C578" s="816" t="s">
        <v>373</v>
      </c>
      <c r="D578" s="960"/>
    </row>
    <row r="579" spans="1:4">
      <c r="A579" s="957" t="s">
        <v>331</v>
      </c>
      <c r="B579" s="958"/>
      <c r="C579" s="959" t="e">
        <f>'BOM 04 22Master'!#REF!</f>
        <v>#REF!</v>
      </c>
      <c r="D579" s="960"/>
    </row>
    <row r="580" spans="1:4">
      <c r="A580" s="957" t="s">
        <v>332</v>
      </c>
      <c r="B580" s="958"/>
      <c r="C580" s="959" t="e">
        <f>'BOM 04 22Master'!#REF!</f>
        <v>#REF!</v>
      </c>
      <c r="D580" s="960"/>
    </row>
    <row r="581" spans="1:4">
      <c r="A581" s="957" t="s">
        <v>333</v>
      </c>
      <c r="B581" s="958"/>
      <c r="C581" s="977" t="e">
        <f>'BOM 04 22Master'!#REF!</f>
        <v>#REF!</v>
      </c>
      <c r="D581" s="960"/>
    </row>
    <row r="582" spans="1:4">
      <c r="A582" s="957" t="s">
        <v>334</v>
      </c>
      <c r="B582" s="958"/>
      <c r="C582" s="816"/>
      <c r="D582" s="960"/>
    </row>
    <row r="583" spans="1:4">
      <c r="A583" s="957"/>
      <c r="B583" s="958"/>
      <c r="C583" s="959" t="e">
        <f>'BOM 04 22Master'!#REF!</f>
        <v>#REF!</v>
      </c>
      <c r="D583" s="960"/>
    </row>
    <row r="584" spans="1:4">
      <c r="A584" s="957"/>
      <c r="B584" s="958"/>
      <c r="C584" s="959" t="e">
        <f>'BOM 04 22Master'!#REF!</f>
        <v>#REF!</v>
      </c>
      <c r="D584" s="960"/>
    </row>
    <row r="585" spans="1:4">
      <c r="A585" s="957"/>
      <c r="B585" s="958"/>
      <c r="C585" s="959" t="e">
        <f>'BOM 04 22Master'!#REF!</f>
        <v>#REF!</v>
      </c>
      <c r="D585" s="960"/>
    </row>
    <row r="586" spans="1:4">
      <c r="A586" s="241" t="s">
        <v>276</v>
      </c>
      <c r="B586" s="246" t="s">
        <v>365</v>
      </c>
      <c r="C586" s="246"/>
      <c r="D586" s="247"/>
    </row>
    <row r="587" spans="1:4">
      <c r="A587" s="241" t="s">
        <v>335</v>
      </c>
      <c r="B587" s="286" t="e">
        <f>'BOM 04 22Master'!#REF!</f>
        <v>#REF!</v>
      </c>
      <c r="C587" s="255" t="s">
        <v>336</v>
      </c>
      <c r="D587" s="247"/>
    </row>
    <row r="588" spans="1:4">
      <c r="A588" s="241"/>
      <c r="B588" s="246"/>
      <c r="C588" s="246"/>
      <c r="D588" s="247"/>
    </row>
    <row r="589" spans="1:4">
      <c r="A589" s="968" t="s">
        <v>337</v>
      </c>
      <c r="B589" s="969"/>
      <c r="C589" s="969"/>
      <c r="D589" s="970"/>
    </row>
    <row r="590" spans="1:4">
      <c r="A590" s="241" t="s">
        <v>338</v>
      </c>
      <c r="B590" s="246"/>
      <c r="C590" s="246"/>
      <c r="D590" s="247"/>
    </row>
    <row r="591" spans="1:4">
      <c r="A591" s="241"/>
      <c r="B591" s="246"/>
      <c r="C591" s="246"/>
      <c r="D591" s="247"/>
    </row>
    <row r="592" spans="1:4">
      <c r="A592" s="971" t="s">
        <v>339</v>
      </c>
      <c r="B592" s="972"/>
      <c r="C592" s="972" t="s">
        <v>340</v>
      </c>
      <c r="D592" s="973"/>
    </row>
    <row r="593" spans="1:4">
      <c r="A593" s="974">
        <v>1</v>
      </c>
      <c r="B593" s="975"/>
      <c r="C593" s="975">
        <v>1</v>
      </c>
      <c r="D593" s="976"/>
    </row>
    <row r="594" spans="1:4">
      <c r="A594" s="974">
        <v>2</v>
      </c>
      <c r="B594" s="975"/>
      <c r="C594" s="975">
        <v>2</v>
      </c>
      <c r="D594" s="976"/>
    </row>
    <row r="595" spans="1:4">
      <c r="A595" s="256"/>
      <c r="C595" s="964" t="s">
        <v>345</v>
      </c>
      <c r="D595" s="965"/>
    </row>
    <row r="596" spans="1:4">
      <c r="A596" s="961" t="s">
        <v>341</v>
      </c>
      <c r="B596" s="962"/>
      <c r="C596" s="962"/>
      <c r="D596" s="963"/>
    </row>
    <row r="597" spans="1:4">
      <c r="A597" s="259" t="s">
        <v>342</v>
      </c>
      <c r="B597" s="260"/>
      <c r="C597" s="260"/>
      <c r="D597" s="261"/>
    </row>
    <row r="598" spans="1:4">
      <c r="A598" s="259"/>
      <c r="B598" s="260"/>
      <c r="C598" s="260"/>
      <c r="D598" s="261"/>
    </row>
    <row r="599" spans="1:4">
      <c r="A599" s="259"/>
      <c r="B599" s="260"/>
      <c r="C599" s="260" t="s">
        <v>343</v>
      </c>
      <c r="D599" s="261"/>
    </row>
    <row r="600" spans="1:4">
      <c r="A600" s="256"/>
      <c r="B600" s="257"/>
      <c r="C600" s="156" t="s">
        <v>147</v>
      </c>
      <c r="D600" s="258"/>
    </row>
    <row r="601" spans="1:4">
      <c r="A601" s="256"/>
      <c r="C601" t="s">
        <v>344</v>
      </c>
      <c r="D601" s="262"/>
    </row>
    <row r="602" spans="1:4">
      <c r="A602" s="256"/>
      <c r="C602" s="966">
        <f>'BOM 04 22Master'!F469</f>
        <v>0</v>
      </c>
      <c r="D602" s="967"/>
    </row>
    <row r="603" spans="1:4">
      <c r="A603" s="241" t="s">
        <v>276</v>
      </c>
      <c r="B603" t="str">
        <f>B586</f>
        <v>Hyderabad</v>
      </c>
      <c r="C603" s="2">
        <f>'BOM 04 22Master'!F470</f>
        <v>0</v>
      </c>
      <c r="D603" s="14"/>
    </row>
    <row r="604" spans="1:4" ht="15.75" thickBot="1">
      <c r="A604" s="241" t="s">
        <v>335</v>
      </c>
      <c r="B604" s="278" t="e">
        <f>B587</f>
        <v>#REF!</v>
      </c>
      <c r="C604" s="2"/>
      <c r="D604" s="14"/>
    </row>
    <row r="605" spans="1:4" ht="15.75" thickBot="1">
      <c r="A605" s="267"/>
      <c r="B605" s="268" t="s">
        <v>348</v>
      </c>
      <c r="C605" s="268"/>
      <c r="D605" s="29"/>
    </row>
    <row r="606" spans="1:4">
      <c r="A606" s="241" t="s">
        <v>346</v>
      </c>
      <c r="C606" s="2"/>
      <c r="D606" s="14"/>
    </row>
    <row r="607" spans="1:4">
      <c r="A607" s="241" t="s">
        <v>335</v>
      </c>
      <c r="B607" s="278" t="e">
        <f>B604</f>
        <v>#REF!</v>
      </c>
      <c r="C607" s="2"/>
      <c r="D607" s="14"/>
    </row>
    <row r="608" spans="1:4" ht="15.75" thickBot="1">
      <c r="A608" s="270" t="s">
        <v>347</v>
      </c>
      <c r="B608" s="23"/>
      <c r="C608" s="23"/>
      <c r="D608" s="24" t="s">
        <v>138</v>
      </c>
    </row>
    <row r="612" spans="1:4" ht="15.75" thickBot="1"/>
    <row r="613" spans="1:4" ht="20.25">
      <c r="A613" s="978" t="s">
        <v>310</v>
      </c>
      <c r="B613" s="979"/>
      <c r="C613" s="979"/>
      <c r="D613" s="980"/>
    </row>
    <row r="614" spans="1:4">
      <c r="A614" s="981" t="s">
        <v>311</v>
      </c>
      <c r="B614" s="982"/>
      <c r="C614" s="982"/>
      <c r="D614" s="983"/>
    </row>
    <row r="615" spans="1:4" ht="18">
      <c r="A615" s="984" t="s">
        <v>312</v>
      </c>
      <c r="B615" s="985"/>
      <c r="C615" s="985"/>
      <c r="D615" s="986"/>
    </row>
    <row r="616" spans="1:4">
      <c r="A616" s="13" t="s">
        <v>137</v>
      </c>
      <c r="D616" s="14"/>
    </row>
    <row r="617" spans="1:4" ht="18">
      <c r="A617" s="263">
        <f>'BOM 04 22Master'!F537</f>
        <v>0</v>
      </c>
      <c r="B617" s="240"/>
      <c r="D617" s="14"/>
    </row>
    <row r="618" spans="1:4" ht="18">
      <c r="A618" s="263">
        <f>'BOM 04 22Master'!F538</f>
        <v>0</v>
      </c>
      <c r="B618" s="240"/>
      <c r="D618" s="14"/>
    </row>
    <row r="619" spans="1:4" ht="18">
      <c r="A619" s="242"/>
      <c r="B619" s="4"/>
      <c r="D619" s="14"/>
    </row>
    <row r="620" spans="1:4" ht="15.75">
      <c r="A620" s="241" t="s">
        <v>313</v>
      </c>
      <c r="B620" s="264"/>
      <c r="C620" s="265">
        <f>'BOM 04 22Master'!B547</f>
        <v>0</v>
      </c>
      <c r="D620" s="57"/>
    </row>
    <row r="621" spans="1:4">
      <c r="A621" s="987" t="s">
        <v>314</v>
      </c>
      <c r="B621" s="988"/>
      <c r="C621" s="988"/>
      <c r="D621" s="989"/>
    </row>
    <row r="622" spans="1:4">
      <c r="A622" s="13"/>
      <c r="D622" s="14"/>
    </row>
    <row r="623" spans="1:4">
      <c r="A623" s="987" t="s">
        <v>315</v>
      </c>
      <c r="B623" s="988"/>
      <c r="C623" s="988"/>
      <c r="D623" s="989"/>
    </row>
    <row r="624" spans="1:4">
      <c r="A624" s="243"/>
      <c r="B624" s="244"/>
      <c r="C624" s="244"/>
      <c r="D624" s="245"/>
    </row>
    <row r="625" spans="1:4">
      <c r="A625" s="971" t="s">
        <v>316</v>
      </c>
      <c r="B625" s="972"/>
      <c r="C625" s="972"/>
      <c r="D625" s="973"/>
    </row>
    <row r="626" spans="1:4">
      <c r="A626" s="13"/>
      <c r="D626" s="14"/>
    </row>
    <row r="627" spans="1:4">
      <c r="A627" s="971" t="s">
        <v>317</v>
      </c>
      <c r="B627" s="972"/>
      <c r="C627" s="972"/>
      <c r="D627" s="973"/>
    </row>
    <row r="628" spans="1:4">
      <c r="A628" s="971" t="s">
        <v>318</v>
      </c>
      <c r="B628" s="972"/>
      <c r="C628" s="972"/>
      <c r="D628" s="973"/>
    </row>
    <row r="629" spans="1:4">
      <c r="A629" s="241"/>
      <c r="B629" s="246"/>
      <c r="C629" s="246"/>
      <c r="D629" s="247"/>
    </row>
    <row r="630" spans="1:4">
      <c r="A630" s="987" t="s">
        <v>319</v>
      </c>
      <c r="B630" s="988"/>
      <c r="C630" s="988"/>
      <c r="D630" s="989"/>
    </row>
    <row r="631" spans="1:4">
      <c r="A631" s="241"/>
      <c r="B631" s="246"/>
      <c r="C631" s="246"/>
      <c r="D631" s="247"/>
    </row>
    <row r="632" spans="1:4">
      <c r="A632" s="971" t="s">
        <v>320</v>
      </c>
      <c r="B632" s="972"/>
      <c r="C632" s="972"/>
      <c r="D632" s="973"/>
    </row>
    <row r="633" spans="1:4">
      <c r="A633" s="13"/>
      <c r="D633" s="14"/>
    </row>
    <row r="634" spans="1:4">
      <c r="A634" s="968" t="s">
        <v>321</v>
      </c>
      <c r="B634" s="969"/>
      <c r="C634" s="969"/>
      <c r="D634" s="970"/>
    </row>
    <row r="635" spans="1:4" ht="42.75">
      <c r="A635" s="248" t="s">
        <v>322</v>
      </c>
      <c r="B635" s="249" t="s">
        <v>323</v>
      </c>
      <c r="C635" s="249" t="s">
        <v>324</v>
      </c>
      <c r="D635" s="250" t="s">
        <v>325</v>
      </c>
    </row>
    <row r="636" spans="1:4">
      <c r="A636" s="251">
        <v>1</v>
      </c>
      <c r="B636" s="252">
        <v>2</v>
      </c>
      <c r="C636" s="252">
        <v>3</v>
      </c>
      <c r="D636" s="253">
        <v>4</v>
      </c>
    </row>
    <row r="637" spans="1:4">
      <c r="A637" s="13"/>
      <c r="B637" s="11" t="s">
        <v>367</v>
      </c>
      <c r="C637" s="11" t="s">
        <v>374</v>
      </c>
      <c r="D637" s="285">
        <v>1</v>
      </c>
    </row>
    <row r="638" spans="1:4">
      <c r="A638" s="269"/>
      <c r="B638" s="11"/>
      <c r="C638" s="11"/>
      <c r="D638" s="254"/>
    </row>
    <row r="639" spans="1:4">
      <c r="A639" s="266"/>
      <c r="B639" s="11"/>
      <c r="C639" s="11"/>
      <c r="D639" s="254"/>
    </row>
    <row r="640" spans="1:4">
      <c r="A640" s="13"/>
      <c r="D640" s="14"/>
    </row>
    <row r="641" spans="1:4">
      <c r="A641" s="968" t="s">
        <v>326</v>
      </c>
      <c r="B641" s="969"/>
      <c r="C641" s="969"/>
      <c r="D641" s="970"/>
    </row>
    <row r="642" spans="1:4">
      <c r="A642" s="157"/>
      <c r="B642" s="5"/>
      <c r="C642" s="5"/>
      <c r="D642" s="158"/>
    </row>
    <row r="643" spans="1:4">
      <c r="A643" s="957" t="s">
        <v>327</v>
      </c>
      <c r="B643" s="958"/>
      <c r="C643" s="816"/>
      <c r="D643" s="960"/>
    </row>
    <row r="644" spans="1:4">
      <c r="A644" s="957" t="s">
        <v>328</v>
      </c>
      <c r="B644" s="958"/>
      <c r="C644" s="816"/>
      <c r="D644" s="960"/>
    </row>
    <row r="645" spans="1:4">
      <c r="A645" s="957" t="s">
        <v>329</v>
      </c>
      <c r="B645" s="958"/>
      <c r="C645" s="816"/>
      <c r="D645" s="960"/>
    </row>
    <row r="646" spans="1:4">
      <c r="A646" s="957" t="s">
        <v>330</v>
      </c>
      <c r="B646" s="958"/>
      <c r="C646" s="816"/>
      <c r="D646" s="960"/>
    </row>
    <row r="647" spans="1:4">
      <c r="A647" s="957" t="s">
        <v>331</v>
      </c>
      <c r="B647" s="958"/>
      <c r="C647" s="816"/>
      <c r="D647" s="960"/>
    </row>
    <row r="648" spans="1:4">
      <c r="A648" s="957" t="s">
        <v>332</v>
      </c>
      <c r="B648" s="958"/>
      <c r="C648" s="816"/>
      <c r="D648" s="960"/>
    </row>
    <row r="649" spans="1:4">
      <c r="A649" s="957" t="s">
        <v>333</v>
      </c>
      <c r="B649" s="958"/>
      <c r="C649" s="816"/>
      <c r="D649" s="960"/>
    </row>
    <row r="650" spans="1:4">
      <c r="A650" s="957" t="s">
        <v>334</v>
      </c>
      <c r="B650" s="958"/>
      <c r="C650" s="816"/>
      <c r="D650" s="960"/>
    </row>
    <row r="651" spans="1:4">
      <c r="A651" s="957"/>
      <c r="B651" s="958"/>
      <c r="C651" s="816"/>
      <c r="D651" s="960"/>
    </row>
    <row r="652" spans="1:4">
      <c r="A652" s="957"/>
      <c r="B652" s="958"/>
      <c r="C652" s="816"/>
      <c r="D652" s="960"/>
    </row>
    <row r="653" spans="1:4">
      <c r="A653" s="957"/>
      <c r="B653" s="958"/>
      <c r="C653" s="816"/>
      <c r="D653" s="960"/>
    </row>
    <row r="654" spans="1:4">
      <c r="A654" s="241" t="s">
        <v>276</v>
      </c>
      <c r="B654" s="246"/>
      <c r="C654" s="246"/>
      <c r="D654" s="247"/>
    </row>
    <row r="655" spans="1:4">
      <c r="A655" s="241" t="s">
        <v>335</v>
      </c>
      <c r="B655" s="246"/>
      <c r="C655" s="255" t="s">
        <v>336</v>
      </c>
      <c r="D655" s="247"/>
    </row>
    <row r="656" spans="1:4">
      <c r="A656" s="241"/>
      <c r="B656" s="246"/>
      <c r="C656" s="246"/>
      <c r="D656" s="247"/>
    </row>
    <row r="657" spans="1:4">
      <c r="A657" s="968" t="s">
        <v>337</v>
      </c>
      <c r="B657" s="969"/>
      <c r="C657" s="969"/>
      <c r="D657" s="970"/>
    </row>
    <row r="658" spans="1:4">
      <c r="A658" s="241" t="s">
        <v>338</v>
      </c>
      <c r="B658" s="246"/>
      <c r="C658" s="246"/>
      <c r="D658" s="247"/>
    </row>
    <row r="659" spans="1:4">
      <c r="A659" s="241"/>
      <c r="B659" s="246"/>
      <c r="C659" s="246"/>
      <c r="D659" s="247"/>
    </row>
    <row r="660" spans="1:4">
      <c r="A660" s="971" t="s">
        <v>339</v>
      </c>
      <c r="B660" s="972"/>
      <c r="C660" s="972" t="s">
        <v>340</v>
      </c>
      <c r="D660" s="973"/>
    </row>
    <row r="661" spans="1:4">
      <c r="A661" s="974">
        <v>1</v>
      </c>
      <c r="B661" s="975"/>
      <c r="C661" s="975">
        <v>1</v>
      </c>
      <c r="D661" s="976"/>
    </row>
    <row r="662" spans="1:4">
      <c r="A662" s="974">
        <v>2</v>
      </c>
      <c r="B662" s="975"/>
      <c r="C662" s="975">
        <v>2</v>
      </c>
      <c r="D662" s="976"/>
    </row>
    <row r="663" spans="1:4">
      <c r="A663" s="256"/>
      <c r="C663" s="964" t="s">
        <v>345</v>
      </c>
      <c r="D663" s="965"/>
    </row>
    <row r="664" spans="1:4">
      <c r="A664" s="961" t="s">
        <v>341</v>
      </c>
      <c r="B664" s="962"/>
      <c r="C664" s="962"/>
      <c r="D664" s="963"/>
    </row>
    <row r="665" spans="1:4">
      <c r="A665" s="259" t="s">
        <v>342</v>
      </c>
      <c r="B665" s="260"/>
      <c r="C665" s="260"/>
      <c r="D665" s="261"/>
    </row>
    <row r="666" spans="1:4">
      <c r="A666" s="259"/>
      <c r="B666" s="260"/>
      <c r="C666" s="260"/>
      <c r="D666" s="261"/>
    </row>
    <row r="667" spans="1:4">
      <c r="A667" s="259"/>
      <c r="B667" s="260"/>
      <c r="C667" s="260" t="s">
        <v>343</v>
      </c>
      <c r="D667" s="261"/>
    </row>
    <row r="668" spans="1:4">
      <c r="A668" s="256"/>
      <c r="B668" s="257"/>
      <c r="C668" s="156" t="s">
        <v>147</v>
      </c>
      <c r="D668" s="258"/>
    </row>
    <row r="669" spans="1:4">
      <c r="A669" s="256"/>
      <c r="C669" t="s">
        <v>344</v>
      </c>
      <c r="D669" s="262"/>
    </row>
    <row r="670" spans="1:4">
      <c r="A670" s="256"/>
      <c r="C670" s="966">
        <f>'BOM 04 22Master'!F537</f>
        <v>0</v>
      </c>
      <c r="D670" s="967"/>
    </row>
    <row r="671" spans="1:4">
      <c r="A671" s="241" t="s">
        <v>276</v>
      </c>
      <c r="C671" s="2">
        <f>'BOM 04 22Master'!F538</f>
        <v>0</v>
      </c>
      <c r="D671" s="14"/>
    </row>
    <row r="672" spans="1:4" ht="15.75" thickBot="1">
      <c r="A672" s="241" t="s">
        <v>335</v>
      </c>
      <c r="C672" s="2"/>
      <c r="D672" s="14"/>
    </row>
    <row r="673" spans="1:4" ht="15.75" thickBot="1">
      <c r="A673" s="267"/>
      <c r="B673" s="268" t="s">
        <v>348</v>
      </c>
      <c r="C673" s="268"/>
      <c r="D673" s="29"/>
    </row>
    <row r="674" spans="1:4">
      <c r="A674" s="241" t="s">
        <v>346</v>
      </c>
      <c r="C674" s="2"/>
      <c r="D674" s="14"/>
    </row>
    <row r="675" spans="1:4">
      <c r="A675" s="241" t="s">
        <v>335</v>
      </c>
      <c r="C675" s="2"/>
      <c r="D675" s="14"/>
    </row>
    <row r="676" spans="1:4" ht="15.75" thickBot="1">
      <c r="A676" s="270" t="s">
        <v>347</v>
      </c>
      <c r="B676" s="23"/>
      <c r="C676" s="23"/>
      <c r="D676" s="24" t="s">
        <v>138</v>
      </c>
    </row>
    <row r="680" spans="1:4" ht="15.75" thickBot="1"/>
    <row r="681" spans="1:4" ht="20.25">
      <c r="A681" s="978" t="s">
        <v>310</v>
      </c>
      <c r="B681" s="979"/>
      <c r="C681" s="979"/>
      <c r="D681" s="980"/>
    </row>
    <row r="682" spans="1:4">
      <c r="A682" s="981" t="s">
        <v>311</v>
      </c>
      <c r="B682" s="982"/>
      <c r="C682" s="982"/>
      <c r="D682" s="983"/>
    </row>
    <row r="683" spans="1:4" ht="18">
      <c r="A683" s="984" t="s">
        <v>312</v>
      </c>
      <c r="B683" s="985"/>
      <c r="C683" s="985"/>
      <c r="D683" s="986"/>
    </row>
    <row r="684" spans="1:4">
      <c r="A684" s="13" t="s">
        <v>137</v>
      </c>
      <c r="D684" s="14"/>
    </row>
    <row r="685" spans="1:4" ht="18">
      <c r="A685" s="263">
        <f>'BOM 04 22Master'!F605</f>
        <v>0</v>
      </c>
      <c r="B685" s="240"/>
      <c r="D685" s="14"/>
    </row>
    <row r="686" spans="1:4" ht="18">
      <c r="A686" s="263">
        <f>'BOM 04 22Master'!F606</f>
        <v>0</v>
      </c>
      <c r="B686" s="240"/>
      <c r="D686" s="14"/>
    </row>
    <row r="687" spans="1:4" ht="18">
      <c r="A687" s="242"/>
      <c r="B687" s="4"/>
      <c r="D687" s="14"/>
    </row>
    <row r="688" spans="1:4" ht="15.75">
      <c r="A688" s="241" t="s">
        <v>313</v>
      </c>
      <c r="B688" s="264"/>
      <c r="C688" s="265">
        <f>'BOM 04 22Master'!B615</f>
        <v>0</v>
      </c>
      <c r="D688" s="57"/>
    </row>
    <row r="689" spans="1:4">
      <c r="A689" s="987" t="s">
        <v>314</v>
      </c>
      <c r="B689" s="988"/>
      <c r="C689" s="988"/>
      <c r="D689" s="989"/>
    </row>
    <row r="690" spans="1:4">
      <c r="A690" s="13"/>
      <c r="D690" s="14"/>
    </row>
    <row r="691" spans="1:4">
      <c r="A691" s="987" t="s">
        <v>315</v>
      </c>
      <c r="B691" s="988"/>
      <c r="C691" s="988"/>
      <c r="D691" s="989"/>
    </row>
    <row r="692" spans="1:4">
      <c r="A692" s="243"/>
      <c r="B692" s="244"/>
      <c r="C692" s="244"/>
      <c r="D692" s="245"/>
    </row>
    <row r="693" spans="1:4">
      <c r="A693" s="971" t="s">
        <v>316</v>
      </c>
      <c r="B693" s="972"/>
      <c r="C693" s="972"/>
      <c r="D693" s="973"/>
    </row>
    <row r="694" spans="1:4">
      <c r="A694" s="13"/>
      <c r="D694" s="14"/>
    </row>
    <row r="695" spans="1:4">
      <c r="A695" s="971" t="s">
        <v>317</v>
      </c>
      <c r="B695" s="972"/>
      <c r="C695" s="972"/>
      <c r="D695" s="973"/>
    </row>
    <row r="696" spans="1:4">
      <c r="A696" s="971" t="s">
        <v>318</v>
      </c>
      <c r="B696" s="972"/>
      <c r="C696" s="972"/>
      <c r="D696" s="973"/>
    </row>
    <row r="697" spans="1:4">
      <c r="A697" s="241"/>
      <c r="B697" s="246"/>
      <c r="C697" s="246"/>
      <c r="D697" s="247"/>
    </row>
    <row r="698" spans="1:4">
      <c r="A698" s="987" t="s">
        <v>319</v>
      </c>
      <c r="B698" s="988"/>
      <c r="C698" s="988"/>
      <c r="D698" s="989"/>
    </row>
    <row r="699" spans="1:4">
      <c r="A699" s="241"/>
      <c r="B699" s="246"/>
      <c r="C699" s="246"/>
      <c r="D699" s="247"/>
    </row>
    <row r="700" spans="1:4">
      <c r="A700" s="971" t="s">
        <v>320</v>
      </c>
      <c r="B700" s="972"/>
      <c r="C700" s="972"/>
      <c r="D700" s="973"/>
    </row>
    <row r="701" spans="1:4">
      <c r="A701" s="13"/>
      <c r="D701" s="14"/>
    </row>
    <row r="702" spans="1:4">
      <c r="A702" s="968" t="s">
        <v>321</v>
      </c>
      <c r="B702" s="969"/>
      <c r="C702" s="969"/>
      <c r="D702" s="970"/>
    </row>
    <row r="703" spans="1:4" ht="42.75">
      <c r="A703" s="248" t="s">
        <v>322</v>
      </c>
      <c r="B703" s="249" t="s">
        <v>323</v>
      </c>
      <c r="C703" s="249" t="s">
        <v>324</v>
      </c>
      <c r="D703" s="250" t="s">
        <v>325</v>
      </c>
    </row>
    <row r="704" spans="1:4">
      <c r="A704" s="251">
        <v>1</v>
      </c>
      <c r="B704" s="252">
        <v>2</v>
      </c>
      <c r="C704" s="252">
        <v>3</v>
      </c>
      <c r="D704" s="253">
        <v>4</v>
      </c>
    </row>
    <row r="705" spans="1:4">
      <c r="A705" s="13"/>
      <c r="B705" s="11" t="s">
        <v>367</v>
      </c>
      <c r="C705" s="11" t="s">
        <v>374</v>
      </c>
      <c r="D705" s="285">
        <v>1</v>
      </c>
    </row>
    <row r="706" spans="1:4">
      <c r="A706" s="269"/>
      <c r="B706" s="11"/>
      <c r="C706" s="11"/>
      <c r="D706" s="254"/>
    </row>
    <row r="707" spans="1:4">
      <c r="A707" s="266"/>
      <c r="B707" s="11"/>
      <c r="C707" s="11"/>
      <c r="D707" s="254"/>
    </row>
    <row r="708" spans="1:4">
      <c r="A708" s="13"/>
      <c r="D708" s="14"/>
    </row>
    <row r="709" spans="1:4">
      <c r="A709" s="968" t="s">
        <v>326</v>
      </c>
      <c r="B709" s="969"/>
      <c r="C709" s="969"/>
      <c r="D709" s="970"/>
    </row>
    <row r="710" spans="1:4">
      <c r="A710" s="157"/>
      <c r="B710" s="5"/>
      <c r="C710" s="5"/>
      <c r="D710" s="158"/>
    </row>
    <row r="711" spans="1:4">
      <c r="A711" s="957" t="s">
        <v>327</v>
      </c>
      <c r="B711" s="958"/>
      <c r="C711" s="816"/>
      <c r="D711" s="960"/>
    </row>
    <row r="712" spans="1:4">
      <c r="A712" s="957" t="s">
        <v>328</v>
      </c>
      <c r="B712" s="958"/>
      <c r="C712" s="816"/>
      <c r="D712" s="960"/>
    </row>
    <row r="713" spans="1:4">
      <c r="A713" s="957" t="s">
        <v>329</v>
      </c>
      <c r="B713" s="958"/>
      <c r="C713" s="816"/>
      <c r="D713" s="960"/>
    </row>
    <row r="714" spans="1:4">
      <c r="A714" s="957" t="s">
        <v>330</v>
      </c>
      <c r="B714" s="958"/>
      <c r="C714" s="816"/>
      <c r="D714" s="960"/>
    </row>
    <row r="715" spans="1:4">
      <c r="A715" s="957" t="s">
        <v>331</v>
      </c>
      <c r="B715" s="958"/>
      <c r="C715" s="816"/>
      <c r="D715" s="960"/>
    </row>
    <row r="716" spans="1:4">
      <c r="A716" s="957" t="s">
        <v>332</v>
      </c>
      <c r="B716" s="958"/>
      <c r="C716" s="816"/>
      <c r="D716" s="960"/>
    </row>
    <row r="717" spans="1:4">
      <c r="A717" s="957" t="s">
        <v>333</v>
      </c>
      <c r="B717" s="958"/>
      <c r="C717" s="816"/>
      <c r="D717" s="960"/>
    </row>
    <row r="718" spans="1:4">
      <c r="A718" s="957" t="s">
        <v>334</v>
      </c>
      <c r="B718" s="958"/>
      <c r="C718" s="816"/>
      <c r="D718" s="960"/>
    </row>
    <row r="719" spans="1:4">
      <c r="A719" s="957"/>
      <c r="B719" s="958"/>
      <c r="C719" s="816"/>
      <c r="D719" s="960"/>
    </row>
    <row r="720" spans="1:4">
      <c r="A720" s="957"/>
      <c r="B720" s="958"/>
      <c r="C720" s="816"/>
      <c r="D720" s="960"/>
    </row>
    <row r="721" spans="1:4">
      <c r="A721" s="957"/>
      <c r="B721" s="958"/>
      <c r="C721" s="816"/>
      <c r="D721" s="960"/>
    </row>
    <row r="722" spans="1:4">
      <c r="A722" s="241" t="s">
        <v>276</v>
      </c>
      <c r="B722" s="246"/>
      <c r="C722" s="246"/>
      <c r="D722" s="247"/>
    </row>
    <row r="723" spans="1:4">
      <c r="A723" s="241" t="s">
        <v>335</v>
      </c>
      <c r="B723" s="246"/>
      <c r="C723" s="255" t="s">
        <v>336</v>
      </c>
      <c r="D723" s="247"/>
    </row>
    <row r="724" spans="1:4">
      <c r="A724" s="241"/>
      <c r="B724" s="246"/>
      <c r="C724" s="246"/>
      <c r="D724" s="247"/>
    </row>
    <row r="725" spans="1:4">
      <c r="A725" s="968" t="s">
        <v>337</v>
      </c>
      <c r="B725" s="969"/>
      <c r="C725" s="969"/>
      <c r="D725" s="970"/>
    </row>
    <row r="726" spans="1:4">
      <c r="A726" s="241" t="s">
        <v>338</v>
      </c>
      <c r="B726" s="246"/>
      <c r="C726" s="246"/>
      <c r="D726" s="247"/>
    </row>
    <row r="727" spans="1:4">
      <c r="A727" s="241"/>
      <c r="B727" s="246"/>
      <c r="C727" s="246"/>
      <c r="D727" s="247"/>
    </row>
    <row r="728" spans="1:4">
      <c r="A728" s="971" t="s">
        <v>339</v>
      </c>
      <c r="B728" s="972"/>
      <c r="C728" s="972" t="s">
        <v>340</v>
      </c>
      <c r="D728" s="973"/>
    </row>
    <row r="729" spans="1:4">
      <c r="A729" s="974">
        <v>1</v>
      </c>
      <c r="B729" s="975"/>
      <c r="C729" s="975">
        <v>1</v>
      </c>
      <c r="D729" s="976"/>
    </row>
    <row r="730" spans="1:4">
      <c r="A730" s="974">
        <v>2</v>
      </c>
      <c r="B730" s="975"/>
      <c r="C730" s="975">
        <v>2</v>
      </c>
      <c r="D730" s="976"/>
    </row>
    <row r="731" spans="1:4">
      <c r="A731" s="256"/>
      <c r="C731" s="964" t="s">
        <v>345</v>
      </c>
      <c r="D731" s="965"/>
    </row>
    <row r="732" spans="1:4">
      <c r="A732" s="961" t="s">
        <v>341</v>
      </c>
      <c r="B732" s="962"/>
      <c r="C732" s="962"/>
      <c r="D732" s="963"/>
    </row>
    <row r="733" spans="1:4">
      <c r="A733" s="259" t="s">
        <v>342</v>
      </c>
      <c r="B733" s="260"/>
      <c r="C733" s="260"/>
      <c r="D733" s="261"/>
    </row>
    <row r="734" spans="1:4">
      <c r="A734" s="259"/>
      <c r="B734" s="260"/>
      <c r="C734" s="260"/>
      <c r="D734" s="261"/>
    </row>
    <row r="735" spans="1:4">
      <c r="A735" s="259"/>
      <c r="B735" s="260"/>
      <c r="C735" s="260" t="s">
        <v>343</v>
      </c>
      <c r="D735" s="261"/>
    </row>
    <row r="736" spans="1:4">
      <c r="A736" s="256"/>
      <c r="B736" s="257"/>
      <c r="C736" s="156" t="s">
        <v>147</v>
      </c>
      <c r="D736" s="258"/>
    </row>
    <row r="737" spans="1:4">
      <c r="A737" s="256"/>
      <c r="C737" t="s">
        <v>344</v>
      </c>
      <c r="D737" s="262"/>
    </row>
    <row r="738" spans="1:4">
      <c r="A738" s="256"/>
      <c r="C738" s="966">
        <f>'BOM 04 22Master'!F605</f>
        <v>0</v>
      </c>
      <c r="D738" s="967"/>
    </row>
    <row r="739" spans="1:4">
      <c r="A739" s="241" t="s">
        <v>276</v>
      </c>
      <c r="C739" s="2">
        <f>'BOM 04 22Master'!F606</f>
        <v>0</v>
      </c>
      <c r="D739" s="14"/>
    </row>
    <row r="740" spans="1:4" ht="15.75" thickBot="1">
      <c r="A740" s="241" t="s">
        <v>335</v>
      </c>
      <c r="C740" s="2"/>
      <c r="D740" s="14"/>
    </row>
    <row r="741" spans="1:4" ht="15.75" thickBot="1">
      <c r="A741" s="267"/>
      <c r="B741" s="268" t="s">
        <v>348</v>
      </c>
      <c r="C741" s="268"/>
      <c r="D741" s="29"/>
    </row>
    <row r="742" spans="1:4">
      <c r="A742" s="241" t="s">
        <v>346</v>
      </c>
      <c r="C742" s="2"/>
      <c r="D742" s="14"/>
    </row>
    <row r="743" spans="1:4">
      <c r="A743" s="241" t="s">
        <v>335</v>
      </c>
      <c r="C743" s="2"/>
      <c r="D743" s="14"/>
    </row>
    <row r="744" spans="1:4" ht="15.75" thickBot="1">
      <c r="A744" s="270" t="s">
        <v>347</v>
      </c>
      <c r="B744" s="23"/>
      <c r="C744" s="23"/>
      <c r="D744" s="24" t="s">
        <v>138</v>
      </c>
    </row>
  </sheetData>
  <mergeCells count="484">
    <mergeCell ref="A730:B730"/>
    <mergeCell ref="C730:D730"/>
    <mergeCell ref="C731:D731"/>
    <mergeCell ref="A732:D732"/>
    <mergeCell ref="C738:D738"/>
    <mergeCell ref="A725:D725"/>
    <mergeCell ref="A728:B728"/>
    <mergeCell ref="C728:D728"/>
    <mergeCell ref="A729:B729"/>
    <mergeCell ref="C729:D729"/>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13:B713"/>
    <mergeCell ref="C713:D713"/>
    <mergeCell ref="A714:B714"/>
    <mergeCell ref="C714:D714"/>
    <mergeCell ref="A715:B715"/>
    <mergeCell ref="C715:D715"/>
    <mergeCell ref="A702:D702"/>
    <mergeCell ref="A709:D709"/>
    <mergeCell ref="A711:B711"/>
    <mergeCell ref="C711:D711"/>
    <mergeCell ref="A712:B712"/>
    <mergeCell ref="C712:D712"/>
    <mergeCell ref="A693:D693"/>
    <mergeCell ref="A695:D695"/>
    <mergeCell ref="A696:D696"/>
    <mergeCell ref="A698:D698"/>
    <mergeCell ref="A700:D700"/>
    <mergeCell ref="A681:D681"/>
    <mergeCell ref="A682:D682"/>
    <mergeCell ref="A683:D683"/>
    <mergeCell ref="A689:D689"/>
    <mergeCell ref="A691:D691"/>
    <mergeCell ref="A662:B662"/>
    <mergeCell ref="C662:D662"/>
    <mergeCell ref="C663:D663"/>
    <mergeCell ref="A664:D664"/>
    <mergeCell ref="C670:D670"/>
    <mergeCell ref="A657:D657"/>
    <mergeCell ref="A660:B660"/>
    <mergeCell ref="C660:D660"/>
    <mergeCell ref="A661:B661"/>
    <mergeCell ref="C661:D661"/>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25:D625"/>
    <mergeCell ref="A627:D627"/>
    <mergeCell ref="A628:D628"/>
    <mergeCell ref="A630:D630"/>
    <mergeCell ref="A632:D632"/>
    <mergeCell ref="A613:D613"/>
    <mergeCell ref="A614:D614"/>
    <mergeCell ref="A615:D615"/>
    <mergeCell ref="A621:D621"/>
    <mergeCell ref="A623:D623"/>
    <mergeCell ref="A594:B594"/>
    <mergeCell ref="C594:D594"/>
    <mergeCell ref="C595:D595"/>
    <mergeCell ref="A596:D596"/>
    <mergeCell ref="C602:D602"/>
    <mergeCell ref="A589:D589"/>
    <mergeCell ref="A592:B592"/>
    <mergeCell ref="C592:D592"/>
    <mergeCell ref="A593:B593"/>
    <mergeCell ref="C593:D593"/>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57:D557"/>
    <mergeCell ref="A559:D559"/>
    <mergeCell ref="A560:D560"/>
    <mergeCell ref="A562:D562"/>
    <mergeCell ref="A564:D564"/>
    <mergeCell ref="A545:D545"/>
    <mergeCell ref="A546:D546"/>
    <mergeCell ref="A547:D547"/>
    <mergeCell ref="A553:D553"/>
    <mergeCell ref="A555:D555"/>
    <mergeCell ref="A526:B526"/>
    <mergeCell ref="C526:D526"/>
    <mergeCell ref="C527:D527"/>
    <mergeCell ref="A528:D528"/>
    <mergeCell ref="C534:D534"/>
    <mergeCell ref="A521:D521"/>
    <mergeCell ref="A524:B524"/>
    <mergeCell ref="C524:D524"/>
    <mergeCell ref="A525:B525"/>
    <mergeCell ref="C525:D525"/>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09:B509"/>
    <mergeCell ref="C509:D509"/>
    <mergeCell ref="A510:B510"/>
    <mergeCell ref="C510:D510"/>
    <mergeCell ref="A511:B511"/>
    <mergeCell ref="C511:D511"/>
    <mergeCell ref="A498:D498"/>
    <mergeCell ref="A505:D505"/>
    <mergeCell ref="A507:B507"/>
    <mergeCell ref="C507:D507"/>
    <mergeCell ref="A508:B508"/>
    <mergeCell ref="C508:D508"/>
    <mergeCell ref="A489:D489"/>
    <mergeCell ref="A491:D491"/>
    <mergeCell ref="A492:D492"/>
    <mergeCell ref="A494:D494"/>
    <mergeCell ref="A496:D496"/>
    <mergeCell ref="A477:D477"/>
    <mergeCell ref="A478:D478"/>
    <mergeCell ref="A479:D479"/>
    <mergeCell ref="A485:D485"/>
    <mergeCell ref="A487:D487"/>
    <mergeCell ref="A458:B458"/>
    <mergeCell ref="C458:D458"/>
    <mergeCell ref="C459:D459"/>
    <mergeCell ref="A460:D460"/>
    <mergeCell ref="C466:D466"/>
    <mergeCell ref="A453:D453"/>
    <mergeCell ref="A456:B456"/>
    <mergeCell ref="C456:D456"/>
    <mergeCell ref="A457:B457"/>
    <mergeCell ref="C457:D457"/>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21:D421"/>
    <mergeCell ref="A423:D423"/>
    <mergeCell ref="A424:D424"/>
    <mergeCell ref="A426:D426"/>
    <mergeCell ref="A428:D428"/>
    <mergeCell ref="A409:D409"/>
    <mergeCell ref="A410:D410"/>
    <mergeCell ref="A411:D411"/>
    <mergeCell ref="A417:D417"/>
    <mergeCell ref="A419:D419"/>
    <mergeCell ref="A390:B390"/>
    <mergeCell ref="C390:D390"/>
    <mergeCell ref="C391:D391"/>
    <mergeCell ref="A392:D392"/>
    <mergeCell ref="C398:D398"/>
    <mergeCell ref="A385:D385"/>
    <mergeCell ref="A388:B388"/>
    <mergeCell ref="C388:D388"/>
    <mergeCell ref="A389:B389"/>
    <mergeCell ref="C389:D389"/>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53:D353"/>
    <mergeCell ref="A355:D355"/>
    <mergeCell ref="A356:D356"/>
    <mergeCell ref="A358:D358"/>
    <mergeCell ref="A360:D360"/>
    <mergeCell ref="A341:D341"/>
    <mergeCell ref="A342:D342"/>
    <mergeCell ref="A343:D343"/>
    <mergeCell ref="A349:D349"/>
    <mergeCell ref="A351:D351"/>
    <mergeCell ref="A322:B322"/>
    <mergeCell ref="C322:D322"/>
    <mergeCell ref="C323:D323"/>
    <mergeCell ref="A324:D324"/>
    <mergeCell ref="C330:D330"/>
    <mergeCell ref="A317:D317"/>
    <mergeCell ref="A320:B320"/>
    <mergeCell ref="C320:D320"/>
    <mergeCell ref="A321:B321"/>
    <mergeCell ref="C321:D321"/>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05:B305"/>
    <mergeCell ref="C305:D305"/>
    <mergeCell ref="A306:B306"/>
    <mergeCell ref="C306:D306"/>
    <mergeCell ref="A307:B307"/>
    <mergeCell ref="C307:D307"/>
    <mergeCell ref="A294:D294"/>
    <mergeCell ref="A301:D301"/>
    <mergeCell ref="A303:B303"/>
    <mergeCell ref="C303:D303"/>
    <mergeCell ref="A304:B304"/>
    <mergeCell ref="C304:D304"/>
    <mergeCell ref="A285:D285"/>
    <mergeCell ref="A287:D287"/>
    <mergeCell ref="A288:D288"/>
    <mergeCell ref="A290:D290"/>
    <mergeCell ref="A292:D292"/>
    <mergeCell ref="A273:D273"/>
    <mergeCell ref="A274:D274"/>
    <mergeCell ref="A275:D275"/>
    <mergeCell ref="A281:D281"/>
    <mergeCell ref="A283:D283"/>
    <mergeCell ref="A254:B254"/>
    <mergeCell ref="C254:D254"/>
    <mergeCell ref="C255:D255"/>
    <mergeCell ref="A256:D256"/>
    <mergeCell ref="C262:D262"/>
    <mergeCell ref="A249:D249"/>
    <mergeCell ref="A252:B252"/>
    <mergeCell ref="C252:D252"/>
    <mergeCell ref="A253:B253"/>
    <mergeCell ref="C253:D253"/>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17:D217"/>
    <mergeCell ref="A219:D219"/>
    <mergeCell ref="A220:D220"/>
    <mergeCell ref="A222:D222"/>
    <mergeCell ref="A224:D224"/>
    <mergeCell ref="A205:D205"/>
    <mergeCell ref="A206:D206"/>
    <mergeCell ref="A207:D207"/>
    <mergeCell ref="A213:D213"/>
    <mergeCell ref="A215:D215"/>
    <mergeCell ref="A186:B186"/>
    <mergeCell ref="C186:D186"/>
    <mergeCell ref="C187:D187"/>
    <mergeCell ref="A188:D188"/>
    <mergeCell ref="C194:D194"/>
    <mergeCell ref="A181:D181"/>
    <mergeCell ref="A184:B184"/>
    <mergeCell ref="C184:D184"/>
    <mergeCell ref="A185:B185"/>
    <mergeCell ref="C185:D185"/>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49:D149"/>
    <mergeCell ref="A151:D151"/>
    <mergeCell ref="A152:D152"/>
    <mergeCell ref="A154:D154"/>
    <mergeCell ref="A156:D156"/>
    <mergeCell ref="A137:D137"/>
    <mergeCell ref="A138:D138"/>
    <mergeCell ref="A139:D139"/>
    <mergeCell ref="A145:D145"/>
    <mergeCell ref="A147:D147"/>
    <mergeCell ref="A118:B118"/>
    <mergeCell ref="C118:D118"/>
    <mergeCell ref="C119:D119"/>
    <mergeCell ref="A120:D120"/>
    <mergeCell ref="C126:D126"/>
    <mergeCell ref="A113:D113"/>
    <mergeCell ref="A116:B116"/>
    <mergeCell ref="C116:D116"/>
    <mergeCell ref="A117:B117"/>
    <mergeCell ref="C117:D117"/>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01:B101"/>
    <mergeCell ref="C101:D101"/>
    <mergeCell ref="A102:B102"/>
    <mergeCell ref="C102:D102"/>
    <mergeCell ref="A103:B103"/>
    <mergeCell ref="C103:D103"/>
    <mergeCell ref="A90:D90"/>
    <mergeCell ref="A97:D97"/>
    <mergeCell ref="A99:B99"/>
    <mergeCell ref="C99:D99"/>
    <mergeCell ref="A100:B100"/>
    <mergeCell ref="C100:D100"/>
    <mergeCell ref="A81:D81"/>
    <mergeCell ref="A83:D83"/>
    <mergeCell ref="A84:D84"/>
    <mergeCell ref="A86:D86"/>
    <mergeCell ref="A88:D88"/>
    <mergeCell ref="A69:D69"/>
    <mergeCell ref="A70:D70"/>
    <mergeCell ref="A71:D71"/>
    <mergeCell ref="A77:D77"/>
    <mergeCell ref="A79:D79"/>
    <mergeCell ref="A22:D22"/>
    <mergeCell ref="A1:D1"/>
    <mergeCell ref="A2:D2"/>
    <mergeCell ref="A3:D3"/>
    <mergeCell ref="A9:D9"/>
    <mergeCell ref="A11:D11"/>
    <mergeCell ref="A13:D13"/>
    <mergeCell ref="A15:D15"/>
    <mergeCell ref="A16:D16"/>
    <mergeCell ref="A18:D18"/>
    <mergeCell ref="A20:D20"/>
    <mergeCell ref="A29:D29"/>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s>
  <pageMargins left="0.78" right="0.70866141732283472" top="0.74803149606299213" bottom="0.74803149606299213" header="0.31496062992125984" footer="0.31496062992125984"/>
  <pageSetup scale="6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BOMBAY APRIL  22-WM  Reg</vt:lpstr>
      <vt:lpstr>BOM 04 22Master</vt:lpstr>
      <vt:lpstr>04-22 Eql rem</vt:lpstr>
      <vt:lpstr>MH_Muster Roll</vt:lpstr>
      <vt:lpstr>Form M Leave Regi</vt:lpstr>
      <vt:lpstr>MH_Regi Wages</vt:lpstr>
      <vt:lpstr>Empt Cards</vt:lpstr>
      <vt:lpstr>wage sllips</vt:lpstr>
      <vt:lpstr>4-22Bonus</vt:lpstr>
      <vt:lpstr>Serive Certificate</vt:lpstr>
      <vt:lpstr>Deductions</vt:lpstr>
      <vt:lpstr>Fines</vt:lpstr>
      <vt:lpstr>Advances</vt:lpstr>
      <vt:lpstr>Overtime</vt:lpstr>
      <vt:lpstr>Accident</vt:lpstr>
      <vt:lpstr>ESI cards Reg</vt:lpstr>
      <vt:lpstr>Form-I</vt:lpstr>
      <vt:lpstr>Form-2</vt:lpstr>
      <vt:lpstr>Form 11</vt:lpstr>
      <vt:lpstr>Form-F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2021-12-11T09:38:15Z</cp:lastPrinted>
  <dcterms:created xsi:type="dcterms:W3CDTF">2018-12-21T09:44:49Z</dcterms:created>
  <dcterms:modified xsi:type="dcterms:W3CDTF">2022-06-04T11:58:21Z</dcterms:modified>
</cp:coreProperties>
</file>